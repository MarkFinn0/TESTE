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qu\Desktop\Marcus\Estudos Finanças\IA_FINAN-AS_APS_2023\MVP_Front\"/>
    </mc:Choice>
  </mc:AlternateContent>
  <xr:revisionPtr revIDLastSave="0" documentId="13_ncr:1_{AFDC858A-047D-4194-9827-D7F587EC0798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Front_MVP" sheetId="10" r:id="rId1"/>
    <sheet name="Base_Unica" sheetId="2" r:id="rId2"/>
    <sheet name="Planilha4" sheetId="11" r:id="rId3"/>
    <sheet name="Motorzinho" sheetId="3" r:id="rId4"/>
  </sheets>
  <definedNames>
    <definedName name="_xlnm._FilterDatabase" localSheetId="1" hidden="1">Base_Unica!$A$1:$V$1601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38" i="2" l="1"/>
  <c r="A1638" i="2"/>
  <c r="B1637" i="2"/>
  <c r="A1637" i="2"/>
  <c r="B1636" i="2"/>
  <c r="A1636" i="2"/>
  <c r="B1635" i="2"/>
  <c r="A1635" i="2"/>
  <c r="B1634" i="2"/>
  <c r="A1634" i="2"/>
  <c r="B1633" i="2"/>
  <c r="A1633" i="2"/>
  <c r="B1632" i="2"/>
  <c r="A1632" i="2"/>
  <c r="B1631" i="2"/>
  <c r="A1631" i="2"/>
  <c r="B1630" i="2"/>
  <c r="A1630" i="2"/>
  <c r="B1629" i="2"/>
  <c r="A1629" i="2"/>
  <c r="B1628" i="2"/>
  <c r="A1628" i="2"/>
  <c r="B1627" i="2"/>
  <c r="A1627" i="2"/>
  <c r="B1626" i="2"/>
  <c r="A1626" i="2"/>
  <c r="B1625" i="2"/>
  <c r="A1625" i="2"/>
  <c r="B1624" i="2"/>
  <c r="A1624" i="2"/>
  <c r="B1623" i="2"/>
  <c r="A1623" i="2"/>
  <c r="B1622" i="2"/>
  <c r="A1622" i="2"/>
  <c r="B1621" i="2"/>
  <c r="A1621" i="2"/>
  <c r="B1620" i="2"/>
  <c r="A1620" i="2"/>
  <c r="B1619" i="2"/>
  <c r="A1619" i="2"/>
  <c r="B1618" i="2"/>
  <c r="A1618" i="2"/>
  <c r="B1617" i="2"/>
  <c r="A1617" i="2"/>
  <c r="B1616" i="2"/>
  <c r="A1616" i="2"/>
  <c r="B1615" i="2"/>
  <c r="A1615" i="2"/>
  <c r="B1614" i="2"/>
  <c r="A1614" i="2"/>
  <c r="B1613" i="2"/>
  <c r="A1613" i="2"/>
  <c r="B1612" i="2"/>
  <c r="A1612" i="2"/>
  <c r="B1611" i="2"/>
  <c r="A1611" i="2"/>
  <c r="B1610" i="2"/>
  <c r="A1610" i="2"/>
  <c r="B1609" i="2"/>
  <c r="A1609" i="2"/>
  <c r="B1608" i="2"/>
  <c r="A1608" i="2"/>
  <c r="B1607" i="2"/>
  <c r="A1607" i="2"/>
  <c r="B1606" i="2"/>
  <c r="A1606" i="2"/>
  <c r="B1605" i="2"/>
  <c r="A1605" i="2"/>
  <c r="B1604" i="2"/>
  <c r="A1604" i="2"/>
  <c r="B1603" i="2"/>
  <c r="A1603" i="2"/>
  <c r="B1602" i="2"/>
  <c r="A1602" i="2"/>
  <c r="C3" i="3"/>
  <c r="A3" i="3" s="1"/>
  <c r="U4" i="3"/>
  <c r="C4" i="3" s="1"/>
  <c r="A4" i="3" s="1"/>
  <c r="B1098" i="2"/>
  <c r="B1099" i="2"/>
  <c r="B1100" i="2"/>
  <c r="B793" i="2"/>
  <c r="B794" i="2"/>
  <c r="B795" i="2"/>
  <c r="B796" i="2"/>
  <c r="B933" i="2"/>
  <c r="B934" i="2"/>
  <c r="B935" i="2"/>
  <c r="B936" i="2"/>
  <c r="B733" i="2"/>
  <c r="B734" i="2"/>
  <c r="B735" i="2"/>
  <c r="B736" i="2"/>
  <c r="B202" i="2"/>
  <c r="B203" i="2"/>
  <c r="B204" i="2"/>
  <c r="B205" i="2"/>
  <c r="B728" i="2"/>
  <c r="B729" i="2"/>
  <c r="B730" i="2"/>
  <c r="B731" i="2"/>
  <c r="B197" i="2"/>
  <c r="B198" i="2"/>
  <c r="B199" i="2"/>
  <c r="B200" i="2"/>
  <c r="B813" i="2"/>
  <c r="B814" i="2"/>
  <c r="B815" i="2"/>
  <c r="B816" i="2"/>
  <c r="B658" i="2"/>
  <c r="B659" i="2"/>
  <c r="B660" i="2"/>
  <c r="B661" i="2"/>
  <c r="B808" i="2"/>
  <c r="B809" i="2"/>
  <c r="B810" i="2"/>
  <c r="B811" i="2"/>
  <c r="B818" i="2"/>
  <c r="B819" i="2"/>
  <c r="B820" i="2"/>
  <c r="B821" i="2"/>
  <c r="B822" i="2"/>
  <c r="B823" i="2"/>
  <c r="B824" i="2"/>
  <c r="B825" i="2"/>
  <c r="B1102" i="2"/>
  <c r="B1103" i="2"/>
  <c r="B1104" i="2"/>
  <c r="B1105" i="2"/>
  <c r="B1106" i="2"/>
  <c r="B1107" i="2"/>
  <c r="B1108" i="2"/>
  <c r="B1109" i="2"/>
  <c r="B1112" i="2"/>
  <c r="B1113" i="2"/>
  <c r="B1114" i="2"/>
  <c r="B1115" i="2"/>
  <c r="B798" i="2"/>
  <c r="B799" i="2"/>
  <c r="B800" i="2"/>
  <c r="B801" i="2"/>
  <c r="B802" i="2"/>
  <c r="B803" i="2"/>
  <c r="B804" i="2"/>
  <c r="B805" i="2"/>
  <c r="B1281" i="2"/>
  <c r="B1282" i="2"/>
  <c r="B1283" i="2"/>
  <c r="B1284" i="2"/>
  <c r="B1285" i="2"/>
  <c r="B1286" i="2"/>
  <c r="B1287" i="2"/>
  <c r="B1288" i="2"/>
  <c r="B1068" i="2"/>
  <c r="B1069" i="2"/>
  <c r="B1070" i="2"/>
  <c r="B1071" i="2"/>
  <c r="B1072" i="2"/>
  <c r="B1073" i="2"/>
  <c r="B1074" i="2"/>
  <c r="B1075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923" i="2"/>
  <c r="B924" i="2"/>
  <c r="B925" i="2"/>
  <c r="B926" i="2"/>
  <c r="B927" i="2"/>
  <c r="B928" i="2"/>
  <c r="B929" i="2"/>
  <c r="B930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601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872" i="2"/>
  <c r="B873" i="2"/>
  <c r="B874" i="2"/>
  <c r="B875" i="2"/>
  <c r="B876" i="2"/>
  <c r="B877" i="2"/>
  <c r="B878" i="2"/>
  <c r="B879" i="2"/>
  <c r="B880" i="2"/>
  <c r="B881" i="2"/>
  <c r="B882" i="2"/>
  <c r="B649" i="2"/>
  <c r="B650" i="2"/>
  <c r="B651" i="2"/>
  <c r="B652" i="2"/>
  <c r="B653" i="2"/>
  <c r="B654" i="2"/>
  <c r="B655" i="2"/>
  <c r="B656" i="2"/>
  <c r="B657" i="2"/>
  <c r="B74" i="2"/>
  <c r="B75" i="2"/>
  <c r="B76" i="2"/>
  <c r="B77" i="2"/>
  <c r="B78" i="2"/>
  <c r="B79" i="2"/>
  <c r="B80" i="2"/>
  <c r="B81" i="2"/>
  <c r="B718" i="2"/>
  <c r="B719" i="2"/>
  <c r="B720" i="2"/>
  <c r="B721" i="2"/>
  <c r="B722" i="2"/>
  <c r="B723" i="2"/>
  <c r="B724" i="2"/>
  <c r="B725" i="2"/>
  <c r="B726" i="2"/>
  <c r="B727" i="2"/>
  <c r="B34" i="2"/>
  <c r="B35" i="2"/>
  <c r="B36" i="2"/>
  <c r="B37" i="2"/>
  <c r="B1434" i="2"/>
  <c r="B1435" i="2"/>
  <c r="B1436" i="2"/>
  <c r="B1437" i="2"/>
  <c r="B1438" i="2"/>
  <c r="B1439" i="2"/>
  <c r="B1440" i="2"/>
  <c r="B1441" i="2"/>
  <c r="B1442" i="2"/>
  <c r="B915" i="2"/>
  <c r="B916" i="2"/>
  <c r="B917" i="2"/>
  <c r="B918" i="2"/>
  <c r="B919" i="2"/>
  <c r="B920" i="2"/>
  <c r="B921" i="2"/>
  <c r="B922" i="2"/>
  <c r="B592" i="2"/>
  <c r="B593" i="2"/>
  <c r="B594" i="2"/>
  <c r="B595" i="2"/>
  <c r="B596" i="2"/>
  <c r="B597" i="2"/>
  <c r="B1336" i="2"/>
  <c r="B1337" i="2"/>
  <c r="B1338" i="2"/>
  <c r="B1339" i="2"/>
  <c r="B1340" i="2"/>
  <c r="B1393" i="2"/>
  <c r="B1394" i="2"/>
  <c r="B1395" i="2"/>
  <c r="B1396" i="2"/>
  <c r="B1397" i="2"/>
  <c r="B1311" i="2"/>
  <c r="B1312" i="2"/>
  <c r="B1313" i="2"/>
  <c r="B1314" i="2"/>
  <c r="B1315" i="2"/>
  <c r="B1529" i="2"/>
  <c r="B1530" i="2"/>
  <c r="B1531" i="2"/>
  <c r="B1532" i="2"/>
  <c r="B1093" i="2"/>
  <c r="B1094" i="2"/>
  <c r="B1095" i="2"/>
  <c r="B1096" i="2"/>
  <c r="B769" i="2"/>
  <c r="B770" i="2"/>
  <c r="B771" i="2"/>
  <c r="B772" i="2"/>
  <c r="B610" i="2"/>
  <c r="B611" i="2"/>
  <c r="B612" i="2"/>
  <c r="B789" i="2"/>
  <c r="B790" i="2"/>
  <c r="B791" i="2"/>
  <c r="B792" i="2"/>
  <c r="B223" i="2"/>
  <c r="B224" i="2"/>
  <c r="B225" i="2"/>
  <c r="B226" i="2"/>
  <c r="B675" i="2"/>
  <c r="B676" i="2"/>
  <c r="B677" i="2"/>
  <c r="B550" i="2"/>
  <c r="B551" i="2"/>
  <c r="B552" i="2"/>
  <c r="B565" i="2"/>
  <c r="B566" i="2"/>
  <c r="B567" i="2"/>
  <c r="B931" i="2"/>
  <c r="B932" i="2"/>
  <c r="B750" i="2"/>
  <c r="B751" i="2"/>
  <c r="B752" i="2"/>
  <c r="B1076" i="2"/>
  <c r="B1289" i="2"/>
  <c r="B1290" i="2"/>
  <c r="B806" i="2"/>
  <c r="B807" i="2"/>
  <c r="B1116" i="2"/>
  <c r="B1110" i="2"/>
  <c r="B1111" i="2"/>
  <c r="B826" i="2"/>
  <c r="B827" i="2"/>
  <c r="B812" i="2"/>
  <c r="B662" i="2"/>
  <c r="B817" i="2"/>
  <c r="B201" i="2"/>
  <c r="B732" i="2"/>
  <c r="B206" i="2"/>
  <c r="B737" i="2"/>
  <c r="B937" i="2"/>
  <c r="B797" i="2"/>
  <c r="B1101" i="2"/>
  <c r="B1097" i="2"/>
  <c r="A1101" i="2"/>
  <c r="A797" i="2"/>
  <c r="A937" i="2"/>
  <c r="A737" i="2"/>
  <c r="A206" i="2"/>
  <c r="A732" i="2"/>
  <c r="A201" i="2"/>
  <c r="A817" i="2"/>
  <c r="A662" i="2"/>
  <c r="A812" i="2"/>
  <c r="A827" i="2"/>
  <c r="A826" i="2"/>
  <c r="A1111" i="2"/>
  <c r="A1110" i="2"/>
  <c r="A1116" i="2"/>
  <c r="A807" i="2"/>
  <c r="A806" i="2"/>
  <c r="A1290" i="2"/>
  <c r="A1289" i="2"/>
  <c r="A1076" i="2"/>
  <c r="A752" i="2"/>
  <c r="A751" i="2"/>
  <c r="A750" i="2"/>
  <c r="A932" i="2"/>
  <c r="A931" i="2"/>
  <c r="A567" i="2"/>
  <c r="A566" i="2"/>
  <c r="A565" i="2"/>
  <c r="A552" i="2"/>
  <c r="A551" i="2"/>
  <c r="A550" i="2"/>
  <c r="A677" i="2"/>
  <c r="A676" i="2"/>
  <c r="A675" i="2"/>
  <c r="A226" i="2"/>
  <c r="A225" i="2"/>
  <c r="A224" i="2"/>
  <c r="A223" i="2"/>
  <c r="A792" i="2"/>
  <c r="A791" i="2"/>
  <c r="A790" i="2"/>
  <c r="A789" i="2"/>
  <c r="A612" i="2"/>
  <c r="A611" i="2"/>
  <c r="A610" i="2"/>
  <c r="A772" i="2"/>
  <c r="A771" i="2"/>
  <c r="A770" i="2"/>
  <c r="A769" i="2"/>
  <c r="A1096" i="2"/>
  <c r="A1095" i="2"/>
  <c r="A1094" i="2"/>
  <c r="A1093" i="2"/>
  <c r="A1532" i="2"/>
  <c r="A1531" i="2"/>
  <c r="A1530" i="2"/>
  <c r="A1529" i="2"/>
  <c r="A1315" i="2"/>
  <c r="A1314" i="2"/>
  <c r="A1313" i="2"/>
  <c r="A1312" i="2"/>
  <c r="A1311" i="2"/>
  <c r="A1397" i="2"/>
  <c r="A1396" i="2"/>
  <c r="A1395" i="2"/>
  <c r="A1394" i="2"/>
  <c r="A1393" i="2"/>
  <c r="A1340" i="2"/>
  <c r="A1339" i="2"/>
  <c r="A1338" i="2"/>
  <c r="A1337" i="2"/>
  <c r="A1336" i="2"/>
  <c r="A597" i="2"/>
  <c r="A596" i="2"/>
  <c r="A595" i="2"/>
  <c r="A594" i="2"/>
  <c r="A593" i="2"/>
  <c r="A592" i="2"/>
  <c r="A922" i="2"/>
  <c r="A921" i="2"/>
  <c r="A920" i="2"/>
  <c r="A919" i="2"/>
  <c r="A918" i="2"/>
  <c r="A917" i="2"/>
  <c r="A916" i="2"/>
  <c r="A915" i="2"/>
  <c r="A1442" i="2"/>
  <c r="A1441" i="2"/>
  <c r="A1440" i="2"/>
  <c r="A1439" i="2"/>
  <c r="A1438" i="2"/>
  <c r="A1437" i="2"/>
  <c r="A1436" i="2"/>
  <c r="A1435" i="2"/>
  <c r="A1434" i="2"/>
  <c r="A37" i="2"/>
  <c r="A36" i="2"/>
  <c r="A35" i="2"/>
  <c r="A34" i="2"/>
  <c r="A727" i="2"/>
  <c r="A726" i="2"/>
  <c r="A725" i="2"/>
  <c r="A724" i="2"/>
  <c r="A723" i="2"/>
  <c r="A722" i="2"/>
  <c r="A721" i="2"/>
  <c r="A720" i="2"/>
  <c r="A719" i="2"/>
  <c r="A718" i="2"/>
  <c r="A81" i="2"/>
  <c r="A80" i="2"/>
  <c r="A79" i="2"/>
  <c r="A78" i="2"/>
  <c r="A77" i="2"/>
  <c r="A76" i="2"/>
  <c r="A75" i="2"/>
  <c r="A74" i="2"/>
  <c r="A657" i="2"/>
  <c r="A656" i="2"/>
  <c r="A655" i="2"/>
  <c r="A654" i="2"/>
  <c r="A653" i="2"/>
  <c r="A652" i="2"/>
  <c r="A651" i="2"/>
  <c r="A650" i="2"/>
  <c r="A649" i="2"/>
  <c r="A882" i="2"/>
  <c r="A881" i="2"/>
  <c r="A880" i="2"/>
  <c r="A879" i="2"/>
  <c r="A878" i="2"/>
  <c r="A877" i="2"/>
  <c r="A876" i="2"/>
  <c r="A875" i="2"/>
  <c r="A874" i="2"/>
  <c r="A873" i="2"/>
  <c r="A872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60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930" i="2"/>
  <c r="A929" i="2"/>
  <c r="A928" i="2"/>
  <c r="A927" i="2"/>
  <c r="A926" i="2"/>
  <c r="A925" i="2"/>
  <c r="A924" i="2"/>
  <c r="A923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1075" i="2"/>
  <c r="A1074" i="2"/>
  <c r="A1073" i="2"/>
  <c r="A1072" i="2"/>
  <c r="A1071" i="2"/>
  <c r="A1070" i="2"/>
  <c r="A1069" i="2"/>
  <c r="A1068" i="2"/>
  <c r="A1288" i="2"/>
  <c r="A1287" i="2"/>
  <c r="A1286" i="2"/>
  <c r="A1285" i="2"/>
  <c r="A1284" i="2"/>
  <c r="A1283" i="2"/>
  <c r="A1282" i="2"/>
  <c r="A1281" i="2"/>
  <c r="A805" i="2"/>
  <c r="A804" i="2"/>
  <c r="A803" i="2"/>
  <c r="A802" i="2"/>
  <c r="A801" i="2"/>
  <c r="A800" i="2"/>
  <c r="A799" i="2"/>
  <c r="A798" i="2"/>
  <c r="A1115" i="2"/>
  <c r="A1114" i="2"/>
  <c r="A1113" i="2"/>
  <c r="A1112" i="2"/>
  <c r="A1109" i="2"/>
  <c r="A1108" i="2"/>
  <c r="A1107" i="2"/>
  <c r="A1106" i="2"/>
  <c r="A1105" i="2"/>
  <c r="A1104" i="2"/>
  <c r="A1103" i="2"/>
  <c r="A1102" i="2"/>
  <c r="A825" i="2"/>
  <c r="A824" i="2"/>
  <c r="A823" i="2"/>
  <c r="A822" i="2"/>
  <c r="A821" i="2"/>
  <c r="A820" i="2"/>
  <c r="A819" i="2"/>
  <c r="A818" i="2"/>
  <c r="A811" i="2"/>
  <c r="A810" i="2"/>
  <c r="A809" i="2"/>
  <c r="A808" i="2"/>
  <c r="A661" i="2"/>
  <c r="A660" i="2"/>
  <c r="A659" i="2"/>
  <c r="A658" i="2"/>
  <c r="A816" i="2"/>
  <c r="A815" i="2"/>
  <c r="A814" i="2"/>
  <c r="A813" i="2"/>
  <c r="A200" i="2"/>
  <c r="A199" i="2"/>
  <c r="A198" i="2"/>
  <c r="A197" i="2"/>
  <c r="A731" i="2"/>
  <c r="A730" i="2"/>
  <c r="A729" i="2"/>
  <c r="A728" i="2"/>
  <c r="A205" i="2"/>
  <c r="A204" i="2"/>
  <c r="A203" i="2"/>
  <c r="A202" i="2"/>
  <c r="A736" i="2"/>
  <c r="A735" i="2"/>
  <c r="A734" i="2"/>
  <c r="A733" i="2"/>
  <c r="A936" i="2"/>
  <c r="A935" i="2"/>
  <c r="A934" i="2"/>
  <c r="A933" i="2"/>
  <c r="A796" i="2"/>
  <c r="A795" i="2"/>
  <c r="A794" i="2"/>
  <c r="A793" i="2"/>
  <c r="A1100" i="2"/>
  <c r="A1099" i="2"/>
  <c r="A1098" i="2"/>
  <c r="A1097" i="2"/>
  <c r="U5" i="3" l="1"/>
  <c r="R3" i="3"/>
  <c r="D4" i="3"/>
  <c r="R4" i="3"/>
  <c r="D3" i="3"/>
  <c r="E4" i="3"/>
  <c r="N4" i="3"/>
  <c r="L4" i="3"/>
  <c r="J4" i="3"/>
  <c r="I4" i="3"/>
  <c r="H4" i="3"/>
  <c r="G4" i="3"/>
  <c r="F4" i="3"/>
  <c r="B4" i="3" s="1"/>
  <c r="L3" i="3"/>
  <c r="N3" i="3"/>
  <c r="E3" i="3"/>
  <c r="I3" i="3"/>
  <c r="F3" i="3"/>
  <c r="B3" i="3" s="1"/>
  <c r="S3" i="3" s="1"/>
  <c r="G3" i="3"/>
  <c r="H3" i="3"/>
  <c r="J3" i="3"/>
  <c r="T3" i="3" l="1"/>
  <c r="C5" i="3"/>
  <c r="A5" i="3" s="1"/>
  <c r="U6" i="3"/>
  <c r="K4" i="3"/>
  <c r="Q4" i="3" s="1"/>
  <c r="S4" i="3"/>
  <c r="T4" i="3" s="1"/>
  <c r="O4" i="3"/>
  <c r="O3" i="3"/>
  <c r="M3" i="3"/>
  <c r="M4" i="3"/>
  <c r="K3" i="3"/>
  <c r="Q3" i="3" s="1"/>
  <c r="C6" i="3" l="1"/>
  <c r="A6" i="3" s="1"/>
  <c r="U7" i="3"/>
  <c r="H5" i="3"/>
  <c r="J5" i="3"/>
  <c r="G5" i="3"/>
  <c r="R5" i="3"/>
  <c r="N5" i="3"/>
  <c r="F5" i="3"/>
  <c r="B5" i="3" s="1"/>
  <c r="E5" i="3"/>
  <c r="I5" i="3"/>
  <c r="D5" i="3"/>
  <c r="L5" i="3"/>
  <c r="P4" i="3"/>
  <c r="P3" i="3"/>
  <c r="O5" i="3" l="1"/>
  <c r="M5" i="3"/>
  <c r="K5" i="3"/>
  <c r="Q5" i="3" s="1"/>
  <c r="S5" i="3"/>
  <c r="T5" i="3" s="1"/>
  <c r="U8" i="3"/>
  <c r="C7" i="3"/>
  <c r="A7" i="3" s="1"/>
  <c r="L6" i="3"/>
  <c r="E6" i="3"/>
  <c r="R6" i="3"/>
  <c r="J6" i="3"/>
  <c r="D6" i="3"/>
  <c r="H6" i="3"/>
  <c r="G6" i="3"/>
  <c r="N6" i="3"/>
  <c r="F6" i="3"/>
  <c r="B6" i="3" s="1"/>
  <c r="I6" i="3"/>
  <c r="D7" i="3" l="1"/>
  <c r="H7" i="3"/>
  <c r="E7" i="3"/>
  <c r="L7" i="3"/>
  <c r="G7" i="3"/>
  <c r="J7" i="3"/>
  <c r="R7" i="3"/>
  <c r="F7" i="3"/>
  <c r="B7" i="3" s="1"/>
  <c r="N7" i="3"/>
  <c r="I7" i="3"/>
  <c r="C8" i="3"/>
  <c r="A8" i="3" s="1"/>
  <c r="U9" i="3"/>
  <c r="O6" i="3"/>
  <c r="S6" i="3"/>
  <c r="T6" i="3" s="1"/>
  <c r="K6" i="3"/>
  <c r="Q6" i="3" s="1"/>
  <c r="M6" i="3"/>
  <c r="P5" i="3"/>
  <c r="U10" i="3" l="1"/>
  <c r="C9" i="3"/>
  <c r="A9" i="3" s="1"/>
  <c r="M7" i="3"/>
  <c r="O7" i="3"/>
  <c r="K7" i="3"/>
  <c r="Q7" i="3" s="1"/>
  <c r="S7" i="3"/>
  <c r="T7" i="3" s="1"/>
  <c r="F8" i="3"/>
  <c r="B8" i="3" s="1"/>
  <c r="R8" i="3"/>
  <c r="I8" i="3"/>
  <c r="N8" i="3"/>
  <c r="J8" i="3"/>
  <c r="H8" i="3"/>
  <c r="E8" i="3"/>
  <c r="D8" i="3"/>
  <c r="L8" i="3"/>
  <c r="G8" i="3"/>
  <c r="P6" i="3"/>
  <c r="P7" i="3" l="1"/>
  <c r="O8" i="3"/>
  <c r="K8" i="3"/>
  <c r="Q8" i="3" s="1"/>
  <c r="M8" i="3"/>
  <c r="S8" i="3"/>
  <c r="T8" i="3" s="1"/>
  <c r="G9" i="3"/>
  <c r="F9" i="3"/>
  <c r="B9" i="3" s="1"/>
  <c r="E9" i="3"/>
  <c r="L9" i="3"/>
  <c r="N9" i="3"/>
  <c r="D9" i="3"/>
  <c r="J9" i="3"/>
  <c r="I9" i="3"/>
  <c r="R9" i="3"/>
  <c r="H9" i="3"/>
  <c r="U11" i="3"/>
  <c r="C11" i="3" s="1"/>
  <c r="A11" i="3" s="1"/>
  <c r="C10" i="3"/>
  <c r="A10" i="3" s="1"/>
  <c r="P8" i="3" l="1"/>
  <c r="K9" i="3"/>
  <c r="Q9" i="3" s="1"/>
  <c r="O9" i="3"/>
  <c r="S9" i="3"/>
  <c r="T9" i="3" s="1"/>
  <c r="M9" i="3"/>
  <c r="J10" i="3"/>
  <c r="N10" i="3"/>
  <c r="R10" i="3"/>
  <c r="F10" i="3"/>
  <c r="B10" i="3" s="1"/>
  <c r="I10" i="3"/>
  <c r="D10" i="3"/>
  <c r="L10" i="3"/>
  <c r="E10" i="3"/>
  <c r="H10" i="3"/>
  <c r="G10" i="3"/>
  <c r="F11" i="3"/>
  <c r="B11" i="3" s="1"/>
  <c r="L11" i="3"/>
  <c r="H11" i="3"/>
  <c r="G11" i="3"/>
  <c r="D11" i="3"/>
  <c r="N11" i="3"/>
  <c r="E11" i="3"/>
  <c r="I11" i="3"/>
  <c r="R11" i="3"/>
  <c r="J11" i="3"/>
  <c r="K10" i="3" l="1"/>
  <c r="Q10" i="3" s="1"/>
  <c r="M10" i="3"/>
  <c r="O10" i="3"/>
  <c r="S10" i="3"/>
  <c r="T10" i="3" s="1"/>
  <c r="M11" i="3"/>
  <c r="K11" i="3"/>
  <c r="Q11" i="3" s="1"/>
  <c r="S11" i="3"/>
  <c r="T11" i="3" s="1"/>
  <c r="O11" i="3"/>
  <c r="P9" i="3"/>
  <c r="P11" i="3" l="1"/>
  <c r="P10" i="3"/>
</calcChain>
</file>

<file path=xl/sharedStrings.xml><?xml version="1.0" encoding="utf-8"?>
<sst xmlns="http://schemas.openxmlformats.org/spreadsheetml/2006/main" count="13429" uniqueCount="767">
  <si>
    <t>Nome Empresa</t>
  </si>
  <si>
    <t>Ticker</t>
  </si>
  <si>
    <t>SETOR_ATIV</t>
  </si>
  <si>
    <t>DT_REFER</t>
  </si>
  <si>
    <t>BRASILAGRO - CIA BRAS DE PROP AGRICOLAS</t>
  </si>
  <si>
    <t>AGRO</t>
  </si>
  <si>
    <t>Agricultura (Açúcar, Álcool e Cana)</t>
  </si>
  <si>
    <t>COSAN S.A.</t>
  </si>
  <si>
    <t>CSAN</t>
  </si>
  <si>
    <t>CTC - CENTRO DE TECNOLOGIA CANAVIEIRA S.A.</t>
  </si>
  <si>
    <t>CTCA</t>
  </si>
  <si>
    <t>JALLES MACHADO S.A.</t>
  </si>
  <si>
    <t>JALL</t>
  </si>
  <si>
    <t>NUTRIPLANT INDUSTRIA E COMERCIO S.A.</t>
  </si>
  <si>
    <t>NUTR</t>
  </si>
  <si>
    <t>SAO MARTINHO S.A.</t>
  </si>
  <si>
    <t>SMTO</t>
  </si>
  <si>
    <t>SLC AGRICOLA S.A.</t>
  </si>
  <si>
    <t>SLCE</t>
  </si>
  <si>
    <t>POMIFRUTAS S/A EM RECUPERACAO JUDICIAL</t>
  </si>
  <si>
    <t>FRTA</t>
  </si>
  <si>
    <t>CONSERVAS ODERICH S.A.</t>
  </si>
  <si>
    <t>ODER</t>
  </si>
  <si>
    <t>Alimentos</t>
  </si>
  <si>
    <t>EXCELSIOR ALIMENTOS S.A.</t>
  </si>
  <si>
    <t>BAUH</t>
  </si>
  <si>
    <t>JBS S.A.</t>
  </si>
  <si>
    <t>JBSS</t>
  </si>
  <si>
    <t>M.DIAS BRANCO S.A. IND COM DE ALIMENTOS</t>
  </si>
  <si>
    <t>MDIA</t>
  </si>
  <si>
    <t>MARFRIG GLOBAL FOODS S.A.</t>
  </si>
  <si>
    <t>MRFG</t>
  </si>
  <si>
    <t>MINERVA S.A.</t>
  </si>
  <si>
    <t>BEEF</t>
  </si>
  <si>
    <t>ZAMP SA</t>
  </si>
  <si>
    <t>BKBR</t>
  </si>
  <si>
    <t>INTERNATIONAL MEAL COMPANY ALIMENTACAO S.A.</t>
  </si>
  <si>
    <t>MEAL</t>
  </si>
  <si>
    <t>BCO BTG PACTUAL S.A.</t>
  </si>
  <si>
    <t>BPAC</t>
  </si>
  <si>
    <t>Bancos</t>
  </si>
  <si>
    <t>ITAU UNIBANCO HOLDING S.A.</t>
  </si>
  <si>
    <t>ITUB</t>
  </si>
  <si>
    <t>BANCO BMG S/A</t>
  </si>
  <si>
    <t>BMGB</t>
  </si>
  <si>
    <t>BCO ESTADO DE SERGIPE S.A. - BANESE</t>
  </si>
  <si>
    <t>BGIP</t>
  </si>
  <si>
    <t>BCO PAN S.A.</t>
  </si>
  <si>
    <t>BPAN</t>
  </si>
  <si>
    <t>BCO PINE S.A</t>
  </si>
  <si>
    <t>PINE</t>
  </si>
  <si>
    <t>BCO SANTANDER (BRASIL) S.A.</t>
  </si>
  <si>
    <t>SANB</t>
  </si>
  <si>
    <t>DM FINANCEIRA S.A. - CRÉDITO, FINANCIAMENTO E INVESTIMENTO</t>
  </si>
  <si>
    <t>FNCN</t>
  </si>
  <si>
    <t>BANESTES S.A. - BCO EST ESPIRITO SANTO</t>
  </si>
  <si>
    <t>BEES</t>
  </si>
  <si>
    <t>BCO ABC BRASIL S.A.</t>
  </si>
  <si>
    <t>ABCB</t>
  </si>
  <si>
    <t>BCO ALFA DE INVESTIMENTO S.A.</t>
  </si>
  <si>
    <t>BRIV</t>
  </si>
  <si>
    <t>BCO AMAZONIA S.A.</t>
  </si>
  <si>
    <t>BAZA</t>
  </si>
  <si>
    <t>BCO BRADESCO S.A.</t>
  </si>
  <si>
    <t>BBDC</t>
  </si>
  <si>
    <t>BCO BRASIL S.A.</t>
  </si>
  <si>
    <t>BBAS</t>
  </si>
  <si>
    <t>BCO ESTADO DO PARA S.A.</t>
  </si>
  <si>
    <t>BPAR</t>
  </si>
  <si>
    <t>BCO ESTADO DO RIO GRANDE DO SUL S.A.</t>
  </si>
  <si>
    <t>BRSR</t>
  </si>
  <si>
    <t>BCO MERCANTIL DE INVESTIMENTOS S.A.</t>
  </si>
  <si>
    <t>BMIN</t>
  </si>
  <si>
    <t>BCO MERCANTIL DO BRASIL S.A.</t>
  </si>
  <si>
    <t>BMEB</t>
  </si>
  <si>
    <t>BCO NORDESTE DO BRASIL S.A.</t>
  </si>
  <si>
    <t>BNBR</t>
  </si>
  <si>
    <t>BRB BCO DE BRASILIA S.A.</t>
  </si>
  <si>
    <t>BSLI</t>
  </si>
  <si>
    <t>FINANCEIRA ALFA S.A.- CRED FINANC E INVS</t>
  </si>
  <si>
    <t>CRIV</t>
  </si>
  <si>
    <t>CREDITAQUI FINANCEIRA S.A. - C.F.I.</t>
  </si>
  <si>
    <t>MERC</t>
  </si>
  <si>
    <t>INVESTIMENTOS BEMGE S.A.</t>
  </si>
  <si>
    <t>FIGE</t>
  </si>
  <si>
    <t>AMBEV S.A.</t>
  </si>
  <si>
    <t>ABEV</t>
  </si>
  <si>
    <t>Bebidas e Fumo</t>
  </si>
  <si>
    <t>B3 S.A. - BRASIL, BOLSA, BALCÃO</t>
  </si>
  <si>
    <t>B3SA</t>
  </si>
  <si>
    <t>Bolsas de Valores/Mercadorias e Futuros</t>
  </si>
  <si>
    <t>BICICLETAS MONARK S.A.</t>
  </si>
  <si>
    <t>BMKS</t>
  </si>
  <si>
    <t>Brinquedos e Lazer</t>
  </si>
  <si>
    <t>SMARTFIT ESCOLA DE GINÁSTICA E DANÇA S.A.</t>
  </si>
  <si>
    <t>SMFT</t>
  </si>
  <si>
    <t>T4F ENTRETENIMENTO S.A.</t>
  </si>
  <si>
    <t>SHOW</t>
  </si>
  <si>
    <t>MANUFATURA DE BRINQUEDOS ESTRELA S.A.</t>
  </si>
  <si>
    <t>ESTR</t>
  </si>
  <si>
    <t>VIVARA PARTICIPAÇÕES S.A.</t>
  </si>
  <si>
    <t>VIVA</t>
  </si>
  <si>
    <t>Comércio (Atacado e Varejo)</t>
  </si>
  <si>
    <t>AMERICANAS S.A. - EM RECUPERAÇÃO JUDICIAL</t>
  </si>
  <si>
    <t>AMER</t>
  </si>
  <si>
    <t>VIBRA ENERGIA S/A</t>
  </si>
  <si>
    <t>VBBR</t>
  </si>
  <si>
    <t>SENDAS DISTRIBUIDORA S.A.</t>
  </si>
  <si>
    <t>ASAI</t>
  </si>
  <si>
    <t>VIA S.A.</t>
  </si>
  <si>
    <t>VIIA</t>
  </si>
  <si>
    <t>MAGAZINE LUIZA S.A.</t>
  </si>
  <si>
    <t>MGLU</t>
  </si>
  <si>
    <t>CIA BRASILEIRA DE DISTRIBUICAO</t>
  </si>
  <si>
    <t>PCAR</t>
  </si>
  <si>
    <t>LOJAS RENNER S.A.</t>
  </si>
  <si>
    <t>LREN</t>
  </si>
  <si>
    <t>RAIA DROGASIL S.A.</t>
  </si>
  <si>
    <t>RADL</t>
  </si>
  <si>
    <t>INTELBRAS S.A.</t>
  </si>
  <si>
    <t>INTB</t>
  </si>
  <si>
    <t>PET CENTER COMÉRCIO E PARTICIPAÇÕES S.A.</t>
  </si>
  <si>
    <t>PETZ</t>
  </si>
  <si>
    <t>PROFARMA DISTRIB PROD FARMACEUTICOS S.A.</t>
  </si>
  <si>
    <t>PFRM</t>
  </si>
  <si>
    <t>MARISA LOJAS S.A.</t>
  </si>
  <si>
    <t>AMAR</t>
  </si>
  <si>
    <t>DIMED S.A. DISTRIBUIDORA DE MEDICAMENTOS</t>
  </si>
  <si>
    <t>PNVL</t>
  </si>
  <si>
    <t>GRUPO SBF S.A.</t>
  </si>
  <si>
    <t>SBFG</t>
  </si>
  <si>
    <t>LOJAS QUERO QUERO S.A.</t>
  </si>
  <si>
    <t>LJQQ</t>
  </si>
  <si>
    <t>GRAZZIOTIN S.A.</t>
  </si>
  <si>
    <t>CGRA</t>
  </si>
  <si>
    <t>D1000 VAREJO FARMA PARTICIPAÇÕES S.A.</t>
  </si>
  <si>
    <t>DMVF</t>
  </si>
  <si>
    <t>MOBLY S.A.</t>
  </si>
  <si>
    <t>MBLY</t>
  </si>
  <si>
    <t>ENJOEI S.A.</t>
  </si>
  <si>
    <t>ENJU</t>
  </si>
  <si>
    <t>WESTWING COMÉRCIO VAREJISTA S.A.</t>
  </si>
  <si>
    <t>WEST</t>
  </si>
  <si>
    <t>TECHNOS S.A.</t>
  </si>
  <si>
    <t>TECN</t>
  </si>
  <si>
    <t>SARAIVA LIVREIROS S.A. - EM RECUPERAÇÃO JUDICIAL</t>
  </si>
  <si>
    <t>SLED</t>
  </si>
  <si>
    <t>GENERAL SHOPPING E OUTLETS DO BRASIL BRASIL S.A.</t>
  </si>
  <si>
    <t>GSHP</t>
  </si>
  <si>
    <t>BEMOBI MOBILE TECH S.A.</t>
  </si>
  <si>
    <t>BMOB</t>
  </si>
  <si>
    <t>Comunicação e Informática</t>
  </si>
  <si>
    <t>BRQ SOLUCOES EM INFORMATICA S.A.</t>
  </si>
  <si>
    <t>BRQB</t>
  </si>
  <si>
    <t>LOCAWEB SERVIÇOS DE INTERNET S.A.</t>
  </si>
  <si>
    <t>LWSA</t>
  </si>
  <si>
    <t>POSITIVO TECNOLOGIA S.A.</t>
  </si>
  <si>
    <t>POSI</t>
  </si>
  <si>
    <t>SINQIA S.A.</t>
  </si>
  <si>
    <t>SQIA</t>
  </si>
  <si>
    <t>TOTVS S.A.</t>
  </si>
  <si>
    <t>TOTS</t>
  </si>
  <si>
    <t>MÉLIUZ S.A.</t>
  </si>
  <si>
    <t>CASH</t>
  </si>
  <si>
    <t>FLEX GESTÃO DE RELACIONAMENTOS S.A.</t>
  </si>
  <si>
    <t>FLEX</t>
  </si>
  <si>
    <t>CONSTRUTORA ADOLPHO LINDENBERG S.A.</t>
  </si>
  <si>
    <t>CALI</t>
  </si>
  <si>
    <t>Construção Civil, Mat. Constr. e Decoração</t>
  </si>
  <si>
    <t>CURY CONSTRUTORA E INCORPORADORA S.A.</t>
  </si>
  <si>
    <t>CURY</t>
  </si>
  <si>
    <t>CYRELA BRAZIL REALTY S.A.EMPREEND E PART</t>
  </si>
  <si>
    <t>CYRE</t>
  </si>
  <si>
    <t>DEXCO S.A.</t>
  </si>
  <si>
    <t>DXCO</t>
  </si>
  <si>
    <t>DIRECIONAL ENGENHARIA S.A.</t>
  </si>
  <si>
    <t>DIRR</t>
  </si>
  <si>
    <t>ETERNIT S.A. - EM RECUPERAÇÃO JUDICIAL</t>
  </si>
  <si>
    <t>ETER</t>
  </si>
  <si>
    <t>EUCATEX S.A. INDUSTRIA E COMERCIO</t>
  </si>
  <si>
    <t>EUCA</t>
  </si>
  <si>
    <t>HBR REALTY EMPREENDIMENTOS IMOBILIÁRIOS S.A.</t>
  </si>
  <si>
    <t>HBRE</t>
  </si>
  <si>
    <t>HELBOR EMPREENDIMENTOS S.A.</t>
  </si>
  <si>
    <t>HBOR</t>
  </si>
  <si>
    <t>LAVVI EMPREENDIMENTOS IMOBILIÁRIOS S.A.</t>
  </si>
  <si>
    <t>LAVV</t>
  </si>
  <si>
    <t>LOG COMMERCIAL PROPERTIES E PARTICIPAÇÕES</t>
  </si>
  <si>
    <t>LOGG</t>
  </si>
  <si>
    <t>MITRE REALTY EMPREENDIMENTOS E PARTICIPAÇÕES S.A.</t>
  </si>
  <si>
    <t>MTRE</t>
  </si>
  <si>
    <t>MRV ENGENHARIA E PARTICIPACOES S.A.</t>
  </si>
  <si>
    <t>MRVE</t>
  </si>
  <si>
    <t>PBG S/A</t>
  </si>
  <si>
    <t>PTBL</t>
  </si>
  <si>
    <t>PLANO &amp; PLANO DESENVOLVIMENTO IMOBILIÁRIO S.A.</t>
  </si>
  <si>
    <t>PLPL</t>
  </si>
  <si>
    <t>PRINER SERVIÇOS INDUSTRIAIS S.A.</t>
  </si>
  <si>
    <t>PRNR</t>
  </si>
  <si>
    <t>RNI NEGÓCIOS IMOBILIÁRIOS S.A.</t>
  </si>
  <si>
    <t>RDNI</t>
  </si>
  <si>
    <t>SONDOTECNICA ENGENHARIA SOLOS S.A.</t>
  </si>
  <si>
    <t>SOND</t>
  </si>
  <si>
    <t>UNICASA INDÚSTRIA DE MÓVEIS S.A.</t>
  </si>
  <si>
    <t>UCAS</t>
  </si>
  <si>
    <t>AZEVEDO E TRAVASSOS S.A.</t>
  </si>
  <si>
    <t>AZEV</t>
  </si>
  <si>
    <t>CONSTRUTORA TENDA S.A.</t>
  </si>
  <si>
    <t>TEND</t>
  </si>
  <si>
    <t>EVEN CONSTRUTORA E INCORPORADORA S.A.</t>
  </si>
  <si>
    <t>EVEN</t>
  </si>
  <si>
    <t>INTER CONSTRUTORA E INCORPORADORA S.A.</t>
  </si>
  <si>
    <t>INNT</t>
  </si>
  <si>
    <t>MOURA DUBEUX ENGENHARIA S/A</t>
  </si>
  <si>
    <t>MDNE</t>
  </si>
  <si>
    <t>TECNISA S.A.</t>
  </si>
  <si>
    <t>TCSA</t>
  </si>
  <si>
    <t>CR2 EMPREENDIMENTOS IMOBILIARIOS S.A.</t>
  </si>
  <si>
    <t>CRDE</t>
  </si>
  <si>
    <t>GAFISA S.A.</t>
  </si>
  <si>
    <t>GFSA</t>
  </si>
  <si>
    <t>CORREA RIBEIRO S.A. COMERCIO E INDUSTRIA</t>
  </si>
  <si>
    <t>CORR</t>
  </si>
  <si>
    <t>JOAO FORTES ENGENHARIA S.A. - EM RECUPERAÇÃO JUDICIAL</t>
  </si>
  <si>
    <t>JFEN</t>
  </si>
  <si>
    <t>ROSSI RESIDENCIAL S.A. - EM RECUPERAÇÃO JUDICIAL</t>
  </si>
  <si>
    <t>RSID</t>
  </si>
  <si>
    <t>VIVER INCORPORADORA E CONSTRUTORA S.A.</t>
  </si>
  <si>
    <t>VIVR</t>
  </si>
  <si>
    <t>ANIMA HOLDING S.A.</t>
  </si>
  <si>
    <t>ANIM</t>
  </si>
  <si>
    <t>Educação</t>
  </si>
  <si>
    <t>CRUZEIRO DO SUL EDUCACIONAL S.A.</t>
  </si>
  <si>
    <t>CSED</t>
  </si>
  <si>
    <t>SER EDUCACIONAL S.A.</t>
  </si>
  <si>
    <t>SEER</t>
  </si>
  <si>
    <t>JOSAPAR-JOAQUIM OLIVEIRA S.A. - PARTICIP</t>
  </si>
  <si>
    <t>JOPA</t>
  </si>
  <si>
    <t>Emp. Adm. Part. - Alimentos</t>
  </si>
  <si>
    <t>BRF S.A.</t>
  </si>
  <si>
    <t>BRFS</t>
  </si>
  <si>
    <t>MINUPAR PARTICIPACOES S.A.</t>
  </si>
  <si>
    <t>MNPR</t>
  </si>
  <si>
    <t>ALIANSCE SONAE SHOPPING CENTERS S.A.</t>
  </si>
  <si>
    <t>ALSO</t>
  </si>
  <si>
    <t>Emp. Adm. Part. - Comércio (Atacado e Varejo)</t>
  </si>
  <si>
    <t>ATACADÃO S.A.</t>
  </si>
  <si>
    <t>CRFB</t>
  </si>
  <si>
    <t>BR MALLS PARTICIPACOES S.A.</t>
  </si>
  <si>
    <t>BRML</t>
  </si>
  <si>
    <t>GRUPO MATEUS S.A.</t>
  </si>
  <si>
    <t>GMAT</t>
  </si>
  <si>
    <t>OURO FINO SAUDE ANIMAL PARTICIPACOES S.A.</t>
  </si>
  <si>
    <t>OFSA</t>
  </si>
  <si>
    <t>VESTE S.A. ESTILO</t>
  </si>
  <si>
    <t>LLIS</t>
  </si>
  <si>
    <t>QUALITY SOFTWARE S.A.</t>
  </si>
  <si>
    <t>QUSW</t>
  </si>
  <si>
    <t>Emp. Adm. Part. - Comunicação e Informática</t>
  </si>
  <si>
    <t>ELETROMIDIA S.A.</t>
  </si>
  <si>
    <t>ELMD</t>
  </si>
  <si>
    <t>ATMA PARTICIPAÇÕES S.A. - EM RECUPERAÇÃO JUDICIAL</t>
  </si>
  <si>
    <t>ATMP</t>
  </si>
  <si>
    <t>SYN PROP &amp; TECH S.A.</t>
  </si>
  <si>
    <t>SYNE</t>
  </si>
  <si>
    <t>Emp. Adm. Part. - Const. Civil, Mat. Const. e Decoração</t>
  </si>
  <si>
    <t>EZ TEC EMPREEND. E PARTICIPACOES S.A.</t>
  </si>
  <si>
    <t>EZTC</t>
  </si>
  <si>
    <t>JHSF PARTICIPACOES S.A.</t>
  </si>
  <si>
    <t>JHSF</t>
  </si>
  <si>
    <t>LPS BRASIL - CONSULTORIA DE IMOVEIS S.A.</t>
  </si>
  <si>
    <t>LPSB</t>
  </si>
  <si>
    <t>MELNICK DESENVOLVIMENTO IMOBILIÁRIO S.A.</t>
  </si>
  <si>
    <t>MELK</t>
  </si>
  <si>
    <t>MULTIPLAN - EMPREEND IMOBILIARIOS S.A.</t>
  </si>
  <si>
    <t>MULT</t>
  </si>
  <si>
    <t>TRISUL S.A.</t>
  </si>
  <si>
    <t>TRIS</t>
  </si>
  <si>
    <t>NEXPE PARTICIPAÇÕES S.A</t>
  </si>
  <si>
    <t>BBRK</t>
  </si>
  <si>
    <t>PDG REALTY S.A. EMPREEND E PARTICIPACOES</t>
  </si>
  <si>
    <t>PDGR</t>
  </si>
  <si>
    <t>CIA HABITASUL DE PARTICIPACOES</t>
  </si>
  <si>
    <t>HBTS</t>
  </si>
  <si>
    <t>Emp. Adm. Part. - Crédito Imobiliário</t>
  </si>
  <si>
    <t>YDUQS PARTICIPACOES S.A.</t>
  </si>
  <si>
    <t>YDUQ</t>
  </si>
  <si>
    <t>Emp. Adm. Part. - Educação</t>
  </si>
  <si>
    <t>BAHEMA EDUCAÇÃO S.A.</t>
  </si>
  <si>
    <t>BAHI</t>
  </si>
  <si>
    <t>COGNA EDUCAÇÃO S.A.</t>
  </si>
  <si>
    <t>COGN</t>
  </si>
  <si>
    <t>ALUPAR INVESTIMENTO S/A</t>
  </si>
  <si>
    <t>ALUP</t>
  </si>
  <si>
    <t>Emp. Adm. Part. - Energia Elétrica</t>
  </si>
  <si>
    <t>CENTRAIS ELET BRAS S.A. - ELETROBRAS</t>
  </si>
  <si>
    <t>ELET</t>
  </si>
  <si>
    <t>CPFL ENERGIA S.A.</t>
  </si>
  <si>
    <t>CPFE</t>
  </si>
  <si>
    <t>ELETROBRÁS PARTICIPAÇÕES S.A. - ELETROPAR</t>
  </si>
  <si>
    <t>LIPR</t>
  </si>
  <si>
    <t>ENERGISA S.A.</t>
  </si>
  <si>
    <t>ENGI</t>
  </si>
  <si>
    <t>TRANSMISSORA ALIANÇA DE ENERGIA ELÉTRICA S.A.</t>
  </si>
  <si>
    <t>TAEE</t>
  </si>
  <si>
    <t>CIA CELG DE PARTICIPACOES - CELGPAR</t>
  </si>
  <si>
    <t>GPAR</t>
  </si>
  <si>
    <t>CIMS S.A.</t>
  </si>
  <si>
    <t>CMSA</t>
  </si>
  <si>
    <t>LIGHT S.A.</t>
  </si>
  <si>
    <t>LIGT</t>
  </si>
  <si>
    <t>NEOENERGIA S.A.</t>
  </si>
  <si>
    <t>NEOE</t>
  </si>
  <si>
    <t>BRADESPAR S.A.</t>
  </si>
  <si>
    <t>BRAP</t>
  </si>
  <si>
    <t>Emp. Adm. Part. - Extração Mineral</t>
  </si>
  <si>
    <t>SAO PAULO TURISMO S.A.</t>
  </si>
  <si>
    <t>AHEB</t>
  </si>
  <si>
    <t>Emp. Adm. Part. - Hospedagem e Turismo</t>
  </si>
  <si>
    <t>ALFA HOLDINGS S.A.</t>
  </si>
  <si>
    <t>RPAD</t>
  </si>
  <si>
    <t>Emp. Adm. Part. - Intermediação Financeira</t>
  </si>
  <si>
    <t>CONSORCIO ALFA DE ADMINISTRACAO S.A.</t>
  </si>
  <si>
    <t>BRGE</t>
  </si>
  <si>
    <t>ITAÚSA S.A.</t>
  </si>
  <si>
    <t>ITSA</t>
  </si>
  <si>
    <t>PRÁTICA KLIMAQUIP INDÚSTRIA E COMÉRCIO S.A.</t>
  </si>
  <si>
    <t>PTCA</t>
  </si>
  <si>
    <t>Emp. Adm. Part. - Máqs., Equip., Veíc. e Peças</t>
  </si>
  <si>
    <t>WEG S.A.</t>
  </si>
  <si>
    <t>WEGE</t>
  </si>
  <si>
    <t>WLM PART. E COMÉRCIO DE MÁQUINAS E VEÍCULOS S.A.</t>
  </si>
  <si>
    <t>WLMM</t>
  </si>
  <si>
    <t>PLASCAR PARTICIPACOES INDUSTRIAIS S.A.</t>
  </si>
  <si>
    <t>PLAS</t>
  </si>
  <si>
    <t>KEPLER WEBER S.A.</t>
  </si>
  <si>
    <t>KEPL</t>
  </si>
  <si>
    <t>Emp. Adm. Part. - Metalurgia e Siderurgia</t>
  </si>
  <si>
    <t>METALURGICA GERDAU S.A.</t>
  </si>
  <si>
    <t>GOAU</t>
  </si>
  <si>
    <t>TEKNO S.A. - INDUSTRIA E COMERCIO</t>
  </si>
  <si>
    <t>TKNO</t>
  </si>
  <si>
    <t>MANGELS INDUSTRIAL S.A.</t>
  </si>
  <si>
    <t>MGEL</t>
  </si>
  <si>
    <t>SUZANO HOLDING S.A.</t>
  </si>
  <si>
    <t>NEMO</t>
  </si>
  <si>
    <t>Emp. Adm. Part. - Papel e Celulose</t>
  </si>
  <si>
    <t>ENAUTA PARTICIPAÇÕES S.A.</t>
  </si>
  <si>
    <t>ENAT</t>
  </si>
  <si>
    <t>Emp. Adm. Part. - Petróleo e Gás</t>
  </si>
  <si>
    <t>ULTRAPAR PARTICIPACOES S.A.</t>
  </si>
  <si>
    <t>UGPA</t>
  </si>
  <si>
    <t>DEXXOS PARTICIPAÇÕES S.A.</t>
  </si>
  <si>
    <t>DEXP</t>
  </si>
  <si>
    <t>Emp. Adm. Part. - Petroquímicos e Borracha</t>
  </si>
  <si>
    <t>CIA GAS DE SAO PAULO - COMGAS</t>
  </si>
  <si>
    <t>CGAS</t>
  </si>
  <si>
    <t>Emp. Adm. Part. - Saneamento, Serv. Água e Gás</t>
  </si>
  <si>
    <t>ALPER CONSULTORIA E CORRETORA DE SEGUROS S.A.</t>
  </si>
  <si>
    <t>APER</t>
  </si>
  <si>
    <t>Emp. Adm. Part. - Seguradoras e Corretoras</t>
  </si>
  <si>
    <t>BB SEGURIDADE PARTICIPAÇÕES S.A.</t>
  </si>
  <si>
    <t>BBSE</t>
  </si>
  <si>
    <t>ATOM EMPREENDIMENTOS E PARTICIPAÇÕES S.A.</t>
  </si>
  <si>
    <t>ATOM</t>
  </si>
  <si>
    <t>Emp. Adm. Part. - Sem Setor Principal</t>
  </si>
  <si>
    <t>BR PROPERTIES S.A.</t>
  </si>
  <si>
    <t>BRPR</t>
  </si>
  <si>
    <t>CIA PARTICIPACOES ALIANCA DA BAHIA</t>
  </si>
  <si>
    <t>PEAB</t>
  </si>
  <si>
    <t>CSU DIGITAL S.A.</t>
  </si>
  <si>
    <t>CARD</t>
  </si>
  <si>
    <t>EMBPAR PARTICIPAÇÕES S/A</t>
  </si>
  <si>
    <t>EPAR</t>
  </si>
  <si>
    <t>MONTEIRO ARANHA S.A.</t>
  </si>
  <si>
    <t>MOAR</t>
  </si>
  <si>
    <t>SAO CARLOS EMPREEND E PARTICIPACOES S.A.</t>
  </si>
  <si>
    <t>SCAR</t>
  </si>
  <si>
    <t>TREVISA INVESTIMENTOS S.A.</t>
  </si>
  <si>
    <t>LUXM</t>
  </si>
  <si>
    <t>POLPAR S.A.</t>
  </si>
  <si>
    <t>PPAR</t>
  </si>
  <si>
    <t>CEMEPE INVESTIMENTOS S.A.</t>
  </si>
  <si>
    <t>MAPT</t>
  </si>
  <si>
    <t>OSX BRASIL S.A.</t>
  </si>
  <si>
    <t>OSXB</t>
  </si>
  <si>
    <t>CCR S.A.</t>
  </si>
  <si>
    <t>CCRO</t>
  </si>
  <si>
    <t>Emp. Adm. Part. - Serviços Transporte e Logística</t>
  </si>
  <si>
    <t>SANTOS BRASIL PARTICIPACOES S.A.</t>
  </si>
  <si>
    <t>STBP</t>
  </si>
  <si>
    <t>VAMOS LOCAÇÃO DE CAMINHÕES, MÁQUINAS E EQUIPAMENTOS S.A.</t>
  </si>
  <si>
    <t>VAMO</t>
  </si>
  <si>
    <t>RUMO S.A.</t>
  </si>
  <si>
    <t>RAIL</t>
  </si>
  <si>
    <t>TPI - TRIUNFO PARTICIP. E INVEST. S.A.</t>
  </si>
  <si>
    <t>TPIS</t>
  </si>
  <si>
    <t>AZUL S.A.</t>
  </si>
  <si>
    <t>AZUL</t>
  </si>
  <si>
    <t>GOL LINHAS AEREAS INTELIGENTES S.A.</t>
  </si>
  <si>
    <t>GOLL</t>
  </si>
  <si>
    <t>INVESTIMENTOS E PARTICIP. EM INFRA S.A. - INVEPAR</t>
  </si>
  <si>
    <t>IVPR</t>
  </si>
  <si>
    <t>IGUATEMI S.A.</t>
  </si>
  <si>
    <t>IGTI</t>
  </si>
  <si>
    <t>Emp. Adm. Part. - Telecomunicações</t>
  </si>
  <si>
    <t>PADTEC HOLDING S.A.</t>
  </si>
  <si>
    <t>PDTC</t>
  </si>
  <si>
    <t>SPRINGS GLOBAL PARTICIPACOES S.A.</t>
  </si>
  <si>
    <t>SGPS</t>
  </si>
  <si>
    <t>Emp. Adm. Part. - Têxtil e Vestuário</t>
  </si>
  <si>
    <t>AFLUENTE TRANSMISSÃO DE ENERGIA ELÉTRICA S/A</t>
  </si>
  <si>
    <t>AFLT</t>
  </si>
  <si>
    <t>Energia Elétrica</t>
  </si>
  <si>
    <t>AMPLA ENERGIA E SERVICOS S.A.</t>
  </si>
  <si>
    <t>CBEE</t>
  </si>
  <si>
    <t>CENTRAIS ELET DE SANTA CATARINA S.A.</t>
  </si>
  <si>
    <t>CLSC</t>
  </si>
  <si>
    <t>CESP - CIA ENERGETICA DE SAO PAULO</t>
  </si>
  <si>
    <t>CESP</t>
  </si>
  <si>
    <t>CIA ELETRICIDADE EST. DA BAHIA - COELBA</t>
  </si>
  <si>
    <t>CEEB</t>
  </si>
  <si>
    <t>COMPANHIA ENERGÉTICA DE BRASÍLIA - CEB</t>
  </si>
  <si>
    <t>CEBR</t>
  </si>
  <si>
    <t>CIA ENERGETICA DE MINAS GERAIS - CEMIG</t>
  </si>
  <si>
    <t>CMIG</t>
  </si>
  <si>
    <t>CIA ENERGETICA DE PERNAMBUCO - CELPE</t>
  </si>
  <si>
    <t>CEPE</t>
  </si>
  <si>
    <t>CIA ENERGETICA DO CEARA - COELCE</t>
  </si>
  <si>
    <t>COCE</t>
  </si>
  <si>
    <t>CIA ENERGETICA DO RIO GDE NORTE - COSERN</t>
  </si>
  <si>
    <t>CSRN</t>
  </si>
  <si>
    <t>CIA ESTADUAL DE TRANSMISSÃO DE ENERGIA ELETRICA - CEEE-T</t>
  </si>
  <si>
    <t>EEEL</t>
  </si>
  <si>
    <t>CTEEP - CIA TRANSMISSÃO ENERGIA ELÉTRICA PAULISTA</t>
  </si>
  <si>
    <t>TRPL</t>
  </si>
  <si>
    <t>EDP - ENERGIAS DO BRASIL S.A.</t>
  </si>
  <si>
    <t>ENBR</t>
  </si>
  <si>
    <t>ELEKTRO REDES S.A.</t>
  </si>
  <si>
    <t>EKTR</t>
  </si>
  <si>
    <t>EMAE - EMPRESA METROP.AGUAS ENERGIA S.A.</t>
  </si>
  <si>
    <t>EMAE</t>
  </si>
  <si>
    <t>ENERGISA MATO GROSSO-DISTRIBUIDORA DE ENERGIA S/A</t>
  </si>
  <si>
    <t>ENMT</t>
  </si>
  <si>
    <t>ENEVA S.A</t>
  </si>
  <si>
    <t>ENEV</t>
  </si>
  <si>
    <t>ENGIE BRASIL ENERGIA S.A.</t>
  </si>
  <si>
    <t>EGIE</t>
  </si>
  <si>
    <t>EQUATORIAL ENERGIA S.A.</t>
  </si>
  <si>
    <t>EQTL</t>
  </si>
  <si>
    <t>EQUATORIAL PARÁ DISTRIBUIDORA DE ENERGIA S.A.</t>
  </si>
  <si>
    <t>EQPA</t>
  </si>
  <si>
    <t>REDE ENERGIA PARTICIPAÇÕES S.A.</t>
  </si>
  <si>
    <t>REDE</t>
  </si>
  <si>
    <t>RIO PARANAPANEMA ENERGIA S.A.</t>
  </si>
  <si>
    <t>GEPA</t>
  </si>
  <si>
    <t>STATKRAFT ENERGIAS RENOVAVEIS S.A.</t>
  </si>
  <si>
    <t>STKF</t>
  </si>
  <si>
    <t>RENOVA ENERGIA S.A. - EM RECUPERAÇÃO JUDICIAL</t>
  </si>
  <si>
    <t>RNEW</t>
  </si>
  <si>
    <t>CIA PARANAENSE DE ENERGIA - COPEL</t>
  </si>
  <si>
    <t>CPLE</t>
  </si>
  <si>
    <t>CIA ESTADUAL DE DISTRIB ENER ELET-CEEE-D</t>
  </si>
  <si>
    <t>CEED</t>
  </si>
  <si>
    <t>VALE S.A.</t>
  </si>
  <si>
    <t>VALE</t>
  </si>
  <si>
    <t>Extração Mineral</t>
  </si>
  <si>
    <t>HYPERA S.A.</t>
  </si>
  <si>
    <t>HYPE</t>
  </si>
  <si>
    <t>Farmacêutico e Higiene</t>
  </si>
  <si>
    <t>BIOMM S.A.</t>
  </si>
  <si>
    <t>BIOM</t>
  </si>
  <si>
    <t>NATURA &amp;CO HOLDING S.A.</t>
  </si>
  <si>
    <t>NTCO</t>
  </si>
  <si>
    <t>BOMBRIL S.A.</t>
  </si>
  <si>
    <t>BOBR</t>
  </si>
  <si>
    <t>VALID SOLUÇÕES S.A.</t>
  </si>
  <si>
    <t>VLID</t>
  </si>
  <si>
    <t>Gráficas e Editoras</t>
  </si>
  <si>
    <t>CVC BRASIL OPERADORA E AGÊNCIA DE VIAGENS S.A.</t>
  </si>
  <si>
    <t>CVCB</t>
  </si>
  <si>
    <t>Hospedagem e Turismo</t>
  </si>
  <si>
    <t>HOTEIS OTHON S.A. - EM RECUPERAÇÃO JUDICIAL</t>
  </si>
  <si>
    <t>HOOT</t>
  </si>
  <si>
    <t>CIELO S.A. -  INSTITUIÇÃO DE PAGAMENTO</t>
  </si>
  <si>
    <t>CIEL</t>
  </si>
  <si>
    <t>Intermediação Financeira</t>
  </si>
  <si>
    <t>AERIS IND. E COM. DE EQUIP. PARA GER. DE ENG. S.A.</t>
  </si>
  <si>
    <t>AERI</t>
  </si>
  <si>
    <t>Máquinas, Equipamentos, Veículos e Peças</t>
  </si>
  <si>
    <t>FRAS-LE S.A.</t>
  </si>
  <si>
    <t>FRAS</t>
  </si>
  <si>
    <t>ROMI S.A.</t>
  </si>
  <si>
    <t>ROMI</t>
  </si>
  <si>
    <t>IOCHPE MAXION S.A.</t>
  </si>
  <si>
    <t>MYPK</t>
  </si>
  <si>
    <t>MAHLE-METAL LEVE S.A.</t>
  </si>
  <si>
    <t>LEVE</t>
  </si>
  <si>
    <t>MARCOPOLO S.A.</t>
  </si>
  <si>
    <t>POMO</t>
  </si>
  <si>
    <t>METALURGICA RIOSULENSE S.A.</t>
  </si>
  <si>
    <t>RSUL</t>
  </si>
  <si>
    <t>RANDON S.A. IMPLEMENTOS E PARTICIPACOES</t>
  </si>
  <si>
    <t>RAPT</t>
  </si>
  <si>
    <t>TAURUS ARMAS S.A.</t>
  </si>
  <si>
    <t>TASA</t>
  </si>
  <si>
    <t>WHIRLPOOL S.A.</t>
  </si>
  <si>
    <t>WHRL</t>
  </si>
  <si>
    <t>EMBRAER S.A.</t>
  </si>
  <si>
    <t>EMBR</t>
  </si>
  <si>
    <t>LUPATECH S.A. - EM RECUPERAÇÃO JUDICIAL</t>
  </si>
  <si>
    <t>LUPA</t>
  </si>
  <si>
    <t>BARDELLA S.A. INDUSTRIAS MECANICAS EM RECUPERAÇÃO JUDICIAL</t>
  </si>
  <si>
    <t>BDLL</t>
  </si>
  <si>
    <t>IGB ELETRONICA S.A - EM RECUPERACAO JUDICIAL</t>
  </si>
  <si>
    <t>IGBR</t>
  </si>
  <si>
    <t>INEPAR S.A. INDUSTRIA E CONSTRUCOES EM RECUPERACAO JUDICIAL</t>
  </si>
  <si>
    <t>INEP</t>
  </si>
  <si>
    <t>RECRUSUL S.A.</t>
  </si>
  <si>
    <t>RCSL</t>
  </si>
  <si>
    <t>BAUMER S.A.</t>
  </si>
  <si>
    <t>BALM</t>
  </si>
  <si>
    <t>Metalurgia e Siderurgia</t>
  </si>
  <si>
    <t>CIA FERRO LIGAS DA BAHIA - FERBASA</t>
  </si>
  <si>
    <t>FESA</t>
  </si>
  <si>
    <t>CIA SIDERURGICA NACIONAL</t>
  </si>
  <si>
    <t>CSNA</t>
  </si>
  <si>
    <t>ELECTRO ACO ALTONA S.A.</t>
  </si>
  <si>
    <t>EALT</t>
  </si>
  <si>
    <t>GERDAU S.A.</t>
  </si>
  <si>
    <t>GGBR</t>
  </si>
  <si>
    <t>METISA METALURGICA TIMBOENSE S.A.</t>
  </si>
  <si>
    <t>MTSA</t>
  </si>
  <si>
    <t>PANATLANTICA S.A.</t>
  </si>
  <si>
    <t>PATI</t>
  </si>
  <si>
    <t>SCHULZ S.A.</t>
  </si>
  <si>
    <t>SHUL</t>
  </si>
  <si>
    <t>SIDERURGICA J. L. ALIPERTI S.A.</t>
  </si>
  <si>
    <t>APTI</t>
  </si>
  <si>
    <t>TUPY S.A.</t>
  </si>
  <si>
    <t>TUPY</t>
  </si>
  <si>
    <t>USINAS SID DE MINAS GERAIS S.A.-USIMINAS</t>
  </si>
  <si>
    <t>USIM</t>
  </si>
  <si>
    <t>HAGA S.A. INDUSTRIA E COMERCIO</t>
  </si>
  <si>
    <t>HAGA</t>
  </si>
  <si>
    <t>HERCULES S.A. FABRICA DE TALHERES</t>
  </si>
  <si>
    <t>HETA</t>
  </si>
  <si>
    <t>NORDON INDUSTRIAS METALURGICAS S.A.</t>
  </si>
  <si>
    <t>NORD</t>
  </si>
  <si>
    <t>PARANAPANEMA S.A. - EM RECUPERAÇÃO JUDICIAL</t>
  </si>
  <si>
    <t>PMAM</t>
  </si>
  <si>
    <t>WETZEL S.A.</t>
  </si>
  <si>
    <t>MWET</t>
  </si>
  <si>
    <t>KLABIN S.A.</t>
  </si>
  <si>
    <t>KLBN</t>
  </si>
  <si>
    <t>Papel e Celulose</t>
  </si>
  <si>
    <t>SUZANO S.A.</t>
  </si>
  <si>
    <t>SUZB</t>
  </si>
  <si>
    <t>PETRO RIO S.A.</t>
  </si>
  <si>
    <t>PRIO</t>
  </si>
  <si>
    <t>Petróleo e Gás</t>
  </si>
  <si>
    <t>PETROLEO BRASILEIRO S.A. PETROBRAS</t>
  </si>
  <si>
    <t>PETR</t>
  </si>
  <si>
    <t>3R PETROLEUM ÓLEO E GÁS S.A.</t>
  </si>
  <si>
    <t>RRRP</t>
  </si>
  <si>
    <t>OCEANPACT SERVIÇOS MARITIMOS S.A.</t>
  </si>
  <si>
    <t>OPCT</t>
  </si>
  <si>
    <t>REFINARIA DE PETROLEOS MANGUINHOS S.A.</t>
  </si>
  <si>
    <t>RPMG</t>
  </si>
  <si>
    <t>BRASKEM S.A.</t>
  </si>
  <si>
    <t>BRKM</t>
  </si>
  <si>
    <t>Petroquímicos e Borracha</t>
  </si>
  <si>
    <t>TRONOX PIGMENTOS DO BRASIL S.A.</t>
  </si>
  <si>
    <t>CRPG</t>
  </si>
  <si>
    <t>UNIPAR CARBOCLORO S.A.</t>
  </si>
  <si>
    <t>UNIP</t>
  </si>
  <si>
    <t>FERTILIZANTES HERINGER S.A.</t>
  </si>
  <si>
    <t>FHER</t>
  </si>
  <si>
    <t>SANSUY S.A. INDUSTRIA DE PLASTICOS</t>
  </si>
  <si>
    <t>SNSY</t>
  </si>
  <si>
    <t>AMBIPAR PARTICIPAÇÕES E EMPREENDIMENTOS S.A.</t>
  </si>
  <si>
    <t>AMBP</t>
  </si>
  <si>
    <t>Saneamento, Serv. Água e Gás</t>
  </si>
  <si>
    <t>CIA CATARINENSE DE AGUAS E SANEAM.-CASAN</t>
  </si>
  <si>
    <t>CASN</t>
  </si>
  <si>
    <t>CIA DISTRIB DE GAS DO RIO DE JANEIRO-CEG</t>
  </si>
  <si>
    <t>CEGR</t>
  </si>
  <si>
    <t>CIA SANEAMENTO BASICO EST SAO PAULO</t>
  </si>
  <si>
    <t>SBSP</t>
  </si>
  <si>
    <t>CIA SANEAMENTO DE MINAS GERAIS-COPASA MG</t>
  </si>
  <si>
    <t>CSMG</t>
  </si>
  <si>
    <t>CIA SANEAMENTO DO PARANA - SANEPAR</t>
  </si>
  <si>
    <t>SAPR</t>
  </si>
  <si>
    <t>IGUA SANEAMENTO S.A.</t>
  </si>
  <si>
    <t>IGSN</t>
  </si>
  <si>
    <t>ORIZON VALORIZAÇÃO DE RESÍDUOS S.A.</t>
  </si>
  <si>
    <t>ORVR</t>
  </si>
  <si>
    <t>PORTO SEGURO S.A.</t>
  </si>
  <si>
    <t>PSSA</t>
  </si>
  <si>
    <t>Seguradoras e Corretoras</t>
  </si>
  <si>
    <t>QUALICORP CONSULTORIA E CORRETORA DE SEGUROS S.A.</t>
  </si>
  <si>
    <t>QUAL</t>
  </si>
  <si>
    <t>WIZ CO PARTICIPAÇÕES E CORRETAGEM DE SEGUROS S.A.</t>
  </si>
  <si>
    <t>WIZS</t>
  </si>
  <si>
    <t>CIA SEGUROS ALIANCA DA BAHIA</t>
  </si>
  <si>
    <t>CSAB</t>
  </si>
  <si>
    <t>IRB - BRASIL RESSEGUROS S.A.</t>
  </si>
  <si>
    <t>IRBR</t>
  </si>
  <si>
    <t>FLEURY S.A.</t>
  </si>
  <si>
    <t>FLRY</t>
  </si>
  <si>
    <t>Serviços Médicos</t>
  </si>
  <si>
    <t>HAPVIDA PARTICIPAÇÕES E INVESTIMENTOS S.A.</t>
  </si>
  <si>
    <t>HAPV</t>
  </si>
  <si>
    <t>HOSPITAL MATER DEI S.A.</t>
  </si>
  <si>
    <t>MATD</t>
  </si>
  <si>
    <t>INSTITUTO HERMES PARDINI S.A.</t>
  </si>
  <si>
    <t>PARD</t>
  </si>
  <si>
    <t>ODONTOPREV S.A.</t>
  </si>
  <si>
    <t>ODPV</t>
  </si>
  <si>
    <t>REDE D'OR SÃO LUIZ S.A.</t>
  </si>
  <si>
    <t>RDOR</t>
  </si>
  <si>
    <t>CENTRO DE IMAGEM DIAGNOSTICOS S.A.</t>
  </si>
  <si>
    <t>AALR</t>
  </si>
  <si>
    <t>DIAGNOSTICOS DA AMERICA S.A.</t>
  </si>
  <si>
    <t>DASA</t>
  </si>
  <si>
    <t>MPM CORPÓREOS S.A.</t>
  </si>
  <si>
    <t>ESPA</t>
  </si>
  <si>
    <t>BBM LOGÍSTICA S.A.</t>
  </si>
  <si>
    <t>BBML</t>
  </si>
  <si>
    <t>Serviços Transporte e Logística</t>
  </si>
  <si>
    <t>ECORODOVIAS INFRAESTRUTURA E LOGÍSTICA S.A.</t>
  </si>
  <si>
    <t>ECOR</t>
  </si>
  <si>
    <t>JSL S.A.</t>
  </si>
  <si>
    <t>JSLG</t>
  </si>
  <si>
    <t>LOCALIZA RENT A CAR S.A.</t>
  </si>
  <si>
    <t>RENT</t>
  </si>
  <si>
    <t>MILLS LOCAÇÃO, SERVIÇOS E LOGÍSTICA S.A.</t>
  </si>
  <si>
    <t>MILS</t>
  </si>
  <si>
    <t>MOVIDA PARTICIPACOES SA</t>
  </si>
  <si>
    <t>MOVI</t>
  </si>
  <si>
    <t>SEQUOIA LOGÍSTICA E TRANSPORTES S.A.</t>
  </si>
  <si>
    <t>SEQL</t>
  </si>
  <si>
    <t>SIMPAR S.A.</t>
  </si>
  <si>
    <t>SIMH</t>
  </si>
  <si>
    <t>TEGMA GESTAO LOGISTICA S.A.</t>
  </si>
  <si>
    <t>TGMA</t>
  </si>
  <si>
    <t>ALLPARK EMPREENDIMENTOS, PARTICIPAÇÕES E SERVIÇOS S.A.</t>
  </si>
  <si>
    <t>ALPK</t>
  </si>
  <si>
    <t>FERROVIA CENTRO-ATLANTICA S.A.</t>
  </si>
  <si>
    <t>VSPT</t>
  </si>
  <si>
    <t>HIDROVIAS DO BRASIL S.A.</t>
  </si>
  <si>
    <t>HBSA</t>
  </si>
  <si>
    <t>LOG-IN LOGISTICA INTERMODAL S.A.</t>
  </si>
  <si>
    <t>LOGN</t>
  </si>
  <si>
    <t>MAESTRO LOCADORA DE VEICULOS S.A.</t>
  </si>
  <si>
    <t>MSRO</t>
  </si>
  <si>
    <t>TELEFÔNICA BRASIL S.A</t>
  </si>
  <si>
    <t>VIVT</t>
  </si>
  <si>
    <t>Telecomunicações</t>
  </si>
  <si>
    <t>TIM S.A.</t>
  </si>
  <si>
    <t>TIMS</t>
  </si>
  <si>
    <t>TELEC BRASILEIRAS S.A. TELEBRAS</t>
  </si>
  <si>
    <t>TELB</t>
  </si>
  <si>
    <t>DTCOM - DIRECT TO COMPANY S.A.</t>
  </si>
  <si>
    <t>DTCY</t>
  </si>
  <si>
    <t>ALPARGATAS S.A.</t>
  </si>
  <si>
    <t>ALPA</t>
  </si>
  <si>
    <t>Têxtil e Vestuário</t>
  </si>
  <si>
    <t>AREZZO INDÚSTRIA E COMÉRCIO S.A.</t>
  </si>
  <si>
    <t>ARZZ</t>
  </si>
  <si>
    <t>CAMBUCI S.A.</t>
  </si>
  <si>
    <t>CAMB</t>
  </si>
  <si>
    <t>CIA TECIDOS SANTANENSE</t>
  </si>
  <si>
    <t>CTSA</t>
  </si>
  <si>
    <t>DOHLER S.A.</t>
  </si>
  <si>
    <t>DOHL</t>
  </si>
  <si>
    <t>GRENDENE S.A.</t>
  </si>
  <si>
    <t>GRND</t>
  </si>
  <si>
    <t>GRUPO DE MODA SOMA S.A.</t>
  </si>
  <si>
    <t>SOMA</t>
  </si>
  <si>
    <t>GUARARAPES CONFECCOES S.A.</t>
  </si>
  <si>
    <t>GUAR</t>
  </si>
  <si>
    <t>PETTENATI S.A. INDUSTRIA TEXTIL</t>
  </si>
  <si>
    <t>PTNT</t>
  </si>
  <si>
    <t>TRACK &amp; FIELD CO S.A.</t>
  </si>
  <si>
    <t>TFCO</t>
  </si>
  <si>
    <t>VULCABRAS S.A.</t>
  </si>
  <si>
    <t>VULC</t>
  </si>
  <si>
    <t>CIA FIACAO TECIDOS CEDRO CACHOEIRA</t>
  </si>
  <si>
    <t>CEDO</t>
  </si>
  <si>
    <t>CIA TECIDOS NORTE DE MINAS COTEMINAS</t>
  </si>
  <si>
    <t>CTNM</t>
  </si>
  <si>
    <t>TEKA-TECELAGEM KUEHNRICH S.A. - EM RECUPERAÇÃO JUDICIAL</t>
  </si>
  <si>
    <t>TEKA</t>
  </si>
  <si>
    <t>TEXTIL RENAUXVIEW S.A.</t>
  </si>
  <si>
    <t>TXRX</t>
  </si>
  <si>
    <t>KARSTEN S.A.</t>
  </si>
  <si>
    <t>CTKA</t>
  </si>
  <si>
    <t>MUNDIAL S.A. - PRODUTOS DE CONSUMO</t>
  </si>
  <si>
    <t>MNDL</t>
  </si>
  <si>
    <t>Patrimônio Líquido</t>
  </si>
  <si>
    <t>Receita</t>
  </si>
  <si>
    <t>Reservas de Lucro</t>
  </si>
  <si>
    <t>Ativo Total</t>
  </si>
  <si>
    <t>Passivo Total</t>
  </si>
  <si>
    <t>Passivo Circulante</t>
  </si>
  <si>
    <t>Ativo Circulante</t>
  </si>
  <si>
    <t>WIZ SOLUÇÕES E CORRETAGEM DE SEGUROS S.A.</t>
  </si>
  <si>
    <t>WETZEL S.A. EM RECUPERAÇÃO JUDICIAL</t>
  </si>
  <si>
    <t>VIA VAREJO S.A.</t>
  </si>
  <si>
    <t>TECNOSOLO ENGENHARIA S.A. - EMPRESA FALIDA</t>
  </si>
  <si>
    <t>TCNO</t>
  </si>
  <si>
    <t>PDG REALTY S.A. EMPREEND E PARTICIPACOES - EM REC JUDICIAL</t>
  </si>
  <si>
    <t>MMX MINERACAO E METALICOS S.A. - EM RECUPERAÇÃO JUDICIAL</t>
  </si>
  <si>
    <t>MMXM</t>
  </si>
  <si>
    <t>METALFRIO SOLUTIONS S.A.</t>
  </si>
  <si>
    <t>FRIO</t>
  </si>
  <si>
    <t>JEREISSATI PARTICIPACOES S.A.</t>
  </si>
  <si>
    <t>FERTILIZANTES HERINGER S.A. - EM RECUPERAÇÃO JUDICIAL</t>
  </si>
  <si>
    <t>FINANSINOS S.A.- CREDITO FINANC E INVEST</t>
  </si>
  <si>
    <t>DURATEX S.A.</t>
  </si>
  <si>
    <t>MERCANTIL BRASIL FINANC S.A. C.F.I.</t>
  </si>
  <si>
    <t>CIA ESTADUAL GER.TRANS.ENER.ELET-CEEE-GT</t>
  </si>
  <si>
    <t>INDUSTRIAS J B DUARTE S.A.</t>
  </si>
  <si>
    <t>BLUT</t>
  </si>
  <si>
    <t>BCO PINE S.A.</t>
  </si>
  <si>
    <t>Chave</t>
  </si>
  <si>
    <t>Dados</t>
  </si>
  <si>
    <t>Analise</t>
  </si>
  <si>
    <t>Tipo de Analise</t>
  </si>
  <si>
    <t>Melhor Indicador</t>
  </si>
  <si>
    <t>Desempenho do Trimestre</t>
  </si>
  <si>
    <t>Lucro/Prejuízo do Período</t>
  </si>
  <si>
    <t>Contas a Receber</t>
  </si>
  <si>
    <t>Obrigações Sociais e Trabalhistas</t>
  </si>
  <si>
    <t>Obrigações Fiscais</t>
  </si>
  <si>
    <t>Previsão</t>
  </si>
  <si>
    <t>Analise de Historico Financeiro</t>
  </si>
  <si>
    <t>Regressão Polimonial</t>
  </si>
  <si>
    <t>Não Analisado</t>
  </si>
  <si>
    <t>Realizado</t>
  </si>
  <si>
    <t>Analise por Setor</t>
  </si>
  <si>
    <t>Kmeans</t>
  </si>
  <si>
    <t>Ruim</t>
  </si>
  <si>
    <t>Nenhum</t>
  </si>
  <si>
    <t>Bom</t>
  </si>
  <si>
    <t>Médio</t>
  </si>
  <si>
    <t>Analise com outras empresas</t>
  </si>
  <si>
    <t>Trimestre</t>
  </si>
  <si>
    <t>Setor</t>
  </si>
  <si>
    <t>Receita Atual</t>
  </si>
  <si>
    <t>Receita Previsão</t>
  </si>
  <si>
    <t>Chave 2</t>
  </si>
  <si>
    <t>Chave2</t>
  </si>
  <si>
    <t>Previsão de crecimento de Receita</t>
  </si>
  <si>
    <t>Lucro Atual</t>
  </si>
  <si>
    <t>Lucro Previsão</t>
  </si>
  <si>
    <t>Patrimonio Liquido atual</t>
  </si>
  <si>
    <t>Patrimonio Liquido Previsão</t>
  </si>
  <si>
    <t>Previsão ROE</t>
  </si>
  <si>
    <t>Nome</t>
  </si>
  <si>
    <t>Previsão gastos trabalhistas</t>
  </si>
  <si>
    <t>Atual gastos trabalhistas</t>
  </si>
  <si>
    <t>Aumento gastos trabalhistas</t>
  </si>
  <si>
    <t>IND</t>
  </si>
  <si>
    <t>ind</t>
  </si>
  <si>
    <t>BLUE TECH SOLUTIONS EQI S.A.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</si>
</sst>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0" fontId="0" fillId="0" borderId="0" xfId="1" applyNumberFormat="1" applyFont="1"/>
    <xf numFmtId="0" fontId="2" fillId="0" borderId="0" xfId="0" applyFont="1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5A106F"/>
      <color rgb="FF3E01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6" fmlaLink="Motorzinho!$U$3" max="279" min="1" page="10" val="96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17929</xdr:rowOff>
    </xdr:from>
    <xdr:to>
      <xdr:col>24</xdr:col>
      <xdr:colOff>1345</xdr:colOff>
      <xdr:row>3</xdr:row>
      <xdr:rowOff>114748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7929"/>
          <a:ext cx="14210404" cy="634701"/>
        </a:xfrm>
        <a:prstGeom prst="rect">
          <a:avLst/>
        </a:prstGeom>
        <a:solidFill>
          <a:srgbClr val="3E013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251012</xdr:colOff>
      <xdr:row>4</xdr:row>
      <xdr:rowOff>129092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60612" cy="860612"/>
        </a:xfrm>
        <a:prstGeom prst="rect">
          <a:avLst/>
        </a:prstGeom>
      </xdr:spPr>
    </xdr:pic>
    <xdr:clientData/>
  </xdr:twoCellAnchor>
  <xdr:oneCellAnchor>
    <xdr:from>
      <xdr:col>10</xdr:col>
      <xdr:colOff>62752</xdr:colOff>
      <xdr:row>0</xdr:row>
      <xdr:rowOff>26894</xdr:rowOff>
    </xdr:from>
    <xdr:ext cx="1721224" cy="584840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158752" y="26894"/>
          <a:ext cx="1721224" cy="5848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320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TH</a:t>
          </a:r>
          <a:r>
            <a:rPr lang="el-GR" sz="3200" b="0" i="0">
              <a:solidFill>
                <a:schemeClr val="bg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+mn-cs"/>
            </a:rPr>
            <a:t>Ξ</a:t>
          </a:r>
          <a:r>
            <a:rPr lang="pt-BR" sz="3200" b="0" i="0">
              <a:solidFill>
                <a:schemeClr val="bg1"/>
              </a:solidFill>
              <a:effectLst/>
              <a:latin typeface="Roboto" panose="02000000000000000000" pitchFamily="2" charset="0"/>
              <a:ea typeface="Roboto" panose="02000000000000000000" pitchFamily="2" charset="0"/>
              <a:cs typeface="+mn-cs"/>
            </a:rPr>
            <a:t>RAS</a:t>
          </a:r>
          <a:endParaRPr lang="pt-BR" sz="3200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oneCellAnchor>
  <xdr:oneCellAnchor>
    <xdr:from>
      <xdr:col>21</xdr:col>
      <xdr:colOff>251012</xdr:colOff>
      <xdr:row>1</xdr:row>
      <xdr:rowOff>125506</xdr:rowOff>
    </xdr:from>
    <xdr:ext cx="2214283" cy="338619"/>
    <xdr:sp macro="" textlink="">
      <xdr:nvSpPr>
        <xdr:cNvPr id="241" name="CaixaDeTexto 240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 txBox="1"/>
      </xdr:nvSpPr>
      <xdr:spPr>
        <a:xfrm>
          <a:off x="13052612" y="304800"/>
          <a:ext cx="2214283" cy="3386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</a:rPr>
            <a:t>MVP_Front</a:t>
          </a:r>
        </a:p>
      </xdr:txBody>
    </xdr:sp>
    <xdr:clientData/>
  </xdr:oneCellAnchor>
  <xdr:twoCellAnchor>
    <xdr:from>
      <xdr:col>0</xdr:col>
      <xdr:colOff>466164</xdr:colOff>
      <xdr:row>6</xdr:row>
      <xdr:rowOff>35858</xdr:rowOff>
    </xdr:from>
    <xdr:to>
      <xdr:col>21</xdr:col>
      <xdr:colOff>277905</xdr:colOff>
      <xdr:row>21</xdr:row>
      <xdr:rowOff>116540</xdr:rowOff>
    </xdr:to>
    <xdr:grpSp>
      <xdr:nvGrpSpPr>
        <xdr:cNvPr id="295" name="Agrupar 294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GrpSpPr/>
      </xdr:nvGrpSpPr>
      <xdr:grpSpPr>
        <a:xfrm>
          <a:off x="466164" y="1111623"/>
          <a:ext cx="12613341" cy="2770093"/>
          <a:chOff x="466164" y="1111623"/>
          <a:chExt cx="12613341" cy="2770093"/>
        </a:xfrm>
      </xdr:grpSpPr>
      <xdr:grpSp>
        <xdr:nvGrpSpPr>
          <xdr:cNvPr id="250" name="Agrupar 249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GrpSpPr/>
        </xdr:nvGrpSpPr>
        <xdr:grpSpPr>
          <a:xfrm>
            <a:off x="466164" y="1165411"/>
            <a:ext cx="3827928" cy="2716305"/>
            <a:chOff x="564776" y="1165411"/>
            <a:chExt cx="3827928" cy="2716305"/>
          </a:xfrm>
        </xdr:grpSpPr>
        <xdr:grpSp>
          <xdr:nvGrpSpPr>
            <xdr:cNvPr id="246" name="Agrupar 245">
              <a:extLst>
                <a:ext uri="{FF2B5EF4-FFF2-40B4-BE49-F238E27FC236}">
                  <a16:creationId xmlns:a16="http://schemas.microsoft.com/office/drawing/2014/main" id="{00000000-0008-0000-0000-0000F6000000}"/>
                </a:ext>
              </a:extLst>
            </xdr:cNvPr>
            <xdr:cNvGrpSpPr/>
          </xdr:nvGrpSpPr>
          <xdr:grpSpPr>
            <a:xfrm>
              <a:off x="564776" y="1165411"/>
              <a:ext cx="3827928" cy="2716305"/>
              <a:chOff x="528917" y="1093694"/>
              <a:chExt cx="3827928" cy="2716305"/>
            </a:xfrm>
          </xdr:grpSpPr>
          <xdr:grpSp>
            <xdr:nvGrpSpPr>
              <xdr:cNvPr id="225" name="Agrupar 1">
                <a:extLst>
                  <a:ext uri="{FF2B5EF4-FFF2-40B4-BE49-F238E27FC236}">
                    <a16:creationId xmlns:a16="http://schemas.microsoft.com/office/drawing/2014/main" id="{00000000-0008-0000-0000-0000E1000000}"/>
                  </a:ext>
                </a:extLst>
              </xdr:cNvPr>
              <xdr:cNvGrpSpPr/>
            </xdr:nvGrpSpPr>
            <xdr:grpSpPr>
              <a:xfrm>
                <a:off x="528917" y="1093694"/>
                <a:ext cx="3827928" cy="2716305"/>
                <a:chOff x="367555" y="1111624"/>
                <a:chExt cx="3827928" cy="2716305"/>
              </a:xfrm>
            </xdr:grpSpPr>
            <xdr:sp macro="" textlink="">
              <xdr:nvSpPr>
                <xdr:cNvPr id="226" name="Retângulo: Cantos Arredondados 225">
                  <a:extLst>
                    <a:ext uri="{FF2B5EF4-FFF2-40B4-BE49-F238E27FC236}">
                      <a16:creationId xmlns:a16="http://schemas.microsoft.com/office/drawing/2014/main" id="{00000000-0008-0000-0000-0000E2000000}"/>
                    </a:ext>
                  </a:extLst>
                </xdr:cNvPr>
                <xdr:cNvSpPr/>
              </xdr:nvSpPr>
              <xdr:spPr>
                <a:xfrm>
                  <a:off x="367555" y="1111624"/>
                  <a:ext cx="3827928" cy="2716305"/>
                </a:xfrm>
                <a:prstGeom prst="roundRect">
                  <a:avLst/>
                </a:prstGeom>
                <a:gradFill flip="none" rotWithShape="1">
                  <a:gsLst>
                    <a:gs pos="57000">
                      <a:srgbClr val="3E013D"/>
                    </a:gs>
                    <a:gs pos="7000">
                      <a:srgbClr val="5A106F"/>
                    </a:gs>
                  </a:gsLst>
                  <a:lin ang="16200000" scaled="1"/>
                  <a:tileRect/>
                </a:gra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Motorzinho!$C$3">
              <xdr:nvSpPr>
                <xdr:cNvPr id="227" name="CaixaDeTexto 226">
                  <a:extLst>
                    <a:ext uri="{FF2B5EF4-FFF2-40B4-BE49-F238E27FC236}">
                      <a16:creationId xmlns:a16="http://schemas.microsoft.com/office/drawing/2014/main" id="{00000000-0008-0000-0000-0000E3000000}"/>
                    </a:ext>
                  </a:extLst>
                </xdr:cNvPr>
                <xdr:cNvSpPr txBox="1"/>
              </xdr:nvSpPr>
              <xdr:spPr>
                <a:xfrm>
                  <a:off x="1623061" y="1141208"/>
                  <a:ext cx="1275677" cy="3792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BF36B04F-0369-43E3-A4AC-2EF718BBF4C7}" type="TxLink">
                    <a:rPr lang="en-US" sz="28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ctr"/>
                    <a:t>VIVR</a:t>
                  </a:fld>
                  <a:endParaRPr lang="pt-BR" sz="6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D$3">
              <xdr:nvSpPr>
                <xdr:cNvPr id="228" name="CaixaDeTexto 227">
                  <a:extLst>
                    <a:ext uri="{FF2B5EF4-FFF2-40B4-BE49-F238E27FC236}">
                      <a16:creationId xmlns:a16="http://schemas.microsoft.com/office/drawing/2014/main" id="{00000000-0008-0000-0000-0000E4000000}"/>
                    </a:ext>
                  </a:extLst>
                </xdr:cNvPr>
                <xdr:cNvSpPr txBox="1"/>
              </xdr:nvSpPr>
              <xdr:spPr>
                <a:xfrm>
                  <a:off x="1122829" y="1656228"/>
                  <a:ext cx="1852409" cy="21335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E9C62134-F375-4A3D-972D-E725BF402AE4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VIVER INCORPORADORA E CONSTRUTORA S.A.</a:t>
                  </a:fld>
                  <a:endParaRPr lang="pt-BR" sz="32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F$3">
              <xdr:nvSpPr>
                <xdr:cNvPr id="229" name="CaixaDeTexto 228">
                  <a:extLst>
                    <a:ext uri="{FF2B5EF4-FFF2-40B4-BE49-F238E27FC236}">
                      <a16:creationId xmlns:a16="http://schemas.microsoft.com/office/drawing/2014/main" id="{00000000-0008-0000-0000-0000E5000000}"/>
                    </a:ext>
                  </a:extLst>
                </xdr:cNvPr>
                <xdr:cNvSpPr txBox="1"/>
              </xdr:nvSpPr>
              <xdr:spPr>
                <a:xfrm>
                  <a:off x="1275678" y="2251934"/>
                  <a:ext cx="1057835" cy="16405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24413D91-8AFD-4593-A763-1852259A8F33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Set-2022</a:t>
                  </a:fld>
                  <a:endParaRPr lang="en-US" sz="1100" b="1" i="0" u="none" strike="noStrike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Calibri"/>
                  </a:endParaRPr>
                </a:p>
              </xdr:txBody>
            </xdr:sp>
            <xdr:sp macro="" textlink="Motorzinho!$I$3">
              <xdr:nvSpPr>
                <xdr:cNvPr id="230" name="CaixaDeTexto 229">
                  <a:extLst>
                    <a:ext uri="{FF2B5EF4-FFF2-40B4-BE49-F238E27FC236}">
                      <a16:creationId xmlns:a16="http://schemas.microsoft.com/office/drawing/2014/main" id="{00000000-0008-0000-0000-0000E6000000}"/>
                    </a:ext>
                  </a:extLst>
                </xdr:cNvPr>
                <xdr:cNvSpPr txBox="1"/>
              </xdr:nvSpPr>
              <xdr:spPr>
                <a:xfrm>
                  <a:off x="1239818" y="2535666"/>
                  <a:ext cx="1019287" cy="1716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2E3A7195-CBAC-4E2F-9DE6-BAEA912AE71B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Ruim</a:t>
                  </a:fld>
                  <a:endParaRPr lang="en-US" sz="1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H$3">
              <xdr:nvSpPr>
                <xdr:cNvPr id="231" name="CaixaDeTexto 230">
                  <a:extLst>
                    <a:ext uri="{FF2B5EF4-FFF2-40B4-BE49-F238E27FC236}">
                      <a16:creationId xmlns:a16="http://schemas.microsoft.com/office/drawing/2014/main" id="{00000000-0008-0000-0000-0000E7000000}"/>
                    </a:ext>
                  </a:extLst>
                </xdr:cNvPr>
                <xdr:cNvSpPr txBox="1"/>
              </xdr:nvSpPr>
              <xdr:spPr>
                <a:xfrm>
                  <a:off x="1391324" y="2808194"/>
                  <a:ext cx="1832832" cy="171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BD0A2B8D-3225-4C33-8645-D899100103C6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Receita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232" name="CaixaDeTexto 231">
                  <a:extLst>
                    <a:ext uri="{FF2B5EF4-FFF2-40B4-BE49-F238E27FC236}">
                      <a16:creationId xmlns:a16="http://schemas.microsoft.com/office/drawing/2014/main" id="{00000000-0008-0000-0000-0000E8000000}"/>
                    </a:ext>
                  </a:extLst>
                </xdr:cNvPr>
                <xdr:cNvSpPr txBox="1"/>
              </xdr:nvSpPr>
              <xdr:spPr>
                <a:xfrm>
                  <a:off x="442858" y="2550907"/>
                  <a:ext cx="1005839" cy="1716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Desempenho:</a:t>
                  </a:r>
                </a:p>
              </xdr:txBody>
            </xdr:sp>
            <xdr:sp macro="" textlink="Motorzinho!#REF!">
              <xdr:nvSpPr>
                <xdr:cNvPr id="233" name="CaixaDeTexto 232">
                  <a:extLst>
                    <a:ext uri="{FF2B5EF4-FFF2-40B4-BE49-F238E27FC236}">
                      <a16:creationId xmlns:a16="http://schemas.microsoft.com/office/drawing/2014/main" id="{00000000-0008-0000-0000-0000E9000000}"/>
                    </a:ext>
                  </a:extLst>
                </xdr:cNvPr>
                <xdr:cNvSpPr txBox="1"/>
              </xdr:nvSpPr>
              <xdr:spPr>
                <a:xfrm>
                  <a:off x="455408" y="1972236"/>
                  <a:ext cx="556259" cy="2478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0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Setor:</a:t>
                  </a:r>
                </a:p>
              </xdr:txBody>
            </xdr:sp>
            <xdr:sp macro="" textlink="Motorzinho!#REF!">
              <xdr:nvSpPr>
                <xdr:cNvPr id="234" name="CaixaDeTexto 233">
                  <a:extLst>
                    <a:ext uri="{FF2B5EF4-FFF2-40B4-BE49-F238E27FC236}">
                      <a16:creationId xmlns:a16="http://schemas.microsoft.com/office/drawing/2014/main" id="{00000000-0008-0000-0000-0000EA000000}"/>
                    </a:ext>
                  </a:extLst>
                </xdr:cNvPr>
                <xdr:cNvSpPr txBox="1"/>
              </xdr:nvSpPr>
              <xdr:spPr>
                <a:xfrm>
                  <a:off x="414618" y="2824330"/>
                  <a:ext cx="1100419" cy="17884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Melhor indicador:</a:t>
                  </a:r>
                </a:p>
              </xdr:txBody>
            </xdr:sp>
            <xdr:cxnSp macro="">
              <xdr:nvCxnSpPr>
                <xdr:cNvPr id="235" name="Conector reto 234">
                  <a:extLst>
                    <a:ext uri="{FF2B5EF4-FFF2-40B4-BE49-F238E27FC236}">
                      <a16:creationId xmlns:a16="http://schemas.microsoft.com/office/drawing/2014/main" id="{00000000-0008-0000-0000-0000EB000000}"/>
                    </a:ext>
                  </a:extLst>
                </xdr:cNvPr>
                <xdr:cNvCxnSpPr/>
              </xdr:nvCxnSpPr>
              <xdr:spPr>
                <a:xfrm flipV="1">
                  <a:off x="476026" y="1543274"/>
                  <a:ext cx="3611880" cy="30480"/>
                </a:xfrm>
                <a:prstGeom prst="line">
                  <a:avLst/>
                </a:prstGeom>
              </xdr:spPr>
              <xdr:style>
                <a:lnRef idx="2">
                  <a:schemeClr val="accent3"/>
                </a:lnRef>
                <a:fillRef idx="0">
                  <a:schemeClr val="accent3"/>
                </a:fillRef>
                <a:effectRef idx="1">
                  <a:schemeClr val="accent3"/>
                </a:effectRef>
                <a:fontRef idx="minor">
                  <a:schemeClr val="tx1"/>
                </a:fontRef>
              </xdr:style>
            </xdr:cxnSp>
            <xdr:sp macro="" textlink="Motorzinho!#REF!">
              <xdr:nvSpPr>
                <xdr:cNvPr id="236" name="CaixaDeTexto 235">
                  <a:extLst>
                    <a:ext uri="{FF2B5EF4-FFF2-40B4-BE49-F238E27FC236}">
                      <a16:creationId xmlns:a16="http://schemas.microsoft.com/office/drawing/2014/main" id="{00000000-0008-0000-0000-0000EC000000}"/>
                    </a:ext>
                  </a:extLst>
                </xdr:cNvPr>
                <xdr:cNvSpPr txBox="1"/>
              </xdr:nvSpPr>
              <xdr:spPr>
                <a:xfrm>
                  <a:off x="431204" y="3108062"/>
                  <a:ext cx="1607820" cy="1716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de Cresc: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Q$3">
              <xdr:nvSpPr>
                <xdr:cNvPr id="237" name="CaixaDeTexto 236">
                  <a:extLst>
                    <a:ext uri="{FF2B5EF4-FFF2-40B4-BE49-F238E27FC236}">
                      <a16:creationId xmlns:a16="http://schemas.microsoft.com/office/drawing/2014/main" id="{00000000-0008-0000-0000-0000ED000000}"/>
                    </a:ext>
                  </a:extLst>
                </xdr:cNvPr>
                <xdr:cNvSpPr txBox="1"/>
              </xdr:nvSpPr>
              <xdr:spPr>
                <a:xfrm>
                  <a:off x="1447800" y="3090133"/>
                  <a:ext cx="1028700" cy="18691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919E6F4C-5D2A-4709-B531-6C1B3E684150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86,14%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238" name="CaixaDeTexto 237">
                  <a:extLst>
                    <a:ext uri="{FF2B5EF4-FFF2-40B4-BE49-F238E27FC236}">
                      <a16:creationId xmlns:a16="http://schemas.microsoft.com/office/drawing/2014/main" id="{00000000-0008-0000-0000-0000EE000000}"/>
                    </a:ext>
                  </a:extLst>
                </xdr:cNvPr>
                <xdr:cNvSpPr txBox="1"/>
              </xdr:nvSpPr>
              <xdr:spPr>
                <a:xfrm>
                  <a:off x="458097" y="2268518"/>
                  <a:ext cx="97536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Data Balanço:</a:t>
                  </a:r>
                </a:p>
              </xdr:txBody>
            </xdr:sp>
            <xdr:sp macro="" textlink="Motorzinho!#REF!">
              <xdr:nvSpPr>
                <xdr:cNvPr id="239" name="CaixaDeTexto 238">
                  <a:extLst>
                    <a:ext uri="{FF2B5EF4-FFF2-40B4-BE49-F238E27FC236}">
                      <a16:creationId xmlns:a16="http://schemas.microsoft.com/office/drawing/2014/main" id="{00000000-0008-0000-0000-0000EF000000}"/>
                    </a:ext>
                  </a:extLst>
                </xdr:cNvPr>
                <xdr:cNvSpPr txBox="1"/>
              </xdr:nvSpPr>
              <xdr:spPr>
                <a:xfrm>
                  <a:off x="2470224" y="3134510"/>
                  <a:ext cx="167640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ROE: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P$3">
              <xdr:nvSpPr>
                <xdr:cNvPr id="240" name="CaixaDeTexto 239">
                  <a:extLst>
                    <a:ext uri="{FF2B5EF4-FFF2-40B4-BE49-F238E27FC236}">
                      <a16:creationId xmlns:a16="http://schemas.microsoft.com/office/drawing/2014/main" id="{00000000-0008-0000-0000-0000F0000000}"/>
                    </a:ext>
                  </a:extLst>
                </xdr:cNvPr>
                <xdr:cNvSpPr txBox="1"/>
              </xdr:nvSpPr>
              <xdr:spPr>
                <a:xfrm>
                  <a:off x="3261360" y="3110305"/>
                  <a:ext cx="925160" cy="18870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CADD6EF9-DEFC-4ADA-85BB-E8281E667A4D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0,31%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</xdr:grpSp>
          <xdr:sp macro="" textlink="Motorzinho!#REF!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000-0000F5000000}"/>
                  </a:ext>
                </a:extLst>
              </xdr:cNvPr>
              <xdr:cNvSpPr txBox="1"/>
            </xdr:nvSpPr>
            <xdr:spPr>
              <a:xfrm>
                <a:off x="627529" y="1667436"/>
                <a:ext cx="717177" cy="2330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10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Empresa:</a:t>
                </a:r>
              </a:p>
            </xdr:txBody>
          </xdr:sp>
        </xdr:grpSp>
        <xdr:sp macro="" textlink="Motorzinho!$E$3">
          <xdr:nvSpPr>
            <xdr:cNvPr id="247" name="CaixaDeTexto 246">
              <a:extLst>
                <a:ext uri="{FF2B5EF4-FFF2-40B4-BE49-F238E27FC236}">
                  <a16:creationId xmlns:a16="http://schemas.microsoft.com/office/drawing/2014/main" id="{00000000-0008-0000-0000-0000F7000000}"/>
                </a:ext>
              </a:extLst>
            </xdr:cNvPr>
            <xdr:cNvSpPr txBox="1"/>
          </xdr:nvSpPr>
          <xdr:spPr>
            <a:xfrm>
              <a:off x="1111623" y="2017060"/>
              <a:ext cx="1990165" cy="2599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1F4446D6-55D7-42E6-921B-9B027BF319CF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Construção Civil, Mat. Constr. e Decoração</a:t>
              </a:fld>
              <a:endParaRPr lang="pt-BR" sz="32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$T$3">
          <xdr:nvSpPr>
            <xdr:cNvPr id="248" name="CaixaDeTexto 247">
              <a:extLst>
                <a:ext uri="{FF2B5EF4-FFF2-40B4-BE49-F238E27FC236}">
                  <a16:creationId xmlns:a16="http://schemas.microsoft.com/office/drawing/2014/main" id="{00000000-0008-0000-0000-0000F8000000}"/>
                </a:ext>
              </a:extLst>
            </xdr:cNvPr>
            <xdr:cNvSpPr txBox="1"/>
          </xdr:nvSpPr>
          <xdr:spPr>
            <a:xfrm>
              <a:off x="2303930" y="3433482"/>
              <a:ext cx="1005839" cy="1716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17872BC7-88CD-4F88-B165-BEAE29141314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Aumentar</a:t>
              </a:fld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#REF!">
          <xdr:nvSpPr>
            <xdr:cNvPr id="249" name="CaixaDeTexto 248">
              <a:extLst>
                <a:ext uri="{FF2B5EF4-FFF2-40B4-BE49-F238E27FC236}">
                  <a16:creationId xmlns:a16="http://schemas.microsoft.com/office/drawing/2014/main" id="{00000000-0008-0000-0000-0000F9000000}"/>
                </a:ext>
              </a:extLst>
            </xdr:cNvPr>
            <xdr:cNvSpPr txBox="1"/>
          </xdr:nvSpPr>
          <xdr:spPr>
            <a:xfrm>
              <a:off x="600636" y="3406589"/>
              <a:ext cx="1787115" cy="2420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 b="1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Tendência Gastos trabalhistas:</a:t>
              </a:r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</xdr:grpSp>
      <xdr:grpSp>
        <xdr:nvGrpSpPr>
          <xdr:cNvPr id="251" name="Agrupar 250">
            <a:extLst>
              <a:ext uri="{FF2B5EF4-FFF2-40B4-BE49-F238E27FC236}">
                <a16:creationId xmlns:a16="http://schemas.microsoft.com/office/drawing/2014/main" id="{00000000-0008-0000-0000-0000FB000000}"/>
              </a:ext>
            </a:extLst>
          </xdr:cNvPr>
          <xdr:cNvGrpSpPr/>
        </xdr:nvGrpSpPr>
        <xdr:grpSpPr>
          <a:xfrm>
            <a:off x="4831975" y="1147482"/>
            <a:ext cx="3827928" cy="2716305"/>
            <a:chOff x="564776" y="1165411"/>
            <a:chExt cx="3827928" cy="2716305"/>
          </a:xfrm>
        </xdr:grpSpPr>
        <xdr:grpSp>
          <xdr:nvGrpSpPr>
            <xdr:cNvPr id="252" name="Agrupar 251">
              <a:extLst>
                <a:ext uri="{FF2B5EF4-FFF2-40B4-BE49-F238E27FC236}">
                  <a16:creationId xmlns:a16="http://schemas.microsoft.com/office/drawing/2014/main" id="{00000000-0008-0000-0000-0000FC000000}"/>
                </a:ext>
              </a:extLst>
            </xdr:cNvPr>
            <xdr:cNvGrpSpPr/>
          </xdr:nvGrpSpPr>
          <xdr:grpSpPr>
            <a:xfrm>
              <a:off x="564776" y="1165411"/>
              <a:ext cx="3827928" cy="2716305"/>
              <a:chOff x="528917" y="1093694"/>
              <a:chExt cx="3827928" cy="2716305"/>
            </a:xfrm>
          </xdr:grpSpPr>
          <xdr:grpSp>
            <xdr:nvGrpSpPr>
              <xdr:cNvPr id="256" name="Agrupar 1">
                <a:extLst>
                  <a:ext uri="{FF2B5EF4-FFF2-40B4-BE49-F238E27FC236}">
                    <a16:creationId xmlns:a16="http://schemas.microsoft.com/office/drawing/2014/main" id="{00000000-0008-0000-0000-000000010000}"/>
                  </a:ext>
                </a:extLst>
              </xdr:cNvPr>
              <xdr:cNvGrpSpPr/>
            </xdr:nvGrpSpPr>
            <xdr:grpSpPr>
              <a:xfrm>
                <a:off x="528917" y="1093694"/>
                <a:ext cx="3827928" cy="2716305"/>
                <a:chOff x="367555" y="1111624"/>
                <a:chExt cx="3827928" cy="2716305"/>
              </a:xfrm>
            </xdr:grpSpPr>
            <xdr:sp macro="" textlink="">
              <xdr:nvSpPr>
                <xdr:cNvPr id="258" name="Retângulo: Cantos Arredondados 257">
                  <a:extLst>
                    <a:ext uri="{FF2B5EF4-FFF2-40B4-BE49-F238E27FC236}">
                      <a16:creationId xmlns:a16="http://schemas.microsoft.com/office/drawing/2014/main" id="{00000000-0008-0000-0000-000002010000}"/>
                    </a:ext>
                  </a:extLst>
                </xdr:cNvPr>
                <xdr:cNvSpPr/>
              </xdr:nvSpPr>
              <xdr:spPr>
                <a:xfrm>
                  <a:off x="367555" y="1111624"/>
                  <a:ext cx="3827928" cy="2716305"/>
                </a:xfrm>
                <a:prstGeom prst="roundRect">
                  <a:avLst/>
                </a:prstGeom>
                <a:gradFill flip="none" rotWithShape="1">
                  <a:gsLst>
                    <a:gs pos="57000">
                      <a:srgbClr val="3E013D"/>
                    </a:gs>
                    <a:gs pos="7000">
                      <a:srgbClr val="5A106F"/>
                    </a:gs>
                  </a:gsLst>
                  <a:lin ang="16200000" scaled="1"/>
                  <a:tileRect/>
                </a:gra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Motorzinho!$C$4">
              <xdr:nvSpPr>
                <xdr:cNvPr id="259" name="CaixaDeTexto 258">
                  <a:extLst>
                    <a:ext uri="{FF2B5EF4-FFF2-40B4-BE49-F238E27FC236}">
                      <a16:creationId xmlns:a16="http://schemas.microsoft.com/office/drawing/2014/main" id="{00000000-0008-0000-0000-000003010000}"/>
                    </a:ext>
                  </a:extLst>
                </xdr:cNvPr>
                <xdr:cNvSpPr txBox="1"/>
              </xdr:nvSpPr>
              <xdr:spPr>
                <a:xfrm>
                  <a:off x="1623061" y="1141208"/>
                  <a:ext cx="1275677" cy="3792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00EA2910-A748-4FDA-BE9D-8E28EDED5A28}" type="TxLink">
                    <a:rPr lang="en-US" sz="28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ctr"/>
                    <a:t>ANIM</a:t>
                  </a:fld>
                  <a:endParaRPr lang="pt-BR" sz="16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D$4">
              <xdr:nvSpPr>
                <xdr:cNvPr id="260" name="CaixaDeTexto 259">
                  <a:extLst>
                    <a:ext uri="{FF2B5EF4-FFF2-40B4-BE49-F238E27FC236}">
                      <a16:creationId xmlns:a16="http://schemas.microsoft.com/office/drawing/2014/main" id="{00000000-0008-0000-0000-000004010000}"/>
                    </a:ext>
                  </a:extLst>
                </xdr:cNvPr>
                <xdr:cNvSpPr txBox="1"/>
              </xdr:nvSpPr>
              <xdr:spPr>
                <a:xfrm>
                  <a:off x="1122829" y="1656228"/>
                  <a:ext cx="1852409" cy="21335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BDF52382-2203-4F1C-8FE1-82031FC75817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ANIMA HOLDING S.A.</a:t>
                  </a:fld>
                  <a:endParaRPr lang="pt-BR" sz="32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F$4">
              <xdr:nvSpPr>
                <xdr:cNvPr id="261" name="CaixaDeTexto 260">
                  <a:extLst>
                    <a:ext uri="{FF2B5EF4-FFF2-40B4-BE49-F238E27FC236}">
                      <a16:creationId xmlns:a16="http://schemas.microsoft.com/office/drawing/2014/main" id="{00000000-0008-0000-0000-000005010000}"/>
                    </a:ext>
                  </a:extLst>
                </xdr:cNvPr>
                <xdr:cNvSpPr txBox="1"/>
              </xdr:nvSpPr>
              <xdr:spPr>
                <a:xfrm>
                  <a:off x="1275678" y="2251934"/>
                  <a:ext cx="1057835" cy="16405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98D917A6-4A7D-4B33-BCD9-238B205E7920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Set-2022</a:t>
                  </a:fld>
                  <a:endParaRPr lang="en-US" sz="1100" b="1" i="0" u="none" strike="noStrike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Calibri"/>
                  </a:endParaRPr>
                </a:p>
              </xdr:txBody>
            </xdr:sp>
            <xdr:sp macro="" textlink="Motorzinho!$I$4">
              <xdr:nvSpPr>
                <xdr:cNvPr id="262" name="CaixaDeTexto 261">
                  <a:extLst>
                    <a:ext uri="{FF2B5EF4-FFF2-40B4-BE49-F238E27FC236}">
                      <a16:creationId xmlns:a16="http://schemas.microsoft.com/office/drawing/2014/main" id="{00000000-0008-0000-0000-000006010000}"/>
                    </a:ext>
                  </a:extLst>
                </xdr:cNvPr>
                <xdr:cNvSpPr txBox="1"/>
              </xdr:nvSpPr>
              <xdr:spPr>
                <a:xfrm>
                  <a:off x="1239818" y="2535666"/>
                  <a:ext cx="1019287" cy="1716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A925143D-71CD-4762-8B5F-839E9FD7461E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Médio</a:t>
                  </a:fld>
                  <a:endParaRPr lang="en-US" sz="1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H$4">
              <xdr:nvSpPr>
                <xdr:cNvPr id="263" name="CaixaDeTexto 262">
                  <a:extLst>
                    <a:ext uri="{FF2B5EF4-FFF2-40B4-BE49-F238E27FC236}">
                      <a16:creationId xmlns:a16="http://schemas.microsoft.com/office/drawing/2014/main" id="{00000000-0008-0000-0000-000007010000}"/>
                    </a:ext>
                  </a:extLst>
                </xdr:cNvPr>
                <xdr:cNvSpPr txBox="1"/>
              </xdr:nvSpPr>
              <xdr:spPr>
                <a:xfrm>
                  <a:off x="1391324" y="2808194"/>
                  <a:ext cx="1832832" cy="171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D2B15BDA-ACBB-4CEB-B5BE-78F0A384FB29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Nenhum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264" name="CaixaDeTexto 263">
                  <a:extLst>
                    <a:ext uri="{FF2B5EF4-FFF2-40B4-BE49-F238E27FC236}">
                      <a16:creationId xmlns:a16="http://schemas.microsoft.com/office/drawing/2014/main" id="{00000000-0008-0000-0000-000008010000}"/>
                    </a:ext>
                  </a:extLst>
                </xdr:cNvPr>
                <xdr:cNvSpPr txBox="1"/>
              </xdr:nvSpPr>
              <xdr:spPr>
                <a:xfrm>
                  <a:off x="442858" y="2550907"/>
                  <a:ext cx="1005839" cy="1716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Desempenho:</a:t>
                  </a:r>
                </a:p>
              </xdr:txBody>
            </xdr:sp>
            <xdr:sp macro="" textlink="Motorzinho!#REF!">
              <xdr:nvSpPr>
                <xdr:cNvPr id="265" name="CaixaDeTexto 264">
                  <a:extLst>
                    <a:ext uri="{FF2B5EF4-FFF2-40B4-BE49-F238E27FC236}">
                      <a16:creationId xmlns:a16="http://schemas.microsoft.com/office/drawing/2014/main" id="{00000000-0008-0000-0000-000009010000}"/>
                    </a:ext>
                  </a:extLst>
                </xdr:cNvPr>
                <xdr:cNvSpPr txBox="1"/>
              </xdr:nvSpPr>
              <xdr:spPr>
                <a:xfrm>
                  <a:off x="455408" y="1972236"/>
                  <a:ext cx="556259" cy="2478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0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Setor:</a:t>
                  </a:r>
                </a:p>
              </xdr:txBody>
            </xdr:sp>
            <xdr:sp macro="" textlink="Motorzinho!#REF!">
              <xdr:nvSpPr>
                <xdr:cNvPr id="266" name="CaixaDeTexto 265">
                  <a:extLst>
                    <a:ext uri="{FF2B5EF4-FFF2-40B4-BE49-F238E27FC236}">
                      <a16:creationId xmlns:a16="http://schemas.microsoft.com/office/drawing/2014/main" id="{00000000-0008-0000-0000-00000A010000}"/>
                    </a:ext>
                  </a:extLst>
                </xdr:cNvPr>
                <xdr:cNvSpPr txBox="1"/>
              </xdr:nvSpPr>
              <xdr:spPr>
                <a:xfrm>
                  <a:off x="414618" y="2824330"/>
                  <a:ext cx="1100419" cy="17884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Melhor indicador:</a:t>
                  </a:r>
                </a:p>
              </xdr:txBody>
            </xdr:sp>
            <xdr:cxnSp macro="">
              <xdr:nvCxnSpPr>
                <xdr:cNvPr id="267" name="Conector reto 266">
                  <a:extLst>
                    <a:ext uri="{FF2B5EF4-FFF2-40B4-BE49-F238E27FC236}">
                      <a16:creationId xmlns:a16="http://schemas.microsoft.com/office/drawing/2014/main" id="{00000000-0008-0000-0000-00000B010000}"/>
                    </a:ext>
                  </a:extLst>
                </xdr:cNvPr>
                <xdr:cNvCxnSpPr/>
              </xdr:nvCxnSpPr>
              <xdr:spPr>
                <a:xfrm flipV="1">
                  <a:off x="476026" y="1543274"/>
                  <a:ext cx="3611880" cy="30480"/>
                </a:xfrm>
                <a:prstGeom prst="line">
                  <a:avLst/>
                </a:prstGeom>
              </xdr:spPr>
              <xdr:style>
                <a:lnRef idx="2">
                  <a:schemeClr val="accent3"/>
                </a:lnRef>
                <a:fillRef idx="0">
                  <a:schemeClr val="accent3"/>
                </a:fillRef>
                <a:effectRef idx="1">
                  <a:schemeClr val="accent3"/>
                </a:effectRef>
                <a:fontRef idx="minor">
                  <a:schemeClr val="tx1"/>
                </a:fontRef>
              </xdr:style>
            </xdr:cxnSp>
            <xdr:sp macro="" textlink="Motorzinho!#REF!">
              <xdr:nvSpPr>
                <xdr:cNvPr id="268" name="CaixaDeTexto 267">
                  <a:extLst>
                    <a:ext uri="{FF2B5EF4-FFF2-40B4-BE49-F238E27FC236}">
                      <a16:creationId xmlns:a16="http://schemas.microsoft.com/office/drawing/2014/main" id="{00000000-0008-0000-0000-00000C010000}"/>
                    </a:ext>
                  </a:extLst>
                </xdr:cNvPr>
                <xdr:cNvSpPr txBox="1"/>
              </xdr:nvSpPr>
              <xdr:spPr>
                <a:xfrm>
                  <a:off x="431204" y="3108062"/>
                  <a:ext cx="1607820" cy="1716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de Cresc: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Q$4">
              <xdr:nvSpPr>
                <xdr:cNvPr id="269" name="CaixaDeTexto 268">
                  <a:extLst>
                    <a:ext uri="{FF2B5EF4-FFF2-40B4-BE49-F238E27FC236}">
                      <a16:creationId xmlns:a16="http://schemas.microsoft.com/office/drawing/2014/main" id="{00000000-0008-0000-0000-00000D010000}"/>
                    </a:ext>
                  </a:extLst>
                </xdr:cNvPr>
                <xdr:cNvSpPr txBox="1"/>
              </xdr:nvSpPr>
              <xdr:spPr>
                <a:xfrm>
                  <a:off x="1447800" y="3090133"/>
                  <a:ext cx="1028700" cy="18691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B5806DD8-3ABE-4CE9-B99E-103865BF146E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-50,28%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270" name="CaixaDeTexto 269">
                  <a:extLst>
                    <a:ext uri="{FF2B5EF4-FFF2-40B4-BE49-F238E27FC236}">
                      <a16:creationId xmlns:a16="http://schemas.microsoft.com/office/drawing/2014/main" id="{00000000-0008-0000-0000-00000E010000}"/>
                    </a:ext>
                  </a:extLst>
                </xdr:cNvPr>
                <xdr:cNvSpPr txBox="1"/>
              </xdr:nvSpPr>
              <xdr:spPr>
                <a:xfrm>
                  <a:off x="458097" y="2268518"/>
                  <a:ext cx="97536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Data Balanço:</a:t>
                  </a:r>
                </a:p>
              </xdr:txBody>
            </xdr:sp>
            <xdr:sp macro="" textlink="Motorzinho!#REF!">
              <xdr:nvSpPr>
                <xdr:cNvPr id="271" name="CaixaDeTexto 270">
                  <a:extLst>
                    <a:ext uri="{FF2B5EF4-FFF2-40B4-BE49-F238E27FC236}">
                      <a16:creationId xmlns:a16="http://schemas.microsoft.com/office/drawing/2014/main" id="{00000000-0008-0000-0000-00000F010000}"/>
                    </a:ext>
                  </a:extLst>
                </xdr:cNvPr>
                <xdr:cNvSpPr txBox="1"/>
              </xdr:nvSpPr>
              <xdr:spPr>
                <a:xfrm>
                  <a:off x="2470224" y="3134510"/>
                  <a:ext cx="167640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ROE: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P$4">
              <xdr:nvSpPr>
                <xdr:cNvPr id="272" name="CaixaDeTexto 271">
                  <a:extLst>
                    <a:ext uri="{FF2B5EF4-FFF2-40B4-BE49-F238E27FC236}">
                      <a16:creationId xmlns:a16="http://schemas.microsoft.com/office/drawing/2014/main" id="{00000000-0008-0000-0000-000010010000}"/>
                    </a:ext>
                  </a:extLst>
                </xdr:cNvPr>
                <xdr:cNvSpPr txBox="1"/>
              </xdr:nvSpPr>
              <xdr:spPr>
                <a:xfrm>
                  <a:off x="3261360" y="3110305"/>
                  <a:ext cx="925160" cy="18870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D78D028C-02F3-45F4-B837-5072EEFC5039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-2,28%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</xdr:grpSp>
          <xdr:sp macro="" textlink="Motorzinho!#REF!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000-000001010000}"/>
                  </a:ext>
                </a:extLst>
              </xdr:cNvPr>
              <xdr:cNvSpPr txBox="1"/>
            </xdr:nvSpPr>
            <xdr:spPr>
              <a:xfrm>
                <a:off x="627529" y="1667436"/>
                <a:ext cx="717177" cy="2330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10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Empresa:</a:t>
                </a:r>
              </a:p>
            </xdr:txBody>
          </xdr:sp>
        </xdr:grpSp>
        <xdr:sp macro="" textlink="Motorzinho!$E$4">
          <xdr:nvSpPr>
            <xdr:cNvPr id="253" name="CaixaDeTexto 252">
              <a:extLst>
                <a:ext uri="{FF2B5EF4-FFF2-40B4-BE49-F238E27FC236}">
                  <a16:creationId xmlns:a16="http://schemas.microsoft.com/office/drawing/2014/main" id="{00000000-0008-0000-0000-0000FD000000}"/>
                </a:ext>
              </a:extLst>
            </xdr:cNvPr>
            <xdr:cNvSpPr txBox="1"/>
          </xdr:nvSpPr>
          <xdr:spPr>
            <a:xfrm>
              <a:off x="1111623" y="2017060"/>
              <a:ext cx="2223249" cy="2151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B490646F-5222-4FDE-860A-847613596D8D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Educação</a:t>
              </a:fld>
              <a:endParaRPr lang="pt-BR" sz="32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$T$4">
          <xdr:nvSpPr>
            <xdr:cNvPr id="254" name="CaixaDeTexto 253">
              <a:extLst>
                <a:ext uri="{FF2B5EF4-FFF2-40B4-BE49-F238E27FC236}">
                  <a16:creationId xmlns:a16="http://schemas.microsoft.com/office/drawing/2014/main" id="{00000000-0008-0000-0000-0000FE000000}"/>
                </a:ext>
              </a:extLst>
            </xdr:cNvPr>
            <xdr:cNvSpPr txBox="1"/>
          </xdr:nvSpPr>
          <xdr:spPr>
            <a:xfrm>
              <a:off x="2303930" y="3433482"/>
              <a:ext cx="1005839" cy="1716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7FCD8D7A-CA66-45C7-AD9E-404B3853F703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Aumentar</a:t>
              </a:fld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#REF!">
          <xdr:nvSpPr>
            <xdr:cNvPr id="255" name="CaixaDeTexto 254">
              <a:extLst>
                <a:ext uri="{FF2B5EF4-FFF2-40B4-BE49-F238E27FC236}">
                  <a16:creationId xmlns:a16="http://schemas.microsoft.com/office/drawing/2014/main" id="{00000000-0008-0000-0000-0000FF000000}"/>
                </a:ext>
              </a:extLst>
            </xdr:cNvPr>
            <xdr:cNvSpPr txBox="1"/>
          </xdr:nvSpPr>
          <xdr:spPr>
            <a:xfrm>
              <a:off x="600636" y="3406589"/>
              <a:ext cx="1787115" cy="2420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 b="1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Tendência Gastos trabalhistas:</a:t>
              </a:r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</xdr:grpSp>
      <xdr:grpSp>
        <xdr:nvGrpSpPr>
          <xdr:cNvPr id="273" name="Agrupar 272">
            <a:extLst>
              <a:ext uri="{FF2B5EF4-FFF2-40B4-BE49-F238E27FC236}">
                <a16:creationId xmlns:a16="http://schemas.microsoft.com/office/drawing/2014/main" id="{00000000-0008-0000-0000-000011010000}"/>
              </a:ext>
            </a:extLst>
          </xdr:cNvPr>
          <xdr:cNvGrpSpPr/>
        </xdr:nvGrpSpPr>
        <xdr:grpSpPr>
          <a:xfrm>
            <a:off x="9251577" y="1111623"/>
            <a:ext cx="3827928" cy="2716305"/>
            <a:chOff x="564776" y="1165411"/>
            <a:chExt cx="3827928" cy="2716305"/>
          </a:xfrm>
        </xdr:grpSpPr>
        <xdr:grpSp>
          <xdr:nvGrpSpPr>
            <xdr:cNvPr id="274" name="Agrupar 273">
              <a:extLst>
                <a:ext uri="{FF2B5EF4-FFF2-40B4-BE49-F238E27FC236}">
                  <a16:creationId xmlns:a16="http://schemas.microsoft.com/office/drawing/2014/main" id="{00000000-0008-0000-0000-000012010000}"/>
                </a:ext>
              </a:extLst>
            </xdr:cNvPr>
            <xdr:cNvGrpSpPr/>
          </xdr:nvGrpSpPr>
          <xdr:grpSpPr>
            <a:xfrm>
              <a:off x="564776" y="1165411"/>
              <a:ext cx="3827928" cy="2716305"/>
              <a:chOff x="528917" y="1093694"/>
              <a:chExt cx="3827928" cy="2716305"/>
            </a:xfrm>
          </xdr:grpSpPr>
          <xdr:grpSp>
            <xdr:nvGrpSpPr>
              <xdr:cNvPr id="278" name="Agrupar 1">
                <a:extLst>
                  <a:ext uri="{FF2B5EF4-FFF2-40B4-BE49-F238E27FC236}">
                    <a16:creationId xmlns:a16="http://schemas.microsoft.com/office/drawing/2014/main" id="{00000000-0008-0000-0000-000016010000}"/>
                  </a:ext>
                </a:extLst>
              </xdr:cNvPr>
              <xdr:cNvGrpSpPr/>
            </xdr:nvGrpSpPr>
            <xdr:grpSpPr>
              <a:xfrm>
                <a:off x="528917" y="1093694"/>
                <a:ext cx="3827928" cy="2716305"/>
                <a:chOff x="367555" y="1111624"/>
                <a:chExt cx="3827928" cy="2716305"/>
              </a:xfrm>
            </xdr:grpSpPr>
            <xdr:sp macro="" textlink="">
              <xdr:nvSpPr>
                <xdr:cNvPr id="280" name="Retângulo: Cantos Arredondados 279">
                  <a:extLst>
                    <a:ext uri="{FF2B5EF4-FFF2-40B4-BE49-F238E27FC236}">
                      <a16:creationId xmlns:a16="http://schemas.microsoft.com/office/drawing/2014/main" id="{00000000-0008-0000-0000-000018010000}"/>
                    </a:ext>
                  </a:extLst>
                </xdr:cNvPr>
                <xdr:cNvSpPr/>
              </xdr:nvSpPr>
              <xdr:spPr>
                <a:xfrm>
                  <a:off x="367555" y="1111624"/>
                  <a:ext cx="3827928" cy="2716305"/>
                </a:xfrm>
                <a:prstGeom prst="roundRect">
                  <a:avLst/>
                </a:prstGeom>
                <a:gradFill flip="none" rotWithShape="1">
                  <a:gsLst>
                    <a:gs pos="57000">
                      <a:srgbClr val="3E013D"/>
                    </a:gs>
                    <a:gs pos="7000">
                      <a:srgbClr val="5A106F"/>
                    </a:gs>
                  </a:gsLst>
                  <a:lin ang="16200000" scaled="1"/>
                  <a:tileRect/>
                </a:gra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Motorzinho!$C$5">
              <xdr:nvSpPr>
                <xdr:cNvPr id="281" name="CaixaDeTexto 280">
                  <a:extLst>
                    <a:ext uri="{FF2B5EF4-FFF2-40B4-BE49-F238E27FC236}">
                      <a16:creationId xmlns:a16="http://schemas.microsoft.com/office/drawing/2014/main" id="{00000000-0008-0000-0000-000019010000}"/>
                    </a:ext>
                  </a:extLst>
                </xdr:cNvPr>
                <xdr:cNvSpPr txBox="1"/>
              </xdr:nvSpPr>
              <xdr:spPr>
                <a:xfrm>
                  <a:off x="1623061" y="1141208"/>
                  <a:ext cx="1275677" cy="3792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24E70454-9A2B-4D29-85DD-9BDDD5C7F134}" type="TxLink">
                    <a:rPr lang="en-US" sz="28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ctr"/>
                    <a:t>CSED</a:t>
                  </a:fld>
                  <a:endParaRPr lang="pt-BR" sz="16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D$5">
              <xdr:nvSpPr>
                <xdr:cNvPr id="282" name="CaixaDeTexto 281">
                  <a:extLst>
                    <a:ext uri="{FF2B5EF4-FFF2-40B4-BE49-F238E27FC236}">
                      <a16:creationId xmlns:a16="http://schemas.microsoft.com/office/drawing/2014/main" id="{00000000-0008-0000-0000-00001A010000}"/>
                    </a:ext>
                  </a:extLst>
                </xdr:cNvPr>
                <xdr:cNvSpPr txBox="1"/>
              </xdr:nvSpPr>
              <xdr:spPr>
                <a:xfrm>
                  <a:off x="1122829" y="1656228"/>
                  <a:ext cx="1852409" cy="21335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3F4E0E0E-693B-463A-8FFE-D7AA8AE29A27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CRUZEIRO DO SUL EDUCACIONAL S.A.</a:t>
                  </a:fld>
                  <a:endParaRPr lang="pt-BR" sz="32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F$5">
              <xdr:nvSpPr>
                <xdr:cNvPr id="283" name="CaixaDeTexto 282">
                  <a:extLst>
                    <a:ext uri="{FF2B5EF4-FFF2-40B4-BE49-F238E27FC236}">
                      <a16:creationId xmlns:a16="http://schemas.microsoft.com/office/drawing/2014/main" id="{00000000-0008-0000-0000-00001B010000}"/>
                    </a:ext>
                  </a:extLst>
                </xdr:cNvPr>
                <xdr:cNvSpPr txBox="1"/>
              </xdr:nvSpPr>
              <xdr:spPr>
                <a:xfrm>
                  <a:off x="1275678" y="2251934"/>
                  <a:ext cx="1057835" cy="16405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A5CD188F-A7C5-4618-B064-66597A808347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Set-2022</a:t>
                  </a:fld>
                  <a:endParaRPr lang="en-US" sz="1100" b="1" i="0" u="none" strike="noStrike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Calibri"/>
                  </a:endParaRPr>
                </a:p>
              </xdr:txBody>
            </xdr:sp>
            <xdr:sp macro="" textlink="Motorzinho!$I$5">
              <xdr:nvSpPr>
                <xdr:cNvPr id="284" name="CaixaDeTexto 283">
                  <a:extLst>
                    <a:ext uri="{FF2B5EF4-FFF2-40B4-BE49-F238E27FC236}">
                      <a16:creationId xmlns:a16="http://schemas.microsoft.com/office/drawing/2014/main" id="{00000000-0008-0000-0000-00001C010000}"/>
                    </a:ext>
                  </a:extLst>
                </xdr:cNvPr>
                <xdr:cNvSpPr txBox="1"/>
              </xdr:nvSpPr>
              <xdr:spPr>
                <a:xfrm>
                  <a:off x="1239818" y="2535666"/>
                  <a:ext cx="1019287" cy="1716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D0D66D8B-C1C7-4D41-ACA6-F224557C19C2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Médio</a:t>
                  </a:fld>
                  <a:endParaRPr lang="en-US" sz="1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H$5">
              <xdr:nvSpPr>
                <xdr:cNvPr id="285" name="CaixaDeTexto 284">
                  <a:extLst>
                    <a:ext uri="{FF2B5EF4-FFF2-40B4-BE49-F238E27FC236}">
                      <a16:creationId xmlns:a16="http://schemas.microsoft.com/office/drawing/2014/main" id="{00000000-0008-0000-0000-00001D010000}"/>
                    </a:ext>
                  </a:extLst>
                </xdr:cNvPr>
                <xdr:cNvSpPr txBox="1"/>
              </xdr:nvSpPr>
              <xdr:spPr>
                <a:xfrm>
                  <a:off x="1391324" y="2808194"/>
                  <a:ext cx="1832832" cy="171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4040AB14-6D98-40A1-893F-6988FDCDE47D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Nenhum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286" name="CaixaDeTexto 285">
                  <a:extLst>
                    <a:ext uri="{FF2B5EF4-FFF2-40B4-BE49-F238E27FC236}">
                      <a16:creationId xmlns:a16="http://schemas.microsoft.com/office/drawing/2014/main" id="{00000000-0008-0000-0000-00001E010000}"/>
                    </a:ext>
                  </a:extLst>
                </xdr:cNvPr>
                <xdr:cNvSpPr txBox="1"/>
              </xdr:nvSpPr>
              <xdr:spPr>
                <a:xfrm>
                  <a:off x="442858" y="2550907"/>
                  <a:ext cx="1005839" cy="1716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Desempenho:</a:t>
                  </a:r>
                </a:p>
              </xdr:txBody>
            </xdr:sp>
            <xdr:sp macro="" textlink="Motorzinho!#REF!">
              <xdr:nvSpPr>
                <xdr:cNvPr id="287" name="CaixaDeTexto 286">
                  <a:extLst>
                    <a:ext uri="{FF2B5EF4-FFF2-40B4-BE49-F238E27FC236}">
                      <a16:creationId xmlns:a16="http://schemas.microsoft.com/office/drawing/2014/main" id="{00000000-0008-0000-0000-00001F010000}"/>
                    </a:ext>
                  </a:extLst>
                </xdr:cNvPr>
                <xdr:cNvSpPr txBox="1"/>
              </xdr:nvSpPr>
              <xdr:spPr>
                <a:xfrm>
                  <a:off x="455408" y="1972236"/>
                  <a:ext cx="556259" cy="2478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0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Setor:</a:t>
                  </a:r>
                </a:p>
              </xdr:txBody>
            </xdr:sp>
            <xdr:sp macro="" textlink="Motorzinho!#REF!">
              <xdr:nvSpPr>
                <xdr:cNvPr id="288" name="CaixaDeTexto 287">
                  <a:extLst>
                    <a:ext uri="{FF2B5EF4-FFF2-40B4-BE49-F238E27FC236}">
                      <a16:creationId xmlns:a16="http://schemas.microsoft.com/office/drawing/2014/main" id="{00000000-0008-0000-0000-000020010000}"/>
                    </a:ext>
                  </a:extLst>
                </xdr:cNvPr>
                <xdr:cNvSpPr txBox="1"/>
              </xdr:nvSpPr>
              <xdr:spPr>
                <a:xfrm>
                  <a:off x="414618" y="2824330"/>
                  <a:ext cx="1100419" cy="17884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Melhor indicador:</a:t>
                  </a:r>
                </a:p>
              </xdr:txBody>
            </xdr:sp>
            <xdr:cxnSp macro="">
              <xdr:nvCxnSpPr>
                <xdr:cNvPr id="289" name="Conector reto 288">
                  <a:extLst>
                    <a:ext uri="{FF2B5EF4-FFF2-40B4-BE49-F238E27FC236}">
                      <a16:creationId xmlns:a16="http://schemas.microsoft.com/office/drawing/2014/main" id="{00000000-0008-0000-0000-000021010000}"/>
                    </a:ext>
                  </a:extLst>
                </xdr:cNvPr>
                <xdr:cNvCxnSpPr/>
              </xdr:nvCxnSpPr>
              <xdr:spPr>
                <a:xfrm flipV="1">
                  <a:off x="476026" y="1543274"/>
                  <a:ext cx="3611880" cy="30480"/>
                </a:xfrm>
                <a:prstGeom prst="line">
                  <a:avLst/>
                </a:prstGeom>
              </xdr:spPr>
              <xdr:style>
                <a:lnRef idx="2">
                  <a:schemeClr val="accent3"/>
                </a:lnRef>
                <a:fillRef idx="0">
                  <a:schemeClr val="accent3"/>
                </a:fillRef>
                <a:effectRef idx="1">
                  <a:schemeClr val="accent3"/>
                </a:effectRef>
                <a:fontRef idx="minor">
                  <a:schemeClr val="tx1"/>
                </a:fontRef>
              </xdr:style>
            </xdr:cxnSp>
            <xdr:sp macro="" textlink="Motorzinho!#REF!">
              <xdr:nvSpPr>
                <xdr:cNvPr id="290" name="CaixaDeTexto 289">
                  <a:extLst>
                    <a:ext uri="{FF2B5EF4-FFF2-40B4-BE49-F238E27FC236}">
                      <a16:creationId xmlns:a16="http://schemas.microsoft.com/office/drawing/2014/main" id="{00000000-0008-0000-0000-000022010000}"/>
                    </a:ext>
                  </a:extLst>
                </xdr:cNvPr>
                <xdr:cNvSpPr txBox="1"/>
              </xdr:nvSpPr>
              <xdr:spPr>
                <a:xfrm>
                  <a:off x="431204" y="3108062"/>
                  <a:ext cx="1607820" cy="1716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de Cresc: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Q$5">
              <xdr:nvSpPr>
                <xdr:cNvPr id="291" name="CaixaDeTexto 290">
                  <a:extLst>
                    <a:ext uri="{FF2B5EF4-FFF2-40B4-BE49-F238E27FC236}">
                      <a16:creationId xmlns:a16="http://schemas.microsoft.com/office/drawing/2014/main" id="{00000000-0008-0000-0000-000023010000}"/>
                    </a:ext>
                  </a:extLst>
                </xdr:cNvPr>
                <xdr:cNvSpPr txBox="1"/>
              </xdr:nvSpPr>
              <xdr:spPr>
                <a:xfrm>
                  <a:off x="1447800" y="3090133"/>
                  <a:ext cx="1028700" cy="18691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50CBFCC7-2406-471F-863E-94F5C60E1D3B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-6,31%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292" name="CaixaDeTexto 291">
                  <a:extLst>
                    <a:ext uri="{FF2B5EF4-FFF2-40B4-BE49-F238E27FC236}">
                      <a16:creationId xmlns:a16="http://schemas.microsoft.com/office/drawing/2014/main" id="{00000000-0008-0000-0000-000024010000}"/>
                    </a:ext>
                  </a:extLst>
                </xdr:cNvPr>
                <xdr:cNvSpPr txBox="1"/>
              </xdr:nvSpPr>
              <xdr:spPr>
                <a:xfrm>
                  <a:off x="458097" y="2268518"/>
                  <a:ext cx="97536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Data Balanço:</a:t>
                  </a:r>
                </a:p>
              </xdr:txBody>
            </xdr:sp>
            <xdr:sp macro="" textlink="Motorzinho!#REF!">
              <xdr:nvSpPr>
                <xdr:cNvPr id="293" name="CaixaDeTexto 292">
                  <a:extLst>
                    <a:ext uri="{FF2B5EF4-FFF2-40B4-BE49-F238E27FC236}">
                      <a16:creationId xmlns:a16="http://schemas.microsoft.com/office/drawing/2014/main" id="{00000000-0008-0000-0000-000025010000}"/>
                    </a:ext>
                  </a:extLst>
                </xdr:cNvPr>
                <xdr:cNvSpPr txBox="1"/>
              </xdr:nvSpPr>
              <xdr:spPr>
                <a:xfrm>
                  <a:off x="2470224" y="3134510"/>
                  <a:ext cx="167640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ROE: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P$5">
              <xdr:nvSpPr>
                <xdr:cNvPr id="294" name="CaixaDeTexto 293">
                  <a:extLst>
                    <a:ext uri="{FF2B5EF4-FFF2-40B4-BE49-F238E27FC236}">
                      <a16:creationId xmlns:a16="http://schemas.microsoft.com/office/drawing/2014/main" id="{00000000-0008-0000-0000-000026010000}"/>
                    </a:ext>
                  </a:extLst>
                </xdr:cNvPr>
                <xdr:cNvSpPr txBox="1"/>
              </xdr:nvSpPr>
              <xdr:spPr>
                <a:xfrm>
                  <a:off x="3261360" y="3110305"/>
                  <a:ext cx="925160" cy="18870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7D92D73E-D147-4B05-9AAA-5019CFFC74A2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6,20%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</xdr:grpSp>
          <xdr:sp macro="" textlink="Motorzinho!#REF!">
            <xdr:nvSpPr>
              <xdr:cNvPr id="279" name="CaixaDeTexto 278">
                <a:extLst>
                  <a:ext uri="{FF2B5EF4-FFF2-40B4-BE49-F238E27FC236}">
                    <a16:creationId xmlns:a16="http://schemas.microsoft.com/office/drawing/2014/main" id="{00000000-0008-0000-0000-000017010000}"/>
                  </a:ext>
                </a:extLst>
              </xdr:cNvPr>
              <xdr:cNvSpPr txBox="1"/>
            </xdr:nvSpPr>
            <xdr:spPr>
              <a:xfrm>
                <a:off x="627529" y="1667436"/>
                <a:ext cx="717177" cy="2330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10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Empresa:</a:t>
                </a:r>
              </a:p>
            </xdr:txBody>
          </xdr:sp>
        </xdr:grpSp>
        <xdr:sp macro="" textlink="Motorzinho!$E$5">
          <xdr:nvSpPr>
            <xdr:cNvPr id="275" name="CaixaDeTexto 274">
              <a:extLst>
                <a:ext uri="{FF2B5EF4-FFF2-40B4-BE49-F238E27FC236}">
                  <a16:creationId xmlns:a16="http://schemas.microsoft.com/office/drawing/2014/main" id="{00000000-0008-0000-0000-000013010000}"/>
                </a:ext>
              </a:extLst>
            </xdr:cNvPr>
            <xdr:cNvSpPr txBox="1"/>
          </xdr:nvSpPr>
          <xdr:spPr>
            <a:xfrm>
              <a:off x="1111623" y="2017060"/>
              <a:ext cx="2115670" cy="22411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7160DBF8-7E27-4FB8-8788-DDAB679E9AE4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Educação</a:t>
              </a:fld>
              <a:endParaRPr lang="pt-BR" sz="32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$T$5">
          <xdr:nvSpPr>
            <xdr:cNvPr id="276" name="CaixaDeTexto 275">
              <a:extLst>
                <a:ext uri="{FF2B5EF4-FFF2-40B4-BE49-F238E27FC236}">
                  <a16:creationId xmlns:a16="http://schemas.microsoft.com/office/drawing/2014/main" id="{00000000-0008-0000-0000-000014010000}"/>
                </a:ext>
              </a:extLst>
            </xdr:cNvPr>
            <xdr:cNvSpPr txBox="1"/>
          </xdr:nvSpPr>
          <xdr:spPr>
            <a:xfrm>
              <a:off x="2303930" y="3433482"/>
              <a:ext cx="1005839" cy="1716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8156D391-B006-4DE1-9559-95CCB51E1B26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Aumentar</a:t>
              </a:fld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#REF!">
          <xdr:nvSpPr>
            <xdr:cNvPr id="277" name="CaixaDeTexto 276">
              <a:extLst>
                <a:ext uri="{FF2B5EF4-FFF2-40B4-BE49-F238E27FC236}">
                  <a16:creationId xmlns:a16="http://schemas.microsoft.com/office/drawing/2014/main" id="{00000000-0008-0000-0000-000015010000}"/>
                </a:ext>
              </a:extLst>
            </xdr:cNvPr>
            <xdr:cNvSpPr txBox="1"/>
          </xdr:nvSpPr>
          <xdr:spPr>
            <a:xfrm>
              <a:off x="600636" y="3406589"/>
              <a:ext cx="1787115" cy="2420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 b="1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Tendência Gastos trabalhistas:</a:t>
              </a:r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441960</xdr:colOff>
          <xdr:row>9</xdr:row>
          <xdr:rowOff>15240</xdr:rowOff>
        </xdr:from>
        <xdr:to>
          <xdr:col>23</xdr:col>
          <xdr:colOff>45720</xdr:colOff>
          <xdr:row>51</xdr:row>
          <xdr:rowOff>152400</xdr:rowOff>
        </xdr:to>
        <xdr:sp macro="" textlink="">
          <xdr:nvSpPr>
            <xdr:cNvPr id="9217" name="Spinne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457200</xdr:colOff>
      <xdr:row>28</xdr:row>
      <xdr:rowOff>26894</xdr:rowOff>
    </xdr:from>
    <xdr:to>
      <xdr:col>21</xdr:col>
      <xdr:colOff>268941</xdr:colOff>
      <xdr:row>43</xdr:row>
      <xdr:rowOff>107575</xdr:rowOff>
    </xdr:to>
    <xdr:grpSp>
      <xdr:nvGrpSpPr>
        <xdr:cNvPr id="296" name="Agrupar 295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GrpSpPr/>
      </xdr:nvGrpSpPr>
      <xdr:grpSpPr>
        <a:xfrm>
          <a:off x="457200" y="5047129"/>
          <a:ext cx="12613341" cy="2770093"/>
          <a:chOff x="466164" y="1111623"/>
          <a:chExt cx="12613341" cy="2770093"/>
        </a:xfrm>
      </xdr:grpSpPr>
      <xdr:grpSp>
        <xdr:nvGrpSpPr>
          <xdr:cNvPr id="297" name="Agrupar 296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GrpSpPr/>
        </xdr:nvGrpSpPr>
        <xdr:grpSpPr>
          <a:xfrm>
            <a:off x="466164" y="1165411"/>
            <a:ext cx="3827928" cy="2716305"/>
            <a:chOff x="564776" y="1165411"/>
            <a:chExt cx="3827928" cy="2716305"/>
          </a:xfrm>
        </xdr:grpSpPr>
        <xdr:grpSp>
          <xdr:nvGrpSpPr>
            <xdr:cNvPr id="9239" name="Agrupar 9238">
              <a:extLst>
                <a:ext uri="{FF2B5EF4-FFF2-40B4-BE49-F238E27FC236}">
                  <a16:creationId xmlns:a16="http://schemas.microsoft.com/office/drawing/2014/main" id="{00000000-0008-0000-0000-000017240000}"/>
                </a:ext>
              </a:extLst>
            </xdr:cNvPr>
            <xdr:cNvGrpSpPr/>
          </xdr:nvGrpSpPr>
          <xdr:grpSpPr>
            <a:xfrm>
              <a:off x="564776" y="1165411"/>
              <a:ext cx="3827928" cy="2716305"/>
              <a:chOff x="528917" y="1093694"/>
              <a:chExt cx="3827928" cy="2716305"/>
            </a:xfrm>
          </xdr:grpSpPr>
          <xdr:grpSp>
            <xdr:nvGrpSpPr>
              <xdr:cNvPr id="9243" name="Agrupar 1">
                <a:extLst>
                  <a:ext uri="{FF2B5EF4-FFF2-40B4-BE49-F238E27FC236}">
                    <a16:creationId xmlns:a16="http://schemas.microsoft.com/office/drawing/2014/main" id="{00000000-0008-0000-0000-00001B240000}"/>
                  </a:ext>
                </a:extLst>
              </xdr:cNvPr>
              <xdr:cNvGrpSpPr/>
            </xdr:nvGrpSpPr>
            <xdr:grpSpPr>
              <a:xfrm>
                <a:off x="528917" y="1093694"/>
                <a:ext cx="3827928" cy="2716305"/>
                <a:chOff x="367555" y="1111624"/>
                <a:chExt cx="3827928" cy="2716305"/>
              </a:xfrm>
            </xdr:grpSpPr>
            <xdr:sp macro="" textlink="">
              <xdr:nvSpPr>
                <xdr:cNvPr id="9245" name="Retângulo: Cantos Arredondados 9244">
                  <a:extLst>
                    <a:ext uri="{FF2B5EF4-FFF2-40B4-BE49-F238E27FC236}">
                      <a16:creationId xmlns:a16="http://schemas.microsoft.com/office/drawing/2014/main" id="{00000000-0008-0000-0000-00001D240000}"/>
                    </a:ext>
                  </a:extLst>
                </xdr:cNvPr>
                <xdr:cNvSpPr/>
              </xdr:nvSpPr>
              <xdr:spPr>
                <a:xfrm>
                  <a:off x="367555" y="1111624"/>
                  <a:ext cx="3827928" cy="2716305"/>
                </a:xfrm>
                <a:prstGeom prst="roundRect">
                  <a:avLst/>
                </a:prstGeom>
                <a:gradFill flip="none" rotWithShape="1">
                  <a:gsLst>
                    <a:gs pos="57000">
                      <a:srgbClr val="3E013D"/>
                    </a:gs>
                    <a:gs pos="7000">
                      <a:srgbClr val="5A106F"/>
                    </a:gs>
                  </a:gsLst>
                  <a:lin ang="16200000" scaled="1"/>
                  <a:tileRect/>
                </a:gra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Motorzinho!$C$6">
              <xdr:nvSpPr>
                <xdr:cNvPr id="9246" name="CaixaDeTexto 9245">
                  <a:extLst>
                    <a:ext uri="{FF2B5EF4-FFF2-40B4-BE49-F238E27FC236}">
                      <a16:creationId xmlns:a16="http://schemas.microsoft.com/office/drawing/2014/main" id="{00000000-0008-0000-0000-00001E240000}"/>
                    </a:ext>
                  </a:extLst>
                </xdr:cNvPr>
                <xdr:cNvSpPr txBox="1"/>
              </xdr:nvSpPr>
              <xdr:spPr>
                <a:xfrm>
                  <a:off x="1623061" y="1141208"/>
                  <a:ext cx="1275677" cy="3792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48D8D7AD-87B6-4B0B-943D-045663AF45FE}" type="TxLink">
                    <a:rPr lang="en-US" sz="28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ctr"/>
                    <a:t>SEER</a:t>
                  </a:fld>
                  <a:endParaRPr lang="pt-BR" sz="16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D$6">
              <xdr:nvSpPr>
                <xdr:cNvPr id="9247" name="CaixaDeTexto 9246">
                  <a:extLst>
                    <a:ext uri="{FF2B5EF4-FFF2-40B4-BE49-F238E27FC236}">
                      <a16:creationId xmlns:a16="http://schemas.microsoft.com/office/drawing/2014/main" id="{00000000-0008-0000-0000-00001F240000}"/>
                    </a:ext>
                  </a:extLst>
                </xdr:cNvPr>
                <xdr:cNvSpPr txBox="1"/>
              </xdr:nvSpPr>
              <xdr:spPr>
                <a:xfrm>
                  <a:off x="1122829" y="1656228"/>
                  <a:ext cx="1852409" cy="21335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ABE35B04-4778-4ED9-8568-A6FB9A862057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SER EDUCACIONAL S.A.</a:t>
                  </a:fld>
                  <a:endParaRPr lang="pt-BR" sz="32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F$6">
              <xdr:nvSpPr>
                <xdr:cNvPr id="9248" name="CaixaDeTexto 9247">
                  <a:extLst>
                    <a:ext uri="{FF2B5EF4-FFF2-40B4-BE49-F238E27FC236}">
                      <a16:creationId xmlns:a16="http://schemas.microsoft.com/office/drawing/2014/main" id="{00000000-0008-0000-0000-000020240000}"/>
                    </a:ext>
                  </a:extLst>
                </xdr:cNvPr>
                <xdr:cNvSpPr txBox="1"/>
              </xdr:nvSpPr>
              <xdr:spPr>
                <a:xfrm>
                  <a:off x="1275678" y="2251934"/>
                  <a:ext cx="1057835" cy="16405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4E44FA63-8291-463E-A60A-68366FD8ACB8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Set-2022</a:t>
                  </a:fld>
                  <a:endParaRPr lang="en-US" sz="1100" b="1" i="0" u="none" strike="noStrike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Calibri"/>
                  </a:endParaRPr>
                </a:p>
              </xdr:txBody>
            </xdr:sp>
            <xdr:sp macro="" textlink="Motorzinho!$I$6">
              <xdr:nvSpPr>
                <xdr:cNvPr id="9249" name="CaixaDeTexto 9248">
                  <a:extLst>
                    <a:ext uri="{FF2B5EF4-FFF2-40B4-BE49-F238E27FC236}">
                      <a16:creationId xmlns:a16="http://schemas.microsoft.com/office/drawing/2014/main" id="{00000000-0008-0000-0000-000021240000}"/>
                    </a:ext>
                  </a:extLst>
                </xdr:cNvPr>
                <xdr:cNvSpPr txBox="1"/>
              </xdr:nvSpPr>
              <xdr:spPr>
                <a:xfrm>
                  <a:off x="1239818" y="2535666"/>
                  <a:ext cx="1019287" cy="1716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C73B021C-1EF4-4C06-9B7A-0A618775DDE7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Médio</a:t>
                  </a:fld>
                  <a:endParaRPr lang="en-US" sz="1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H$6">
              <xdr:nvSpPr>
                <xdr:cNvPr id="9250" name="CaixaDeTexto 9249">
                  <a:extLst>
                    <a:ext uri="{FF2B5EF4-FFF2-40B4-BE49-F238E27FC236}">
                      <a16:creationId xmlns:a16="http://schemas.microsoft.com/office/drawing/2014/main" id="{00000000-0008-0000-0000-000022240000}"/>
                    </a:ext>
                  </a:extLst>
                </xdr:cNvPr>
                <xdr:cNvSpPr txBox="1"/>
              </xdr:nvSpPr>
              <xdr:spPr>
                <a:xfrm>
                  <a:off x="1391324" y="2808194"/>
                  <a:ext cx="1832832" cy="171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3BC5C72B-54B9-4029-9D42-A4D171A4713F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Nenhum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251" name="CaixaDeTexto 9250">
                  <a:extLst>
                    <a:ext uri="{FF2B5EF4-FFF2-40B4-BE49-F238E27FC236}">
                      <a16:creationId xmlns:a16="http://schemas.microsoft.com/office/drawing/2014/main" id="{00000000-0008-0000-0000-000023240000}"/>
                    </a:ext>
                  </a:extLst>
                </xdr:cNvPr>
                <xdr:cNvSpPr txBox="1"/>
              </xdr:nvSpPr>
              <xdr:spPr>
                <a:xfrm>
                  <a:off x="442858" y="2550907"/>
                  <a:ext cx="1005839" cy="1716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Desempenho:</a:t>
                  </a:r>
                </a:p>
              </xdr:txBody>
            </xdr:sp>
            <xdr:sp macro="" textlink="Motorzinho!#REF!">
              <xdr:nvSpPr>
                <xdr:cNvPr id="9252" name="CaixaDeTexto 9251">
                  <a:extLst>
                    <a:ext uri="{FF2B5EF4-FFF2-40B4-BE49-F238E27FC236}">
                      <a16:creationId xmlns:a16="http://schemas.microsoft.com/office/drawing/2014/main" id="{00000000-0008-0000-0000-000024240000}"/>
                    </a:ext>
                  </a:extLst>
                </xdr:cNvPr>
                <xdr:cNvSpPr txBox="1"/>
              </xdr:nvSpPr>
              <xdr:spPr>
                <a:xfrm>
                  <a:off x="455408" y="1972236"/>
                  <a:ext cx="556259" cy="2478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0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Setor:</a:t>
                  </a:r>
                </a:p>
              </xdr:txBody>
            </xdr:sp>
            <xdr:sp macro="" textlink="Motorzinho!#REF!">
              <xdr:nvSpPr>
                <xdr:cNvPr id="9253" name="CaixaDeTexto 9252">
                  <a:extLst>
                    <a:ext uri="{FF2B5EF4-FFF2-40B4-BE49-F238E27FC236}">
                      <a16:creationId xmlns:a16="http://schemas.microsoft.com/office/drawing/2014/main" id="{00000000-0008-0000-0000-000025240000}"/>
                    </a:ext>
                  </a:extLst>
                </xdr:cNvPr>
                <xdr:cNvSpPr txBox="1"/>
              </xdr:nvSpPr>
              <xdr:spPr>
                <a:xfrm>
                  <a:off x="414618" y="2824330"/>
                  <a:ext cx="1100419" cy="17884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Melhor indicador:</a:t>
                  </a:r>
                </a:p>
              </xdr:txBody>
            </xdr:sp>
            <xdr:cxnSp macro="">
              <xdr:nvCxnSpPr>
                <xdr:cNvPr id="9254" name="Conector reto 9253">
                  <a:extLst>
                    <a:ext uri="{FF2B5EF4-FFF2-40B4-BE49-F238E27FC236}">
                      <a16:creationId xmlns:a16="http://schemas.microsoft.com/office/drawing/2014/main" id="{00000000-0008-0000-0000-000026240000}"/>
                    </a:ext>
                  </a:extLst>
                </xdr:cNvPr>
                <xdr:cNvCxnSpPr/>
              </xdr:nvCxnSpPr>
              <xdr:spPr>
                <a:xfrm flipV="1">
                  <a:off x="476026" y="1543274"/>
                  <a:ext cx="3611880" cy="30480"/>
                </a:xfrm>
                <a:prstGeom prst="line">
                  <a:avLst/>
                </a:prstGeom>
              </xdr:spPr>
              <xdr:style>
                <a:lnRef idx="2">
                  <a:schemeClr val="accent3"/>
                </a:lnRef>
                <a:fillRef idx="0">
                  <a:schemeClr val="accent3"/>
                </a:fillRef>
                <a:effectRef idx="1">
                  <a:schemeClr val="accent3"/>
                </a:effectRef>
                <a:fontRef idx="minor">
                  <a:schemeClr val="tx1"/>
                </a:fontRef>
              </xdr:style>
            </xdr:cxnSp>
            <xdr:sp macro="" textlink="Motorzinho!#REF!">
              <xdr:nvSpPr>
                <xdr:cNvPr id="9255" name="CaixaDeTexto 9254">
                  <a:extLst>
                    <a:ext uri="{FF2B5EF4-FFF2-40B4-BE49-F238E27FC236}">
                      <a16:creationId xmlns:a16="http://schemas.microsoft.com/office/drawing/2014/main" id="{00000000-0008-0000-0000-000027240000}"/>
                    </a:ext>
                  </a:extLst>
                </xdr:cNvPr>
                <xdr:cNvSpPr txBox="1"/>
              </xdr:nvSpPr>
              <xdr:spPr>
                <a:xfrm>
                  <a:off x="431204" y="3108062"/>
                  <a:ext cx="1607820" cy="1716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de Cresc: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Q$6">
              <xdr:nvSpPr>
                <xdr:cNvPr id="9256" name="CaixaDeTexto 9255">
                  <a:extLst>
                    <a:ext uri="{FF2B5EF4-FFF2-40B4-BE49-F238E27FC236}">
                      <a16:creationId xmlns:a16="http://schemas.microsoft.com/office/drawing/2014/main" id="{00000000-0008-0000-0000-000028240000}"/>
                    </a:ext>
                  </a:extLst>
                </xdr:cNvPr>
                <xdr:cNvSpPr txBox="1"/>
              </xdr:nvSpPr>
              <xdr:spPr>
                <a:xfrm>
                  <a:off x="1447800" y="3090133"/>
                  <a:ext cx="1028700" cy="18691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069AA275-2DF8-4523-952E-48833130BABE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35,92%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257" name="CaixaDeTexto 9256">
                  <a:extLst>
                    <a:ext uri="{FF2B5EF4-FFF2-40B4-BE49-F238E27FC236}">
                      <a16:creationId xmlns:a16="http://schemas.microsoft.com/office/drawing/2014/main" id="{00000000-0008-0000-0000-000029240000}"/>
                    </a:ext>
                  </a:extLst>
                </xdr:cNvPr>
                <xdr:cNvSpPr txBox="1"/>
              </xdr:nvSpPr>
              <xdr:spPr>
                <a:xfrm>
                  <a:off x="458097" y="2268518"/>
                  <a:ext cx="97536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Data Balanço:</a:t>
                  </a:r>
                </a:p>
              </xdr:txBody>
            </xdr:sp>
            <xdr:sp macro="" textlink="Motorzinho!#REF!">
              <xdr:nvSpPr>
                <xdr:cNvPr id="9258" name="CaixaDeTexto 9257">
                  <a:extLst>
                    <a:ext uri="{FF2B5EF4-FFF2-40B4-BE49-F238E27FC236}">
                      <a16:creationId xmlns:a16="http://schemas.microsoft.com/office/drawing/2014/main" id="{00000000-0008-0000-0000-00002A240000}"/>
                    </a:ext>
                  </a:extLst>
                </xdr:cNvPr>
                <xdr:cNvSpPr txBox="1"/>
              </xdr:nvSpPr>
              <xdr:spPr>
                <a:xfrm>
                  <a:off x="2470224" y="3134510"/>
                  <a:ext cx="167640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ROE: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P$6">
              <xdr:nvSpPr>
                <xdr:cNvPr id="9259" name="CaixaDeTexto 9258">
                  <a:extLst>
                    <a:ext uri="{FF2B5EF4-FFF2-40B4-BE49-F238E27FC236}">
                      <a16:creationId xmlns:a16="http://schemas.microsoft.com/office/drawing/2014/main" id="{00000000-0008-0000-0000-00002B240000}"/>
                    </a:ext>
                  </a:extLst>
                </xdr:cNvPr>
                <xdr:cNvSpPr txBox="1"/>
              </xdr:nvSpPr>
              <xdr:spPr>
                <a:xfrm>
                  <a:off x="3261360" y="3110305"/>
                  <a:ext cx="925160" cy="18870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63967BF3-CC05-4C24-9DDE-E5A1ED0E83B9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-8,68%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</xdr:grpSp>
          <xdr:sp macro="" textlink="Motorzinho!#REF!">
            <xdr:nvSpPr>
              <xdr:cNvPr id="9244" name="CaixaDeTexto 9243">
                <a:extLst>
                  <a:ext uri="{FF2B5EF4-FFF2-40B4-BE49-F238E27FC236}">
                    <a16:creationId xmlns:a16="http://schemas.microsoft.com/office/drawing/2014/main" id="{00000000-0008-0000-0000-00001C240000}"/>
                  </a:ext>
                </a:extLst>
              </xdr:cNvPr>
              <xdr:cNvSpPr txBox="1"/>
            </xdr:nvSpPr>
            <xdr:spPr>
              <a:xfrm>
                <a:off x="627529" y="1667436"/>
                <a:ext cx="717177" cy="2330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10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Empresa:</a:t>
                </a:r>
              </a:p>
            </xdr:txBody>
          </xdr:sp>
        </xdr:grpSp>
        <xdr:sp macro="" textlink="Motorzinho!$E$6">
          <xdr:nvSpPr>
            <xdr:cNvPr id="9240" name="CaixaDeTexto 9239">
              <a:extLst>
                <a:ext uri="{FF2B5EF4-FFF2-40B4-BE49-F238E27FC236}">
                  <a16:creationId xmlns:a16="http://schemas.microsoft.com/office/drawing/2014/main" id="{00000000-0008-0000-0000-000018240000}"/>
                </a:ext>
              </a:extLst>
            </xdr:cNvPr>
            <xdr:cNvSpPr txBox="1"/>
          </xdr:nvSpPr>
          <xdr:spPr>
            <a:xfrm>
              <a:off x="1111623" y="2017060"/>
              <a:ext cx="2124635" cy="23308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8BE2CE37-CF6A-4F42-899B-A544781C226A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Educação</a:t>
              </a:fld>
              <a:endParaRPr lang="pt-BR" sz="32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$T$6">
          <xdr:nvSpPr>
            <xdr:cNvPr id="9241" name="CaixaDeTexto 9240">
              <a:extLst>
                <a:ext uri="{FF2B5EF4-FFF2-40B4-BE49-F238E27FC236}">
                  <a16:creationId xmlns:a16="http://schemas.microsoft.com/office/drawing/2014/main" id="{00000000-0008-0000-0000-000019240000}"/>
                </a:ext>
              </a:extLst>
            </xdr:cNvPr>
            <xdr:cNvSpPr txBox="1"/>
          </xdr:nvSpPr>
          <xdr:spPr>
            <a:xfrm>
              <a:off x="2303930" y="3433482"/>
              <a:ext cx="1005839" cy="1716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6251E789-6CF1-464E-8E74-3BC0D4B19494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Aumentar</a:t>
              </a:fld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#REF!">
          <xdr:nvSpPr>
            <xdr:cNvPr id="9242" name="CaixaDeTexto 9241">
              <a:extLst>
                <a:ext uri="{FF2B5EF4-FFF2-40B4-BE49-F238E27FC236}">
                  <a16:creationId xmlns:a16="http://schemas.microsoft.com/office/drawing/2014/main" id="{00000000-0008-0000-0000-00001A240000}"/>
                </a:ext>
              </a:extLst>
            </xdr:cNvPr>
            <xdr:cNvSpPr txBox="1"/>
          </xdr:nvSpPr>
          <xdr:spPr>
            <a:xfrm>
              <a:off x="600636" y="3406589"/>
              <a:ext cx="1787115" cy="2420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 b="1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Tendência Gastos trabalhistas:</a:t>
              </a:r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</xdr:grpSp>
      <xdr:grpSp>
        <xdr:nvGrpSpPr>
          <xdr:cNvPr id="298" name="Agrupar 297">
            <a:extLst>
              <a:ext uri="{FF2B5EF4-FFF2-40B4-BE49-F238E27FC236}">
                <a16:creationId xmlns:a16="http://schemas.microsoft.com/office/drawing/2014/main" id="{00000000-0008-0000-0000-00002A010000}"/>
              </a:ext>
            </a:extLst>
          </xdr:cNvPr>
          <xdr:cNvGrpSpPr/>
        </xdr:nvGrpSpPr>
        <xdr:grpSpPr>
          <a:xfrm>
            <a:off x="4831975" y="1147482"/>
            <a:ext cx="3827928" cy="2716305"/>
            <a:chOff x="564776" y="1165411"/>
            <a:chExt cx="3827928" cy="2716305"/>
          </a:xfrm>
        </xdr:grpSpPr>
        <xdr:grpSp>
          <xdr:nvGrpSpPr>
            <xdr:cNvPr id="9218" name="Agrupar 9217">
              <a:extLs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GrpSpPr/>
          </xdr:nvGrpSpPr>
          <xdr:grpSpPr>
            <a:xfrm>
              <a:off x="564776" y="1165411"/>
              <a:ext cx="3827928" cy="2716305"/>
              <a:chOff x="528917" y="1093694"/>
              <a:chExt cx="3827928" cy="2716305"/>
            </a:xfrm>
          </xdr:grpSpPr>
          <xdr:grpSp>
            <xdr:nvGrpSpPr>
              <xdr:cNvPr id="9222" name="Agrupar 1">
                <a:extLst>
                  <a:ext uri="{FF2B5EF4-FFF2-40B4-BE49-F238E27FC236}">
                    <a16:creationId xmlns:a16="http://schemas.microsoft.com/office/drawing/2014/main" id="{00000000-0008-0000-0000-000006240000}"/>
                  </a:ext>
                </a:extLst>
              </xdr:cNvPr>
              <xdr:cNvGrpSpPr/>
            </xdr:nvGrpSpPr>
            <xdr:grpSpPr>
              <a:xfrm>
                <a:off x="528917" y="1093694"/>
                <a:ext cx="3827928" cy="2716305"/>
                <a:chOff x="367555" y="1111624"/>
                <a:chExt cx="3827928" cy="2716305"/>
              </a:xfrm>
            </xdr:grpSpPr>
            <xdr:sp macro="" textlink="">
              <xdr:nvSpPr>
                <xdr:cNvPr id="9224" name="Retângulo: Cantos Arredondados 9223">
                  <a:extLst>
                    <a:ext uri="{FF2B5EF4-FFF2-40B4-BE49-F238E27FC236}">
                      <a16:creationId xmlns:a16="http://schemas.microsoft.com/office/drawing/2014/main" id="{00000000-0008-0000-0000-000008240000}"/>
                    </a:ext>
                  </a:extLst>
                </xdr:cNvPr>
                <xdr:cNvSpPr/>
              </xdr:nvSpPr>
              <xdr:spPr>
                <a:xfrm>
                  <a:off x="367555" y="1111624"/>
                  <a:ext cx="3827928" cy="2716305"/>
                </a:xfrm>
                <a:prstGeom prst="roundRect">
                  <a:avLst/>
                </a:prstGeom>
                <a:gradFill flip="none" rotWithShape="1">
                  <a:gsLst>
                    <a:gs pos="57000">
                      <a:srgbClr val="3E013D"/>
                    </a:gs>
                    <a:gs pos="7000">
                      <a:srgbClr val="5A106F"/>
                    </a:gs>
                  </a:gsLst>
                  <a:lin ang="16200000" scaled="1"/>
                  <a:tileRect/>
                </a:gra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Motorzinho!$C$7">
              <xdr:nvSpPr>
                <xdr:cNvPr id="9225" name="CaixaDeTexto 9224">
                  <a:extLst>
                    <a:ext uri="{FF2B5EF4-FFF2-40B4-BE49-F238E27FC236}">
                      <a16:creationId xmlns:a16="http://schemas.microsoft.com/office/drawing/2014/main" id="{00000000-0008-0000-0000-000009240000}"/>
                    </a:ext>
                  </a:extLst>
                </xdr:cNvPr>
                <xdr:cNvSpPr txBox="1"/>
              </xdr:nvSpPr>
              <xdr:spPr>
                <a:xfrm>
                  <a:off x="1623061" y="1141208"/>
                  <a:ext cx="1275677" cy="3792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40E81A06-E863-412B-A260-28E55EAE5500}" type="TxLink">
                    <a:rPr lang="en-US" sz="28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ctr"/>
                    <a:t>BRFS</a:t>
                  </a:fld>
                  <a:endParaRPr lang="pt-BR" sz="16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D$7">
              <xdr:nvSpPr>
                <xdr:cNvPr id="9226" name="CaixaDeTexto 9225">
                  <a:extLst>
                    <a:ext uri="{FF2B5EF4-FFF2-40B4-BE49-F238E27FC236}">
                      <a16:creationId xmlns:a16="http://schemas.microsoft.com/office/drawing/2014/main" id="{00000000-0008-0000-0000-00000A240000}"/>
                    </a:ext>
                  </a:extLst>
                </xdr:cNvPr>
                <xdr:cNvSpPr txBox="1"/>
              </xdr:nvSpPr>
              <xdr:spPr>
                <a:xfrm>
                  <a:off x="1122829" y="1656228"/>
                  <a:ext cx="1852409" cy="21335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29B29E3B-B9DD-45BD-8C56-B2E572D6D75A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BRF S.A.</a:t>
                  </a:fld>
                  <a:endParaRPr lang="pt-BR" sz="32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F$7">
              <xdr:nvSpPr>
                <xdr:cNvPr id="9227" name="CaixaDeTexto 9226">
                  <a:extLst>
                    <a:ext uri="{FF2B5EF4-FFF2-40B4-BE49-F238E27FC236}">
                      <a16:creationId xmlns:a16="http://schemas.microsoft.com/office/drawing/2014/main" id="{00000000-0008-0000-0000-00000B240000}"/>
                    </a:ext>
                  </a:extLst>
                </xdr:cNvPr>
                <xdr:cNvSpPr txBox="1"/>
              </xdr:nvSpPr>
              <xdr:spPr>
                <a:xfrm>
                  <a:off x="1275678" y="2251934"/>
                  <a:ext cx="1057835" cy="16405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FE8339E8-D45E-4472-ACDD-AFAB7BD2BD34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Set-2022</a:t>
                  </a:fld>
                  <a:endParaRPr lang="en-US" sz="1100" b="1" i="0" u="none" strike="noStrike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Calibri"/>
                  </a:endParaRPr>
                </a:p>
              </xdr:txBody>
            </xdr:sp>
            <xdr:sp macro="" textlink="Motorzinho!$I$7">
              <xdr:nvSpPr>
                <xdr:cNvPr id="9228" name="CaixaDeTexto 9227">
                  <a:extLst>
                    <a:ext uri="{FF2B5EF4-FFF2-40B4-BE49-F238E27FC236}">
                      <a16:creationId xmlns:a16="http://schemas.microsoft.com/office/drawing/2014/main" id="{00000000-0008-0000-0000-00000C240000}"/>
                    </a:ext>
                  </a:extLst>
                </xdr:cNvPr>
                <xdr:cNvSpPr txBox="1"/>
              </xdr:nvSpPr>
              <xdr:spPr>
                <a:xfrm>
                  <a:off x="1239818" y="2535666"/>
                  <a:ext cx="1019287" cy="1716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9FB683D8-6878-4482-9439-76AFF5D2CD95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Ruim</a:t>
                  </a:fld>
                  <a:endParaRPr lang="en-US" sz="1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H$7">
              <xdr:nvSpPr>
                <xdr:cNvPr id="9229" name="CaixaDeTexto 9228">
                  <a:extLst>
                    <a:ext uri="{FF2B5EF4-FFF2-40B4-BE49-F238E27FC236}">
                      <a16:creationId xmlns:a16="http://schemas.microsoft.com/office/drawing/2014/main" id="{00000000-0008-0000-0000-00000D240000}"/>
                    </a:ext>
                  </a:extLst>
                </xdr:cNvPr>
                <xdr:cNvSpPr txBox="1"/>
              </xdr:nvSpPr>
              <xdr:spPr>
                <a:xfrm>
                  <a:off x="1391324" y="2808194"/>
                  <a:ext cx="1832832" cy="171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B24B67C4-8897-48D7-888B-4C169068C7E8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Patrimônio Líquido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230" name="CaixaDeTexto 9229">
                  <a:extLst>
                    <a:ext uri="{FF2B5EF4-FFF2-40B4-BE49-F238E27FC236}">
                      <a16:creationId xmlns:a16="http://schemas.microsoft.com/office/drawing/2014/main" id="{00000000-0008-0000-0000-00000E240000}"/>
                    </a:ext>
                  </a:extLst>
                </xdr:cNvPr>
                <xdr:cNvSpPr txBox="1"/>
              </xdr:nvSpPr>
              <xdr:spPr>
                <a:xfrm>
                  <a:off x="442858" y="2550907"/>
                  <a:ext cx="1005839" cy="1716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Desempenho:</a:t>
                  </a:r>
                </a:p>
              </xdr:txBody>
            </xdr:sp>
            <xdr:sp macro="" textlink="Motorzinho!#REF!">
              <xdr:nvSpPr>
                <xdr:cNvPr id="9231" name="CaixaDeTexto 9230">
                  <a:extLst>
                    <a:ext uri="{FF2B5EF4-FFF2-40B4-BE49-F238E27FC236}">
                      <a16:creationId xmlns:a16="http://schemas.microsoft.com/office/drawing/2014/main" id="{00000000-0008-0000-0000-00000F240000}"/>
                    </a:ext>
                  </a:extLst>
                </xdr:cNvPr>
                <xdr:cNvSpPr txBox="1"/>
              </xdr:nvSpPr>
              <xdr:spPr>
                <a:xfrm>
                  <a:off x="455408" y="1972236"/>
                  <a:ext cx="556259" cy="2478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0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Setor:</a:t>
                  </a:r>
                </a:p>
              </xdr:txBody>
            </xdr:sp>
            <xdr:sp macro="" textlink="Motorzinho!#REF!">
              <xdr:nvSpPr>
                <xdr:cNvPr id="9232" name="CaixaDeTexto 9231">
                  <a:extLst>
                    <a:ext uri="{FF2B5EF4-FFF2-40B4-BE49-F238E27FC236}">
                      <a16:creationId xmlns:a16="http://schemas.microsoft.com/office/drawing/2014/main" id="{00000000-0008-0000-0000-000010240000}"/>
                    </a:ext>
                  </a:extLst>
                </xdr:cNvPr>
                <xdr:cNvSpPr txBox="1"/>
              </xdr:nvSpPr>
              <xdr:spPr>
                <a:xfrm>
                  <a:off x="414618" y="2824330"/>
                  <a:ext cx="1100419" cy="17884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Melhor indicador:</a:t>
                  </a:r>
                </a:p>
              </xdr:txBody>
            </xdr:sp>
            <xdr:cxnSp macro="">
              <xdr:nvCxnSpPr>
                <xdr:cNvPr id="9233" name="Conector reto 9232">
                  <a:extLst>
                    <a:ext uri="{FF2B5EF4-FFF2-40B4-BE49-F238E27FC236}">
                      <a16:creationId xmlns:a16="http://schemas.microsoft.com/office/drawing/2014/main" id="{00000000-0008-0000-0000-000011240000}"/>
                    </a:ext>
                  </a:extLst>
                </xdr:cNvPr>
                <xdr:cNvCxnSpPr/>
              </xdr:nvCxnSpPr>
              <xdr:spPr>
                <a:xfrm flipV="1">
                  <a:off x="476026" y="1543274"/>
                  <a:ext cx="3611880" cy="30480"/>
                </a:xfrm>
                <a:prstGeom prst="line">
                  <a:avLst/>
                </a:prstGeom>
              </xdr:spPr>
              <xdr:style>
                <a:lnRef idx="2">
                  <a:schemeClr val="accent3"/>
                </a:lnRef>
                <a:fillRef idx="0">
                  <a:schemeClr val="accent3"/>
                </a:fillRef>
                <a:effectRef idx="1">
                  <a:schemeClr val="accent3"/>
                </a:effectRef>
                <a:fontRef idx="minor">
                  <a:schemeClr val="tx1"/>
                </a:fontRef>
              </xdr:style>
            </xdr:cxnSp>
            <xdr:sp macro="" textlink="Motorzinho!#REF!">
              <xdr:nvSpPr>
                <xdr:cNvPr id="9234" name="CaixaDeTexto 9233">
                  <a:extLst>
                    <a:ext uri="{FF2B5EF4-FFF2-40B4-BE49-F238E27FC236}">
                      <a16:creationId xmlns:a16="http://schemas.microsoft.com/office/drawing/2014/main" id="{00000000-0008-0000-0000-000012240000}"/>
                    </a:ext>
                  </a:extLst>
                </xdr:cNvPr>
                <xdr:cNvSpPr txBox="1"/>
              </xdr:nvSpPr>
              <xdr:spPr>
                <a:xfrm>
                  <a:off x="431204" y="3108062"/>
                  <a:ext cx="1607820" cy="1716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de Cresc: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Q$7">
              <xdr:nvSpPr>
                <xdr:cNvPr id="9235" name="CaixaDeTexto 9234">
                  <a:extLst>
                    <a:ext uri="{FF2B5EF4-FFF2-40B4-BE49-F238E27FC236}">
                      <a16:creationId xmlns:a16="http://schemas.microsoft.com/office/drawing/2014/main" id="{00000000-0008-0000-0000-000013240000}"/>
                    </a:ext>
                  </a:extLst>
                </xdr:cNvPr>
                <xdr:cNvSpPr txBox="1"/>
              </xdr:nvSpPr>
              <xdr:spPr>
                <a:xfrm>
                  <a:off x="1447800" y="3090133"/>
                  <a:ext cx="1028700" cy="18691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F7830D1F-CAAE-4005-A24E-BA0D96E65543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49,31%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236" name="CaixaDeTexto 9235">
                  <a:extLst>
                    <a:ext uri="{FF2B5EF4-FFF2-40B4-BE49-F238E27FC236}">
                      <a16:creationId xmlns:a16="http://schemas.microsoft.com/office/drawing/2014/main" id="{00000000-0008-0000-0000-000014240000}"/>
                    </a:ext>
                  </a:extLst>
                </xdr:cNvPr>
                <xdr:cNvSpPr txBox="1"/>
              </xdr:nvSpPr>
              <xdr:spPr>
                <a:xfrm>
                  <a:off x="458097" y="2268518"/>
                  <a:ext cx="97536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Data Balanço:</a:t>
                  </a:r>
                </a:p>
              </xdr:txBody>
            </xdr:sp>
            <xdr:sp macro="" textlink="Motorzinho!#REF!">
              <xdr:nvSpPr>
                <xdr:cNvPr id="9237" name="CaixaDeTexto 9236">
                  <a:extLst>
                    <a:ext uri="{FF2B5EF4-FFF2-40B4-BE49-F238E27FC236}">
                      <a16:creationId xmlns:a16="http://schemas.microsoft.com/office/drawing/2014/main" id="{00000000-0008-0000-0000-000015240000}"/>
                    </a:ext>
                  </a:extLst>
                </xdr:cNvPr>
                <xdr:cNvSpPr txBox="1"/>
              </xdr:nvSpPr>
              <xdr:spPr>
                <a:xfrm>
                  <a:off x="2470224" y="3134510"/>
                  <a:ext cx="167640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ROE: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P$7">
              <xdr:nvSpPr>
                <xdr:cNvPr id="9238" name="CaixaDeTexto 9237">
                  <a:extLst>
                    <a:ext uri="{FF2B5EF4-FFF2-40B4-BE49-F238E27FC236}">
                      <a16:creationId xmlns:a16="http://schemas.microsoft.com/office/drawing/2014/main" id="{00000000-0008-0000-0000-000016240000}"/>
                    </a:ext>
                  </a:extLst>
                </xdr:cNvPr>
                <xdr:cNvSpPr txBox="1"/>
              </xdr:nvSpPr>
              <xdr:spPr>
                <a:xfrm>
                  <a:off x="3261360" y="3110305"/>
                  <a:ext cx="925160" cy="18870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A08AFCC8-FA72-4979-AE87-86FCD6001600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-1,75%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</xdr:grpSp>
          <xdr:sp macro="" textlink="Motorzinho!#REF!">
            <xdr:nvSpPr>
              <xdr:cNvPr id="9223" name="CaixaDeTexto 9222">
                <a:extLst>
                  <a:ext uri="{FF2B5EF4-FFF2-40B4-BE49-F238E27FC236}">
                    <a16:creationId xmlns:a16="http://schemas.microsoft.com/office/drawing/2014/main" id="{00000000-0008-0000-0000-000007240000}"/>
                  </a:ext>
                </a:extLst>
              </xdr:cNvPr>
              <xdr:cNvSpPr txBox="1"/>
            </xdr:nvSpPr>
            <xdr:spPr>
              <a:xfrm>
                <a:off x="627529" y="1667436"/>
                <a:ext cx="717177" cy="2330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10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Empresa:</a:t>
                </a:r>
              </a:p>
            </xdr:txBody>
          </xdr:sp>
        </xdr:grpSp>
        <xdr:sp macro="" textlink="Motorzinho!$E$7">
          <xdr:nvSpPr>
            <xdr:cNvPr id="9219" name="CaixaDeTexto 9218">
              <a:extLs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 txBox="1"/>
          </xdr:nvSpPr>
          <xdr:spPr>
            <a:xfrm>
              <a:off x="1111623" y="2017060"/>
              <a:ext cx="2061883" cy="2061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EF8A12B7-64B3-41E0-BE42-4234028496EA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Emp. Adm. Part. - Alimentos</a:t>
              </a:fld>
              <a:endParaRPr lang="pt-BR" sz="32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$T$7">
          <xdr:nvSpPr>
            <xdr:cNvPr id="9220" name="CaixaDeTexto 9219">
              <a:extLs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 txBox="1"/>
          </xdr:nvSpPr>
          <xdr:spPr>
            <a:xfrm>
              <a:off x="2303930" y="3433482"/>
              <a:ext cx="1005839" cy="1716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F27A0909-F3F5-4086-8E21-51FAC3CAE77C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Diminuir</a:t>
              </a:fld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#REF!">
          <xdr:nvSpPr>
            <xdr:cNvPr id="9221" name="CaixaDeTexto 9220">
              <a:extLs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 txBox="1"/>
          </xdr:nvSpPr>
          <xdr:spPr>
            <a:xfrm>
              <a:off x="600636" y="3406589"/>
              <a:ext cx="1787115" cy="2420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 b="1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Tendência Gastos trabalhistas:</a:t>
              </a:r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</xdr:grpSp>
      <xdr:grpSp>
        <xdr:nvGrpSpPr>
          <xdr:cNvPr id="299" name="Agrupar 298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GrpSpPr/>
        </xdr:nvGrpSpPr>
        <xdr:grpSpPr>
          <a:xfrm>
            <a:off x="9251577" y="1111623"/>
            <a:ext cx="3827928" cy="2716305"/>
            <a:chOff x="564776" y="1165411"/>
            <a:chExt cx="3827928" cy="2716305"/>
          </a:xfrm>
        </xdr:grpSpPr>
        <xdr:grpSp>
          <xdr:nvGrpSpPr>
            <xdr:cNvPr id="300" name="Agrupar 299">
              <a:extLst>
                <a:ext uri="{FF2B5EF4-FFF2-40B4-BE49-F238E27FC236}">
                  <a16:creationId xmlns:a16="http://schemas.microsoft.com/office/drawing/2014/main" id="{00000000-0008-0000-0000-00002C010000}"/>
                </a:ext>
              </a:extLst>
            </xdr:cNvPr>
            <xdr:cNvGrpSpPr/>
          </xdr:nvGrpSpPr>
          <xdr:grpSpPr>
            <a:xfrm>
              <a:off x="564776" y="1165411"/>
              <a:ext cx="3827928" cy="2716305"/>
              <a:chOff x="528917" y="1093694"/>
              <a:chExt cx="3827928" cy="2716305"/>
            </a:xfrm>
          </xdr:grpSpPr>
          <xdr:grpSp>
            <xdr:nvGrpSpPr>
              <xdr:cNvPr id="304" name="Agrupar 1">
                <a:extLst>
                  <a:ext uri="{FF2B5EF4-FFF2-40B4-BE49-F238E27FC236}">
                    <a16:creationId xmlns:a16="http://schemas.microsoft.com/office/drawing/2014/main" id="{00000000-0008-0000-0000-000030010000}"/>
                  </a:ext>
                </a:extLst>
              </xdr:cNvPr>
              <xdr:cNvGrpSpPr/>
            </xdr:nvGrpSpPr>
            <xdr:grpSpPr>
              <a:xfrm>
                <a:off x="528917" y="1093694"/>
                <a:ext cx="3827928" cy="2716305"/>
                <a:chOff x="367555" y="1111624"/>
                <a:chExt cx="3827928" cy="2716305"/>
              </a:xfrm>
            </xdr:grpSpPr>
            <xdr:sp macro="" textlink="">
              <xdr:nvSpPr>
                <xdr:cNvPr id="306" name="Retângulo: Cantos Arredondados 305">
                  <a:extLst>
                    <a:ext uri="{FF2B5EF4-FFF2-40B4-BE49-F238E27FC236}">
                      <a16:creationId xmlns:a16="http://schemas.microsoft.com/office/drawing/2014/main" id="{00000000-0008-0000-0000-000032010000}"/>
                    </a:ext>
                  </a:extLst>
                </xdr:cNvPr>
                <xdr:cNvSpPr/>
              </xdr:nvSpPr>
              <xdr:spPr>
                <a:xfrm>
                  <a:off x="367555" y="1111624"/>
                  <a:ext cx="3827928" cy="2716305"/>
                </a:xfrm>
                <a:prstGeom prst="roundRect">
                  <a:avLst/>
                </a:prstGeom>
                <a:gradFill flip="none" rotWithShape="1">
                  <a:gsLst>
                    <a:gs pos="57000">
                      <a:srgbClr val="3E013D"/>
                    </a:gs>
                    <a:gs pos="7000">
                      <a:srgbClr val="5A106F"/>
                    </a:gs>
                  </a:gsLst>
                  <a:lin ang="16200000" scaled="1"/>
                  <a:tileRect/>
                </a:gra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Motorzinho!$C$8">
              <xdr:nvSpPr>
                <xdr:cNvPr id="307" name="CaixaDeTexto 306">
                  <a:extLst>
                    <a:ext uri="{FF2B5EF4-FFF2-40B4-BE49-F238E27FC236}">
                      <a16:creationId xmlns:a16="http://schemas.microsoft.com/office/drawing/2014/main" id="{00000000-0008-0000-0000-000033010000}"/>
                    </a:ext>
                  </a:extLst>
                </xdr:cNvPr>
                <xdr:cNvSpPr txBox="1"/>
              </xdr:nvSpPr>
              <xdr:spPr>
                <a:xfrm>
                  <a:off x="1623061" y="1141208"/>
                  <a:ext cx="1275677" cy="3792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8BF48855-4728-4E3D-9C10-A1AB41B63F62}" type="TxLink">
                    <a:rPr lang="en-US" sz="28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ctr"/>
                    <a:t>JOPA</a:t>
                  </a:fld>
                  <a:endParaRPr lang="pt-BR" sz="16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D$8">
              <xdr:nvSpPr>
                <xdr:cNvPr id="308" name="CaixaDeTexto 307">
                  <a:extLst>
                    <a:ext uri="{FF2B5EF4-FFF2-40B4-BE49-F238E27FC236}">
                      <a16:creationId xmlns:a16="http://schemas.microsoft.com/office/drawing/2014/main" id="{00000000-0008-0000-0000-000034010000}"/>
                    </a:ext>
                  </a:extLst>
                </xdr:cNvPr>
                <xdr:cNvSpPr txBox="1"/>
              </xdr:nvSpPr>
              <xdr:spPr>
                <a:xfrm>
                  <a:off x="1122829" y="1656228"/>
                  <a:ext cx="1852409" cy="21335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A286F012-C45B-4A7A-9C2A-B29A4A316807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JOSAPAR-JOAQUIM OLIVEIRA S.A. - PARTICIP</a:t>
                  </a:fld>
                  <a:endParaRPr lang="pt-BR" sz="32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F$8">
              <xdr:nvSpPr>
                <xdr:cNvPr id="309" name="CaixaDeTexto 308">
                  <a:extLst>
                    <a:ext uri="{FF2B5EF4-FFF2-40B4-BE49-F238E27FC236}">
                      <a16:creationId xmlns:a16="http://schemas.microsoft.com/office/drawing/2014/main" id="{00000000-0008-0000-0000-000035010000}"/>
                    </a:ext>
                  </a:extLst>
                </xdr:cNvPr>
                <xdr:cNvSpPr txBox="1"/>
              </xdr:nvSpPr>
              <xdr:spPr>
                <a:xfrm>
                  <a:off x="1275678" y="2251934"/>
                  <a:ext cx="1057835" cy="16405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F40F3E4D-ED1B-4A7D-870B-A535315D03F8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Set-2022</a:t>
                  </a:fld>
                  <a:endParaRPr lang="en-US" sz="1100" b="1" i="0" u="none" strike="noStrike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Calibri"/>
                  </a:endParaRPr>
                </a:p>
              </xdr:txBody>
            </xdr:sp>
            <xdr:sp macro="" textlink="Motorzinho!$I$8">
              <xdr:nvSpPr>
                <xdr:cNvPr id="310" name="CaixaDeTexto 309">
                  <a:extLst>
                    <a:ext uri="{FF2B5EF4-FFF2-40B4-BE49-F238E27FC236}">
                      <a16:creationId xmlns:a16="http://schemas.microsoft.com/office/drawing/2014/main" id="{00000000-0008-0000-0000-000036010000}"/>
                    </a:ext>
                  </a:extLst>
                </xdr:cNvPr>
                <xdr:cNvSpPr txBox="1"/>
              </xdr:nvSpPr>
              <xdr:spPr>
                <a:xfrm>
                  <a:off x="1239818" y="2535666"/>
                  <a:ext cx="1019287" cy="1716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3F5E80B8-6B89-4966-AF7E-BD0E7DFB80B8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Médio</a:t>
                  </a:fld>
                  <a:endParaRPr lang="en-US" sz="1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H$8">
              <xdr:nvSpPr>
                <xdr:cNvPr id="311" name="CaixaDeTexto 310">
                  <a:extLst>
                    <a:ext uri="{FF2B5EF4-FFF2-40B4-BE49-F238E27FC236}">
                      <a16:creationId xmlns:a16="http://schemas.microsoft.com/office/drawing/2014/main" id="{00000000-0008-0000-0000-000037010000}"/>
                    </a:ext>
                  </a:extLst>
                </xdr:cNvPr>
                <xdr:cNvSpPr txBox="1"/>
              </xdr:nvSpPr>
              <xdr:spPr>
                <a:xfrm>
                  <a:off x="1391324" y="2808194"/>
                  <a:ext cx="1832832" cy="171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D248AA0E-3A52-44DC-B5EE-DA0CDBACF393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Nenhum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312" name="CaixaDeTexto 311">
                  <a:extLst>
                    <a:ext uri="{FF2B5EF4-FFF2-40B4-BE49-F238E27FC236}">
                      <a16:creationId xmlns:a16="http://schemas.microsoft.com/office/drawing/2014/main" id="{00000000-0008-0000-0000-000038010000}"/>
                    </a:ext>
                  </a:extLst>
                </xdr:cNvPr>
                <xdr:cNvSpPr txBox="1"/>
              </xdr:nvSpPr>
              <xdr:spPr>
                <a:xfrm>
                  <a:off x="442858" y="2550907"/>
                  <a:ext cx="1005839" cy="1716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Desempenho:</a:t>
                  </a:r>
                </a:p>
              </xdr:txBody>
            </xdr:sp>
            <xdr:sp macro="" textlink="Motorzinho!#REF!">
              <xdr:nvSpPr>
                <xdr:cNvPr id="313" name="CaixaDeTexto 312">
                  <a:extLst>
                    <a:ext uri="{FF2B5EF4-FFF2-40B4-BE49-F238E27FC236}">
                      <a16:creationId xmlns:a16="http://schemas.microsoft.com/office/drawing/2014/main" id="{00000000-0008-0000-0000-000039010000}"/>
                    </a:ext>
                  </a:extLst>
                </xdr:cNvPr>
                <xdr:cNvSpPr txBox="1"/>
              </xdr:nvSpPr>
              <xdr:spPr>
                <a:xfrm>
                  <a:off x="455408" y="1972236"/>
                  <a:ext cx="556259" cy="2478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0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Setor:</a:t>
                  </a:r>
                </a:p>
              </xdr:txBody>
            </xdr:sp>
            <xdr:sp macro="" textlink="Motorzinho!#REF!">
              <xdr:nvSpPr>
                <xdr:cNvPr id="314" name="CaixaDeTexto 313">
                  <a:extLst>
                    <a:ext uri="{FF2B5EF4-FFF2-40B4-BE49-F238E27FC236}">
                      <a16:creationId xmlns:a16="http://schemas.microsoft.com/office/drawing/2014/main" id="{00000000-0008-0000-0000-00003A010000}"/>
                    </a:ext>
                  </a:extLst>
                </xdr:cNvPr>
                <xdr:cNvSpPr txBox="1"/>
              </xdr:nvSpPr>
              <xdr:spPr>
                <a:xfrm>
                  <a:off x="414618" y="2824330"/>
                  <a:ext cx="1100419" cy="17884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Melhor indicador:</a:t>
                  </a:r>
                </a:p>
              </xdr:txBody>
            </xdr:sp>
            <xdr:cxnSp macro="">
              <xdr:nvCxnSpPr>
                <xdr:cNvPr id="315" name="Conector reto 314">
                  <a:extLst>
                    <a:ext uri="{FF2B5EF4-FFF2-40B4-BE49-F238E27FC236}">
                      <a16:creationId xmlns:a16="http://schemas.microsoft.com/office/drawing/2014/main" id="{00000000-0008-0000-0000-00003B010000}"/>
                    </a:ext>
                  </a:extLst>
                </xdr:cNvPr>
                <xdr:cNvCxnSpPr/>
              </xdr:nvCxnSpPr>
              <xdr:spPr>
                <a:xfrm flipV="1">
                  <a:off x="476026" y="1543274"/>
                  <a:ext cx="3611880" cy="30480"/>
                </a:xfrm>
                <a:prstGeom prst="line">
                  <a:avLst/>
                </a:prstGeom>
              </xdr:spPr>
              <xdr:style>
                <a:lnRef idx="2">
                  <a:schemeClr val="accent3"/>
                </a:lnRef>
                <a:fillRef idx="0">
                  <a:schemeClr val="accent3"/>
                </a:fillRef>
                <a:effectRef idx="1">
                  <a:schemeClr val="accent3"/>
                </a:effectRef>
                <a:fontRef idx="minor">
                  <a:schemeClr val="tx1"/>
                </a:fontRef>
              </xdr:style>
            </xdr:cxnSp>
            <xdr:sp macro="" textlink="Motorzinho!#REF!">
              <xdr:nvSpPr>
                <xdr:cNvPr id="316" name="CaixaDeTexto 315">
                  <a:extLst>
                    <a:ext uri="{FF2B5EF4-FFF2-40B4-BE49-F238E27FC236}">
                      <a16:creationId xmlns:a16="http://schemas.microsoft.com/office/drawing/2014/main" id="{00000000-0008-0000-0000-00003C010000}"/>
                    </a:ext>
                  </a:extLst>
                </xdr:cNvPr>
                <xdr:cNvSpPr txBox="1"/>
              </xdr:nvSpPr>
              <xdr:spPr>
                <a:xfrm>
                  <a:off x="431204" y="3108062"/>
                  <a:ext cx="1607820" cy="1716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de Cresc: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Q$8">
              <xdr:nvSpPr>
                <xdr:cNvPr id="317" name="CaixaDeTexto 316">
                  <a:extLst>
                    <a:ext uri="{FF2B5EF4-FFF2-40B4-BE49-F238E27FC236}">
                      <a16:creationId xmlns:a16="http://schemas.microsoft.com/office/drawing/2014/main" id="{00000000-0008-0000-0000-00003D010000}"/>
                    </a:ext>
                  </a:extLst>
                </xdr:cNvPr>
                <xdr:cNvSpPr txBox="1"/>
              </xdr:nvSpPr>
              <xdr:spPr>
                <a:xfrm>
                  <a:off x="1447800" y="3090133"/>
                  <a:ext cx="1028700" cy="18691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00459C51-E02D-42BB-A529-5134EE29431A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32,34%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318" name="CaixaDeTexto 317">
                  <a:extLst>
                    <a:ext uri="{FF2B5EF4-FFF2-40B4-BE49-F238E27FC236}">
                      <a16:creationId xmlns:a16="http://schemas.microsoft.com/office/drawing/2014/main" id="{00000000-0008-0000-0000-00003E010000}"/>
                    </a:ext>
                  </a:extLst>
                </xdr:cNvPr>
                <xdr:cNvSpPr txBox="1"/>
              </xdr:nvSpPr>
              <xdr:spPr>
                <a:xfrm>
                  <a:off x="458097" y="2268518"/>
                  <a:ext cx="97536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Data Balanço:</a:t>
                  </a:r>
                </a:p>
              </xdr:txBody>
            </xdr:sp>
            <xdr:sp macro="" textlink="Motorzinho!#REF!">
              <xdr:nvSpPr>
                <xdr:cNvPr id="319" name="CaixaDeTexto 318">
                  <a:extLst>
                    <a:ext uri="{FF2B5EF4-FFF2-40B4-BE49-F238E27FC236}">
                      <a16:creationId xmlns:a16="http://schemas.microsoft.com/office/drawing/2014/main" id="{00000000-0008-0000-0000-00003F010000}"/>
                    </a:ext>
                  </a:extLst>
                </xdr:cNvPr>
                <xdr:cNvSpPr txBox="1"/>
              </xdr:nvSpPr>
              <xdr:spPr>
                <a:xfrm>
                  <a:off x="2470224" y="3134510"/>
                  <a:ext cx="167640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ROE: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P$8">
              <xdr:nvSpPr>
                <xdr:cNvPr id="9216" name="CaixaDeTexto 9215">
                  <a:extLst>
                    <a:ext uri="{FF2B5EF4-FFF2-40B4-BE49-F238E27FC236}">
                      <a16:creationId xmlns:a16="http://schemas.microsoft.com/office/drawing/2014/main" id="{00000000-0008-0000-0000-000000240000}"/>
                    </a:ext>
                  </a:extLst>
                </xdr:cNvPr>
                <xdr:cNvSpPr txBox="1"/>
              </xdr:nvSpPr>
              <xdr:spPr>
                <a:xfrm>
                  <a:off x="3261360" y="3110305"/>
                  <a:ext cx="925160" cy="18870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7A1D10B3-B495-49D3-BA3E-EB079B8E065C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2,66%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</xdr:grpSp>
          <xdr:sp macro="" textlink="Motorzinho!#REF!">
            <xdr:nvSpPr>
              <xdr:cNvPr id="305" name="CaixaDeTexto 304">
                <a:extLst>
                  <a:ext uri="{FF2B5EF4-FFF2-40B4-BE49-F238E27FC236}">
                    <a16:creationId xmlns:a16="http://schemas.microsoft.com/office/drawing/2014/main" id="{00000000-0008-0000-0000-000031010000}"/>
                  </a:ext>
                </a:extLst>
              </xdr:cNvPr>
              <xdr:cNvSpPr txBox="1"/>
            </xdr:nvSpPr>
            <xdr:spPr>
              <a:xfrm>
                <a:off x="627529" y="1667436"/>
                <a:ext cx="717177" cy="2330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10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Empresa:</a:t>
                </a:r>
              </a:p>
            </xdr:txBody>
          </xdr:sp>
        </xdr:grpSp>
        <xdr:sp macro="" textlink="Motorzinho!$E$8">
          <xdr:nvSpPr>
            <xdr:cNvPr id="301" name="CaixaDeTexto 300">
              <a:extLst>
                <a:ext uri="{FF2B5EF4-FFF2-40B4-BE49-F238E27FC236}">
                  <a16:creationId xmlns:a16="http://schemas.microsoft.com/office/drawing/2014/main" id="{00000000-0008-0000-0000-00002D010000}"/>
                </a:ext>
              </a:extLst>
            </xdr:cNvPr>
            <xdr:cNvSpPr txBox="1"/>
          </xdr:nvSpPr>
          <xdr:spPr>
            <a:xfrm>
              <a:off x="1111623" y="2017061"/>
              <a:ext cx="2124634" cy="1972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85FF7963-58FC-4529-B311-E3DCA6A0CB7E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Emp. Adm. Part. - Alimentos</a:t>
              </a:fld>
              <a:endParaRPr lang="pt-BR" sz="32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$T$8">
          <xdr:nvSpPr>
            <xdr:cNvPr id="302" name="CaixaDeTexto 301">
              <a:extLst>
                <a:ext uri="{FF2B5EF4-FFF2-40B4-BE49-F238E27FC236}">
                  <a16:creationId xmlns:a16="http://schemas.microsoft.com/office/drawing/2014/main" id="{00000000-0008-0000-0000-00002E010000}"/>
                </a:ext>
              </a:extLst>
            </xdr:cNvPr>
            <xdr:cNvSpPr txBox="1"/>
          </xdr:nvSpPr>
          <xdr:spPr>
            <a:xfrm>
              <a:off x="2303930" y="3433482"/>
              <a:ext cx="1005839" cy="1716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55E027EB-ACD1-4398-AD79-752B76CD967C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Aumentar</a:t>
              </a:fld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#REF!">
          <xdr:nvSpPr>
            <xdr:cNvPr id="303" name="CaixaDeTexto 302">
              <a:extLst>
                <a:ext uri="{FF2B5EF4-FFF2-40B4-BE49-F238E27FC236}">
                  <a16:creationId xmlns:a16="http://schemas.microsoft.com/office/drawing/2014/main" id="{00000000-0008-0000-0000-00002F010000}"/>
                </a:ext>
              </a:extLst>
            </xdr:cNvPr>
            <xdr:cNvSpPr txBox="1"/>
          </xdr:nvSpPr>
          <xdr:spPr>
            <a:xfrm>
              <a:off x="600636" y="3406589"/>
              <a:ext cx="1787115" cy="2420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 b="1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Tendência Gastos trabalhistas:</a:t>
              </a:r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</xdr:grpSp>
    </xdr:grpSp>
    <xdr:clientData/>
  </xdr:twoCellAnchor>
  <xdr:twoCellAnchor>
    <xdr:from>
      <xdr:col>0</xdr:col>
      <xdr:colOff>466164</xdr:colOff>
      <xdr:row>50</xdr:row>
      <xdr:rowOff>26894</xdr:rowOff>
    </xdr:from>
    <xdr:to>
      <xdr:col>21</xdr:col>
      <xdr:colOff>277905</xdr:colOff>
      <xdr:row>65</xdr:row>
      <xdr:rowOff>107575</xdr:rowOff>
    </xdr:to>
    <xdr:grpSp>
      <xdr:nvGrpSpPr>
        <xdr:cNvPr id="9260" name="Agrupar 9259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GrpSpPr/>
      </xdr:nvGrpSpPr>
      <xdr:grpSpPr>
        <a:xfrm>
          <a:off x="466164" y="8991600"/>
          <a:ext cx="12613341" cy="2770093"/>
          <a:chOff x="466164" y="1111623"/>
          <a:chExt cx="12613341" cy="2770093"/>
        </a:xfrm>
      </xdr:grpSpPr>
      <xdr:grpSp>
        <xdr:nvGrpSpPr>
          <xdr:cNvPr id="9261" name="Agrupar 9260">
            <a:extLst>
              <a:ext uri="{FF2B5EF4-FFF2-40B4-BE49-F238E27FC236}">
                <a16:creationId xmlns:a16="http://schemas.microsoft.com/office/drawing/2014/main" id="{00000000-0008-0000-0000-00002D240000}"/>
              </a:ext>
            </a:extLst>
          </xdr:cNvPr>
          <xdr:cNvGrpSpPr/>
        </xdr:nvGrpSpPr>
        <xdr:grpSpPr>
          <a:xfrm>
            <a:off x="466164" y="1165411"/>
            <a:ext cx="3827928" cy="2716305"/>
            <a:chOff x="564776" y="1165411"/>
            <a:chExt cx="3827928" cy="2716305"/>
          </a:xfrm>
        </xdr:grpSpPr>
        <xdr:grpSp>
          <xdr:nvGrpSpPr>
            <xdr:cNvPr id="9306" name="Agrupar 9305">
              <a:extLst>
                <a:ext uri="{FF2B5EF4-FFF2-40B4-BE49-F238E27FC236}">
                  <a16:creationId xmlns:a16="http://schemas.microsoft.com/office/drawing/2014/main" id="{00000000-0008-0000-0000-00005A240000}"/>
                </a:ext>
              </a:extLst>
            </xdr:cNvPr>
            <xdr:cNvGrpSpPr/>
          </xdr:nvGrpSpPr>
          <xdr:grpSpPr>
            <a:xfrm>
              <a:off x="564776" y="1165411"/>
              <a:ext cx="3827928" cy="2716305"/>
              <a:chOff x="528917" y="1093694"/>
              <a:chExt cx="3827928" cy="2716305"/>
            </a:xfrm>
          </xdr:grpSpPr>
          <xdr:grpSp>
            <xdr:nvGrpSpPr>
              <xdr:cNvPr id="9310" name="Agrupar 1">
                <a:extLst>
                  <a:ext uri="{FF2B5EF4-FFF2-40B4-BE49-F238E27FC236}">
                    <a16:creationId xmlns:a16="http://schemas.microsoft.com/office/drawing/2014/main" id="{00000000-0008-0000-0000-00005E240000}"/>
                  </a:ext>
                </a:extLst>
              </xdr:cNvPr>
              <xdr:cNvGrpSpPr/>
            </xdr:nvGrpSpPr>
            <xdr:grpSpPr>
              <a:xfrm>
                <a:off x="528917" y="1093694"/>
                <a:ext cx="3827928" cy="2716305"/>
                <a:chOff x="367555" y="1111624"/>
                <a:chExt cx="3827928" cy="2716305"/>
              </a:xfrm>
            </xdr:grpSpPr>
            <xdr:sp macro="" textlink="">
              <xdr:nvSpPr>
                <xdr:cNvPr id="9312" name="Retângulo: Cantos Arredondados 9311">
                  <a:extLst>
                    <a:ext uri="{FF2B5EF4-FFF2-40B4-BE49-F238E27FC236}">
                      <a16:creationId xmlns:a16="http://schemas.microsoft.com/office/drawing/2014/main" id="{00000000-0008-0000-0000-000060240000}"/>
                    </a:ext>
                  </a:extLst>
                </xdr:cNvPr>
                <xdr:cNvSpPr/>
              </xdr:nvSpPr>
              <xdr:spPr>
                <a:xfrm>
                  <a:off x="367555" y="1111624"/>
                  <a:ext cx="3827928" cy="2716305"/>
                </a:xfrm>
                <a:prstGeom prst="roundRect">
                  <a:avLst/>
                </a:prstGeom>
                <a:gradFill flip="none" rotWithShape="1">
                  <a:gsLst>
                    <a:gs pos="57000">
                      <a:srgbClr val="3E013D"/>
                    </a:gs>
                    <a:gs pos="7000">
                      <a:srgbClr val="5A106F"/>
                    </a:gs>
                  </a:gsLst>
                  <a:lin ang="16200000" scaled="1"/>
                  <a:tileRect/>
                </a:gra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Motorzinho!$C$9">
              <xdr:nvSpPr>
                <xdr:cNvPr id="9313" name="CaixaDeTexto 9312">
                  <a:extLst>
                    <a:ext uri="{FF2B5EF4-FFF2-40B4-BE49-F238E27FC236}">
                      <a16:creationId xmlns:a16="http://schemas.microsoft.com/office/drawing/2014/main" id="{00000000-0008-0000-0000-000061240000}"/>
                    </a:ext>
                  </a:extLst>
                </xdr:cNvPr>
                <xdr:cNvSpPr txBox="1"/>
              </xdr:nvSpPr>
              <xdr:spPr>
                <a:xfrm>
                  <a:off x="1623061" y="1141208"/>
                  <a:ext cx="1275677" cy="3792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407C240E-EDDD-492F-9605-AAB144F6BEC5}" type="TxLink">
                    <a:rPr lang="en-US" sz="28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ctr"/>
                    <a:t>MNPR</a:t>
                  </a:fld>
                  <a:endParaRPr lang="pt-BR" sz="16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D$9">
              <xdr:nvSpPr>
                <xdr:cNvPr id="9314" name="CaixaDeTexto 9313">
                  <a:extLst>
                    <a:ext uri="{FF2B5EF4-FFF2-40B4-BE49-F238E27FC236}">
                      <a16:creationId xmlns:a16="http://schemas.microsoft.com/office/drawing/2014/main" id="{00000000-0008-0000-0000-000062240000}"/>
                    </a:ext>
                  </a:extLst>
                </xdr:cNvPr>
                <xdr:cNvSpPr txBox="1"/>
              </xdr:nvSpPr>
              <xdr:spPr>
                <a:xfrm>
                  <a:off x="1122829" y="1656228"/>
                  <a:ext cx="1852409" cy="21335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95174A0A-EBFB-482E-89BF-1A3085AFC269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MINUPAR PARTICIPACOES S.A.</a:t>
                  </a:fld>
                  <a:endParaRPr lang="pt-BR" sz="32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F$9">
              <xdr:nvSpPr>
                <xdr:cNvPr id="9315" name="CaixaDeTexto 9314">
                  <a:extLst>
                    <a:ext uri="{FF2B5EF4-FFF2-40B4-BE49-F238E27FC236}">
                      <a16:creationId xmlns:a16="http://schemas.microsoft.com/office/drawing/2014/main" id="{00000000-0008-0000-0000-000063240000}"/>
                    </a:ext>
                  </a:extLst>
                </xdr:cNvPr>
                <xdr:cNvSpPr txBox="1"/>
              </xdr:nvSpPr>
              <xdr:spPr>
                <a:xfrm>
                  <a:off x="1275678" y="2251934"/>
                  <a:ext cx="1057835" cy="16405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0CAC24CA-0291-4992-95F8-08072DA24FF6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Set-2022</a:t>
                  </a:fld>
                  <a:endParaRPr lang="en-US" sz="1100" b="1" i="0" u="none" strike="noStrike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Calibri"/>
                  </a:endParaRPr>
                </a:p>
              </xdr:txBody>
            </xdr:sp>
            <xdr:sp macro="" textlink="Motorzinho!$I$9">
              <xdr:nvSpPr>
                <xdr:cNvPr id="9316" name="CaixaDeTexto 9315">
                  <a:extLst>
                    <a:ext uri="{FF2B5EF4-FFF2-40B4-BE49-F238E27FC236}">
                      <a16:creationId xmlns:a16="http://schemas.microsoft.com/office/drawing/2014/main" id="{00000000-0008-0000-0000-000064240000}"/>
                    </a:ext>
                  </a:extLst>
                </xdr:cNvPr>
                <xdr:cNvSpPr txBox="1"/>
              </xdr:nvSpPr>
              <xdr:spPr>
                <a:xfrm>
                  <a:off x="1239818" y="2535666"/>
                  <a:ext cx="1019287" cy="1716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03EDDD5B-31AE-422F-87EF-C9A019ECFCFE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Ruim</a:t>
                  </a:fld>
                  <a:endParaRPr lang="en-US" sz="1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H$9">
              <xdr:nvSpPr>
                <xdr:cNvPr id="9317" name="CaixaDeTexto 9316">
                  <a:extLst>
                    <a:ext uri="{FF2B5EF4-FFF2-40B4-BE49-F238E27FC236}">
                      <a16:creationId xmlns:a16="http://schemas.microsoft.com/office/drawing/2014/main" id="{00000000-0008-0000-0000-000065240000}"/>
                    </a:ext>
                  </a:extLst>
                </xdr:cNvPr>
                <xdr:cNvSpPr txBox="1"/>
              </xdr:nvSpPr>
              <xdr:spPr>
                <a:xfrm>
                  <a:off x="1391324" y="2808194"/>
                  <a:ext cx="1832832" cy="171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BCE1248C-F068-4B41-A492-06B85DC97068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Receita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318" name="CaixaDeTexto 9317">
                  <a:extLst>
                    <a:ext uri="{FF2B5EF4-FFF2-40B4-BE49-F238E27FC236}">
                      <a16:creationId xmlns:a16="http://schemas.microsoft.com/office/drawing/2014/main" id="{00000000-0008-0000-0000-000066240000}"/>
                    </a:ext>
                  </a:extLst>
                </xdr:cNvPr>
                <xdr:cNvSpPr txBox="1"/>
              </xdr:nvSpPr>
              <xdr:spPr>
                <a:xfrm>
                  <a:off x="442858" y="2550907"/>
                  <a:ext cx="1005839" cy="1716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Desempenho:</a:t>
                  </a:r>
                </a:p>
              </xdr:txBody>
            </xdr:sp>
            <xdr:sp macro="" textlink="Motorzinho!#REF!">
              <xdr:nvSpPr>
                <xdr:cNvPr id="9319" name="CaixaDeTexto 9318">
                  <a:extLst>
                    <a:ext uri="{FF2B5EF4-FFF2-40B4-BE49-F238E27FC236}">
                      <a16:creationId xmlns:a16="http://schemas.microsoft.com/office/drawing/2014/main" id="{00000000-0008-0000-0000-000067240000}"/>
                    </a:ext>
                  </a:extLst>
                </xdr:cNvPr>
                <xdr:cNvSpPr txBox="1"/>
              </xdr:nvSpPr>
              <xdr:spPr>
                <a:xfrm>
                  <a:off x="455408" y="1972236"/>
                  <a:ext cx="556259" cy="2478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0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Setor:</a:t>
                  </a:r>
                </a:p>
              </xdr:txBody>
            </xdr:sp>
            <xdr:sp macro="" textlink="Motorzinho!#REF!">
              <xdr:nvSpPr>
                <xdr:cNvPr id="9320" name="CaixaDeTexto 9319">
                  <a:extLst>
                    <a:ext uri="{FF2B5EF4-FFF2-40B4-BE49-F238E27FC236}">
                      <a16:creationId xmlns:a16="http://schemas.microsoft.com/office/drawing/2014/main" id="{00000000-0008-0000-0000-000068240000}"/>
                    </a:ext>
                  </a:extLst>
                </xdr:cNvPr>
                <xdr:cNvSpPr txBox="1"/>
              </xdr:nvSpPr>
              <xdr:spPr>
                <a:xfrm>
                  <a:off x="414618" y="2824330"/>
                  <a:ext cx="1100419" cy="17884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Melhor indicador:</a:t>
                  </a:r>
                </a:p>
              </xdr:txBody>
            </xdr:sp>
            <xdr:cxnSp macro="">
              <xdr:nvCxnSpPr>
                <xdr:cNvPr id="9321" name="Conector reto 9320">
                  <a:extLst>
                    <a:ext uri="{FF2B5EF4-FFF2-40B4-BE49-F238E27FC236}">
                      <a16:creationId xmlns:a16="http://schemas.microsoft.com/office/drawing/2014/main" id="{00000000-0008-0000-0000-000069240000}"/>
                    </a:ext>
                  </a:extLst>
                </xdr:cNvPr>
                <xdr:cNvCxnSpPr/>
              </xdr:nvCxnSpPr>
              <xdr:spPr>
                <a:xfrm flipV="1">
                  <a:off x="476026" y="1543274"/>
                  <a:ext cx="3611880" cy="30480"/>
                </a:xfrm>
                <a:prstGeom prst="line">
                  <a:avLst/>
                </a:prstGeom>
              </xdr:spPr>
              <xdr:style>
                <a:lnRef idx="2">
                  <a:schemeClr val="accent3"/>
                </a:lnRef>
                <a:fillRef idx="0">
                  <a:schemeClr val="accent3"/>
                </a:fillRef>
                <a:effectRef idx="1">
                  <a:schemeClr val="accent3"/>
                </a:effectRef>
                <a:fontRef idx="minor">
                  <a:schemeClr val="tx1"/>
                </a:fontRef>
              </xdr:style>
            </xdr:cxnSp>
            <xdr:sp macro="" textlink="Motorzinho!#REF!">
              <xdr:nvSpPr>
                <xdr:cNvPr id="9322" name="CaixaDeTexto 9321">
                  <a:extLst>
                    <a:ext uri="{FF2B5EF4-FFF2-40B4-BE49-F238E27FC236}">
                      <a16:creationId xmlns:a16="http://schemas.microsoft.com/office/drawing/2014/main" id="{00000000-0008-0000-0000-00006A240000}"/>
                    </a:ext>
                  </a:extLst>
                </xdr:cNvPr>
                <xdr:cNvSpPr txBox="1"/>
              </xdr:nvSpPr>
              <xdr:spPr>
                <a:xfrm>
                  <a:off x="431204" y="3108062"/>
                  <a:ext cx="1607820" cy="1716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de Cresc: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Q$9">
              <xdr:nvSpPr>
                <xdr:cNvPr id="9323" name="CaixaDeTexto 9322">
                  <a:extLst>
                    <a:ext uri="{FF2B5EF4-FFF2-40B4-BE49-F238E27FC236}">
                      <a16:creationId xmlns:a16="http://schemas.microsoft.com/office/drawing/2014/main" id="{00000000-0008-0000-0000-00006B240000}"/>
                    </a:ext>
                  </a:extLst>
                </xdr:cNvPr>
                <xdr:cNvSpPr txBox="1"/>
              </xdr:nvSpPr>
              <xdr:spPr>
                <a:xfrm>
                  <a:off x="1447800" y="3090133"/>
                  <a:ext cx="1028700" cy="18691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BCCDBFF9-EE52-4DB2-AF67-7214453E9697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91,07%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324" name="CaixaDeTexto 9323">
                  <a:extLst>
                    <a:ext uri="{FF2B5EF4-FFF2-40B4-BE49-F238E27FC236}">
                      <a16:creationId xmlns:a16="http://schemas.microsoft.com/office/drawing/2014/main" id="{00000000-0008-0000-0000-00006C240000}"/>
                    </a:ext>
                  </a:extLst>
                </xdr:cNvPr>
                <xdr:cNvSpPr txBox="1"/>
              </xdr:nvSpPr>
              <xdr:spPr>
                <a:xfrm>
                  <a:off x="458097" y="2268518"/>
                  <a:ext cx="97536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Data Balanço:</a:t>
                  </a:r>
                </a:p>
              </xdr:txBody>
            </xdr:sp>
            <xdr:sp macro="" textlink="Motorzinho!#REF!">
              <xdr:nvSpPr>
                <xdr:cNvPr id="9325" name="CaixaDeTexto 9324">
                  <a:extLst>
                    <a:ext uri="{FF2B5EF4-FFF2-40B4-BE49-F238E27FC236}">
                      <a16:creationId xmlns:a16="http://schemas.microsoft.com/office/drawing/2014/main" id="{00000000-0008-0000-0000-00006D240000}"/>
                    </a:ext>
                  </a:extLst>
                </xdr:cNvPr>
                <xdr:cNvSpPr txBox="1"/>
              </xdr:nvSpPr>
              <xdr:spPr>
                <a:xfrm>
                  <a:off x="2470224" y="3134510"/>
                  <a:ext cx="167640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ROE: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P$9">
              <xdr:nvSpPr>
                <xdr:cNvPr id="9326" name="CaixaDeTexto 9325">
                  <a:extLst>
                    <a:ext uri="{FF2B5EF4-FFF2-40B4-BE49-F238E27FC236}">
                      <a16:creationId xmlns:a16="http://schemas.microsoft.com/office/drawing/2014/main" id="{00000000-0008-0000-0000-00006E240000}"/>
                    </a:ext>
                  </a:extLst>
                </xdr:cNvPr>
                <xdr:cNvSpPr txBox="1"/>
              </xdr:nvSpPr>
              <xdr:spPr>
                <a:xfrm>
                  <a:off x="3261360" y="3110305"/>
                  <a:ext cx="925160" cy="18870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8DCC7F3C-B2E5-4CFB-BD1E-25115E74F4AA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-4,16%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</xdr:grpSp>
          <xdr:sp macro="" textlink="Motorzinho!#REF!">
            <xdr:nvSpPr>
              <xdr:cNvPr id="9311" name="CaixaDeTexto 9310">
                <a:extLst>
                  <a:ext uri="{FF2B5EF4-FFF2-40B4-BE49-F238E27FC236}">
                    <a16:creationId xmlns:a16="http://schemas.microsoft.com/office/drawing/2014/main" id="{00000000-0008-0000-0000-00005F240000}"/>
                  </a:ext>
                </a:extLst>
              </xdr:cNvPr>
              <xdr:cNvSpPr txBox="1"/>
            </xdr:nvSpPr>
            <xdr:spPr>
              <a:xfrm>
                <a:off x="627529" y="1667436"/>
                <a:ext cx="717177" cy="2330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10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Empresa:</a:t>
                </a:r>
              </a:p>
            </xdr:txBody>
          </xdr:sp>
        </xdr:grpSp>
        <xdr:sp macro="" textlink="Motorzinho!$E$9">
          <xdr:nvSpPr>
            <xdr:cNvPr id="9307" name="CaixaDeTexto 9306">
              <a:extLst>
                <a:ext uri="{FF2B5EF4-FFF2-40B4-BE49-F238E27FC236}">
                  <a16:creationId xmlns:a16="http://schemas.microsoft.com/office/drawing/2014/main" id="{00000000-0008-0000-0000-00005B240000}"/>
                </a:ext>
              </a:extLst>
            </xdr:cNvPr>
            <xdr:cNvSpPr txBox="1"/>
          </xdr:nvSpPr>
          <xdr:spPr>
            <a:xfrm>
              <a:off x="1111623" y="2017060"/>
              <a:ext cx="2026024" cy="23308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DF13AF9-2A6C-474D-A3E9-0477F4D34626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Emp. Adm. Part. - Alimentos</a:t>
              </a:fld>
              <a:endParaRPr lang="pt-BR" sz="32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$T$9">
          <xdr:nvSpPr>
            <xdr:cNvPr id="9308" name="CaixaDeTexto 9307">
              <a:extLst>
                <a:ext uri="{FF2B5EF4-FFF2-40B4-BE49-F238E27FC236}">
                  <a16:creationId xmlns:a16="http://schemas.microsoft.com/office/drawing/2014/main" id="{00000000-0008-0000-0000-00005C240000}"/>
                </a:ext>
              </a:extLst>
            </xdr:cNvPr>
            <xdr:cNvSpPr txBox="1"/>
          </xdr:nvSpPr>
          <xdr:spPr>
            <a:xfrm>
              <a:off x="2303930" y="3433482"/>
              <a:ext cx="1005839" cy="1716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ECB15CCE-7F27-4668-BD48-E089F3FE05C8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Aumentar</a:t>
              </a:fld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#REF!">
          <xdr:nvSpPr>
            <xdr:cNvPr id="9309" name="CaixaDeTexto 9308">
              <a:extLst>
                <a:ext uri="{FF2B5EF4-FFF2-40B4-BE49-F238E27FC236}">
                  <a16:creationId xmlns:a16="http://schemas.microsoft.com/office/drawing/2014/main" id="{00000000-0008-0000-0000-00005D240000}"/>
                </a:ext>
              </a:extLst>
            </xdr:cNvPr>
            <xdr:cNvSpPr txBox="1"/>
          </xdr:nvSpPr>
          <xdr:spPr>
            <a:xfrm>
              <a:off x="600636" y="3406589"/>
              <a:ext cx="1787115" cy="2420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 b="1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Tendência Gastos trabalhistas:</a:t>
              </a:r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</xdr:grpSp>
      <xdr:grpSp>
        <xdr:nvGrpSpPr>
          <xdr:cNvPr id="9262" name="Agrupar 9261">
            <a:extLst>
              <a:ext uri="{FF2B5EF4-FFF2-40B4-BE49-F238E27FC236}">
                <a16:creationId xmlns:a16="http://schemas.microsoft.com/office/drawing/2014/main" id="{00000000-0008-0000-0000-00002E240000}"/>
              </a:ext>
            </a:extLst>
          </xdr:cNvPr>
          <xdr:cNvGrpSpPr/>
        </xdr:nvGrpSpPr>
        <xdr:grpSpPr>
          <a:xfrm>
            <a:off x="4831975" y="1147482"/>
            <a:ext cx="3827928" cy="2716305"/>
            <a:chOff x="564776" y="1165411"/>
            <a:chExt cx="3827928" cy="2716305"/>
          </a:xfrm>
        </xdr:grpSpPr>
        <xdr:grpSp>
          <xdr:nvGrpSpPr>
            <xdr:cNvPr id="9285" name="Agrupar 9284">
              <a:extLst>
                <a:ext uri="{FF2B5EF4-FFF2-40B4-BE49-F238E27FC236}">
                  <a16:creationId xmlns:a16="http://schemas.microsoft.com/office/drawing/2014/main" id="{00000000-0008-0000-0000-000045240000}"/>
                </a:ext>
              </a:extLst>
            </xdr:cNvPr>
            <xdr:cNvGrpSpPr/>
          </xdr:nvGrpSpPr>
          <xdr:grpSpPr>
            <a:xfrm>
              <a:off x="564776" y="1165411"/>
              <a:ext cx="3827928" cy="2716305"/>
              <a:chOff x="528917" y="1093694"/>
              <a:chExt cx="3827928" cy="2716305"/>
            </a:xfrm>
          </xdr:grpSpPr>
          <xdr:grpSp>
            <xdr:nvGrpSpPr>
              <xdr:cNvPr id="9289" name="Agrupar 1">
                <a:extLst>
                  <a:ext uri="{FF2B5EF4-FFF2-40B4-BE49-F238E27FC236}">
                    <a16:creationId xmlns:a16="http://schemas.microsoft.com/office/drawing/2014/main" id="{00000000-0008-0000-0000-000049240000}"/>
                  </a:ext>
                </a:extLst>
              </xdr:cNvPr>
              <xdr:cNvGrpSpPr/>
            </xdr:nvGrpSpPr>
            <xdr:grpSpPr>
              <a:xfrm>
                <a:off x="528917" y="1093694"/>
                <a:ext cx="3827928" cy="2716305"/>
                <a:chOff x="367555" y="1111624"/>
                <a:chExt cx="3827928" cy="2716305"/>
              </a:xfrm>
            </xdr:grpSpPr>
            <xdr:sp macro="" textlink="">
              <xdr:nvSpPr>
                <xdr:cNvPr id="9291" name="Retângulo: Cantos Arredondados 9290">
                  <a:extLst>
                    <a:ext uri="{FF2B5EF4-FFF2-40B4-BE49-F238E27FC236}">
                      <a16:creationId xmlns:a16="http://schemas.microsoft.com/office/drawing/2014/main" id="{00000000-0008-0000-0000-00004B240000}"/>
                    </a:ext>
                  </a:extLst>
                </xdr:cNvPr>
                <xdr:cNvSpPr/>
              </xdr:nvSpPr>
              <xdr:spPr>
                <a:xfrm>
                  <a:off x="367555" y="1111624"/>
                  <a:ext cx="3827928" cy="2716305"/>
                </a:xfrm>
                <a:prstGeom prst="roundRect">
                  <a:avLst/>
                </a:prstGeom>
                <a:gradFill flip="none" rotWithShape="1">
                  <a:gsLst>
                    <a:gs pos="57000">
                      <a:srgbClr val="3E013D"/>
                    </a:gs>
                    <a:gs pos="7000">
                      <a:srgbClr val="5A106F"/>
                    </a:gs>
                  </a:gsLst>
                  <a:lin ang="16200000" scaled="1"/>
                  <a:tileRect/>
                </a:gra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Motorzinho!$C$10">
              <xdr:nvSpPr>
                <xdr:cNvPr id="9292" name="CaixaDeTexto 9291">
                  <a:extLst>
                    <a:ext uri="{FF2B5EF4-FFF2-40B4-BE49-F238E27FC236}">
                      <a16:creationId xmlns:a16="http://schemas.microsoft.com/office/drawing/2014/main" id="{00000000-0008-0000-0000-00004C240000}"/>
                    </a:ext>
                  </a:extLst>
                </xdr:cNvPr>
                <xdr:cNvSpPr txBox="1"/>
              </xdr:nvSpPr>
              <xdr:spPr>
                <a:xfrm>
                  <a:off x="1623061" y="1141208"/>
                  <a:ext cx="1275677" cy="3792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3EC2F6F3-1935-408D-8897-42B4B4E87189}" type="TxLink">
                    <a:rPr lang="en-US" sz="28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ctr"/>
                    <a:t>ALSO</a:t>
                  </a:fld>
                  <a:endParaRPr lang="pt-BR" sz="16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D$10">
              <xdr:nvSpPr>
                <xdr:cNvPr id="9293" name="CaixaDeTexto 9292">
                  <a:extLst>
                    <a:ext uri="{FF2B5EF4-FFF2-40B4-BE49-F238E27FC236}">
                      <a16:creationId xmlns:a16="http://schemas.microsoft.com/office/drawing/2014/main" id="{00000000-0008-0000-0000-00004D240000}"/>
                    </a:ext>
                  </a:extLst>
                </xdr:cNvPr>
                <xdr:cNvSpPr txBox="1"/>
              </xdr:nvSpPr>
              <xdr:spPr>
                <a:xfrm>
                  <a:off x="1122829" y="1656228"/>
                  <a:ext cx="1852409" cy="21335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6ECB2E5A-FC28-424B-AF6D-FD4767005643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ALIANSCE SONAE SHOPPING CENTERS S.A.</a:t>
                  </a:fld>
                  <a:endParaRPr lang="pt-BR" sz="32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F$10">
              <xdr:nvSpPr>
                <xdr:cNvPr id="9294" name="CaixaDeTexto 9293">
                  <a:extLst>
                    <a:ext uri="{FF2B5EF4-FFF2-40B4-BE49-F238E27FC236}">
                      <a16:creationId xmlns:a16="http://schemas.microsoft.com/office/drawing/2014/main" id="{00000000-0008-0000-0000-00004E240000}"/>
                    </a:ext>
                  </a:extLst>
                </xdr:cNvPr>
                <xdr:cNvSpPr txBox="1"/>
              </xdr:nvSpPr>
              <xdr:spPr>
                <a:xfrm>
                  <a:off x="1275678" y="2251934"/>
                  <a:ext cx="1057835" cy="16405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59F19DCF-C1B3-47F3-ADFD-7CBEF00F677A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Set-2022</a:t>
                  </a:fld>
                  <a:endParaRPr lang="en-US" sz="1100" b="1" i="0" u="none" strike="noStrike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Calibri"/>
                  </a:endParaRPr>
                </a:p>
              </xdr:txBody>
            </xdr:sp>
            <xdr:sp macro="" textlink="Motorzinho!$I$10">
              <xdr:nvSpPr>
                <xdr:cNvPr id="9295" name="CaixaDeTexto 9294">
                  <a:extLst>
                    <a:ext uri="{FF2B5EF4-FFF2-40B4-BE49-F238E27FC236}">
                      <a16:creationId xmlns:a16="http://schemas.microsoft.com/office/drawing/2014/main" id="{00000000-0008-0000-0000-00004F240000}"/>
                    </a:ext>
                  </a:extLst>
                </xdr:cNvPr>
                <xdr:cNvSpPr txBox="1"/>
              </xdr:nvSpPr>
              <xdr:spPr>
                <a:xfrm>
                  <a:off x="1239818" y="2535666"/>
                  <a:ext cx="1019287" cy="1716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131F0021-DB34-4DCA-B22A-4A0615C8DFFB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Ruim</a:t>
                  </a:fld>
                  <a:endParaRPr lang="en-US" sz="1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H$10">
              <xdr:nvSpPr>
                <xdr:cNvPr id="9296" name="CaixaDeTexto 9295">
                  <a:extLst>
                    <a:ext uri="{FF2B5EF4-FFF2-40B4-BE49-F238E27FC236}">
                      <a16:creationId xmlns:a16="http://schemas.microsoft.com/office/drawing/2014/main" id="{00000000-0008-0000-0000-000050240000}"/>
                    </a:ext>
                  </a:extLst>
                </xdr:cNvPr>
                <xdr:cNvSpPr txBox="1"/>
              </xdr:nvSpPr>
              <xdr:spPr>
                <a:xfrm>
                  <a:off x="1391324" y="2808194"/>
                  <a:ext cx="1832832" cy="171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1D63B25F-7BB4-4BC4-92DE-55B0AFFE9B97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Receita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297" name="CaixaDeTexto 9296">
                  <a:extLst>
                    <a:ext uri="{FF2B5EF4-FFF2-40B4-BE49-F238E27FC236}">
                      <a16:creationId xmlns:a16="http://schemas.microsoft.com/office/drawing/2014/main" id="{00000000-0008-0000-0000-000051240000}"/>
                    </a:ext>
                  </a:extLst>
                </xdr:cNvPr>
                <xdr:cNvSpPr txBox="1"/>
              </xdr:nvSpPr>
              <xdr:spPr>
                <a:xfrm>
                  <a:off x="442858" y="2550907"/>
                  <a:ext cx="1005839" cy="1716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Desempenho:</a:t>
                  </a:r>
                </a:p>
              </xdr:txBody>
            </xdr:sp>
            <xdr:sp macro="" textlink="Motorzinho!#REF!">
              <xdr:nvSpPr>
                <xdr:cNvPr id="9298" name="CaixaDeTexto 9297">
                  <a:extLst>
                    <a:ext uri="{FF2B5EF4-FFF2-40B4-BE49-F238E27FC236}">
                      <a16:creationId xmlns:a16="http://schemas.microsoft.com/office/drawing/2014/main" id="{00000000-0008-0000-0000-000052240000}"/>
                    </a:ext>
                  </a:extLst>
                </xdr:cNvPr>
                <xdr:cNvSpPr txBox="1"/>
              </xdr:nvSpPr>
              <xdr:spPr>
                <a:xfrm>
                  <a:off x="455408" y="1972236"/>
                  <a:ext cx="556259" cy="2478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0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Setor:</a:t>
                  </a:r>
                </a:p>
              </xdr:txBody>
            </xdr:sp>
            <xdr:sp macro="" textlink="Motorzinho!#REF!">
              <xdr:nvSpPr>
                <xdr:cNvPr id="9299" name="CaixaDeTexto 9298">
                  <a:extLst>
                    <a:ext uri="{FF2B5EF4-FFF2-40B4-BE49-F238E27FC236}">
                      <a16:creationId xmlns:a16="http://schemas.microsoft.com/office/drawing/2014/main" id="{00000000-0008-0000-0000-000053240000}"/>
                    </a:ext>
                  </a:extLst>
                </xdr:cNvPr>
                <xdr:cNvSpPr txBox="1"/>
              </xdr:nvSpPr>
              <xdr:spPr>
                <a:xfrm>
                  <a:off x="414618" y="2824330"/>
                  <a:ext cx="1100419" cy="17884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Melhor indicador:</a:t>
                  </a:r>
                </a:p>
              </xdr:txBody>
            </xdr:sp>
            <xdr:cxnSp macro="">
              <xdr:nvCxnSpPr>
                <xdr:cNvPr id="9300" name="Conector reto 9299">
                  <a:extLst>
                    <a:ext uri="{FF2B5EF4-FFF2-40B4-BE49-F238E27FC236}">
                      <a16:creationId xmlns:a16="http://schemas.microsoft.com/office/drawing/2014/main" id="{00000000-0008-0000-0000-000054240000}"/>
                    </a:ext>
                  </a:extLst>
                </xdr:cNvPr>
                <xdr:cNvCxnSpPr/>
              </xdr:nvCxnSpPr>
              <xdr:spPr>
                <a:xfrm flipV="1">
                  <a:off x="476026" y="1543274"/>
                  <a:ext cx="3611880" cy="30480"/>
                </a:xfrm>
                <a:prstGeom prst="line">
                  <a:avLst/>
                </a:prstGeom>
              </xdr:spPr>
              <xdr:style>
                <a:lnRef idx="2">
                  <a:schemeClr val="accent3"/>
                </a:lnRef>
                <a:fillRef idx="0">
                  <a:schemeClr val="accent3"/>
                </a:fillRef>
                <a:effectRef idx="1">
                  <a:schemeClr val="accent3"/>
                </a:effectRef>
                <a:fontRef idx="minor">
                  <a:schemeClr val="tx1"/>
                </a:fontRef>
              </xdr:style>
            </xdr:cxnSp>
            <xdr:sp macro="" textlink="Motorzinho!#REF!">
              <xdr:nvSpPr>
                <xdr:cNvPr id="9301" name="CaixaDeTexto 9300">
                  <a:extLst>
                    <a:ext uri="{FF2B5EF4-FFF2-40B4-BE49-F238E27FC236}">
                      <a16:creationId xmlns:a16="http://schemas.microsoft.com/office/drawing/2014/main" id="{00000000-0008-0000-0000-000055240000}"/>
                    </a:ext>
                  </a:extLst>
                </xdr:cNvPr>
                <xdr:cNvSpPr txBox="1"/>
              </xdr:nvSpPr>
              <xdr:spPr>
                <a:xfrm>
                  <a:off x="431204" y="3108062"/>
                  <a:ext cx="1607820" cy="1716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de Cresc: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Q$10">
              <xdr:nvSpPr>
                <xdr:cNvPr id="9302" name="CaixaDeTexto 9301">
                  <a:extLst>
                    <a:ext uri="{FF2B5EF4-FFF2-40B4-BE49-F238E27FC236}">
                      <a16:creationId xmlns:a16="http://schemas.microsoft.com/office/drawing/2014/main" id="{00000000-0008-0000-0000-000056240000}"/>
                    </a:ext>
                  </a:extLst>
                </xdr:cNvPr>
                <xdr:cNvSpPr txBox="1"/>
              </xdr:nvSpPr>
              <xdr:spPr>
                <a:xfrm>
                  <a:off x="1447800" y="3090133"/>
                  <a:ext cx="1028700" cy="18691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C51B939D-AB0A-4B93-B77D-C46BD65A4652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25,60%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303" name="CaixaDeTexto 9302">
                  <a:extLst>
                    <a:ext uri="{FF2B5EF4-FFF2-40B4-BE49-F238E27FC236}">
                      <a16:creationId xmlns:a16="http://schemas.microsoft.com/office/drawing/2014/main" id="{00000000-0008-0000-0000-000057240000}"/>
                    </a:ext>
                  </a:extLst>
                </xdr:cNvPr>
                <xdr:cNvSpPr txBox="1"/>
              </xdr:nvSpPr>
              <xdr:spPr>
                <a:xfrm>
                  <a:off x="458097" y="2268518"/>
                  <a:ext cx="97536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Data Balanço:</a:t>
                  </a:r>
                </a:p>
              </xdr:txBody>
            </xdr:sp>
            <xdr:sp macro="" textlink="Motorzinho!#REF!">
              <xdr:nvSpPr>
                <xdr:cNvPr id="9304" name="CaixaDeTexto 9303">
                  <a:extLst>
                    <a:ext uri="{FF2B5EF4-FFF2-40B4-BE49-F238E27FC236}">
                      <a16:creationId xmlns:a16="http://schemas.microsoft.com/office/drawing/2014/main" id="{00000000-0008-0000-0000-000058240000}"/>
                    </a:ext>
                  </a:extLst>
                </xdr:cNvPr>
                <xdr:cNvSpPr txBox="1"/>
              </xdr:nvSpPr>
              <xdr:spPr>
                <a:xfrm>
                  <a:off x="2470224" y="3134510"/>
                  <a:ext cx="167640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ROE: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P$10">
              <xdr:nvSpPr>
                <xdr:cNvPr id="9305" name="CaixaDeTexto 9304">
                  <a:extLst>
                    <a:ext uri="{FF2B5EF4-FFF2-40B4-BE49-F238E27FC236}">
                      <a16:creationId xmlns:a16="http://schemas.microsoft.com/office/drawing/2014/main" id="{00000000-0008-0000-0000-000059240000}"/>
                    </a:ext>
                  </a:extLst>
                </xdr:cNvPr>
                <xdr:cNvSpPr txBox="1"/>
              </xdr:nvSpPr>
              <xdr:spPr>
                <a:xfrm>
                  <a:off x="3261360" y="3110305"/>
                  <a:ext cx="925160" cy="18870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66649368-222B-4CA4-88D2-61142BCCA9F5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1,15%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</xdr:grpSp>
          <xdr:sp macro="" textlink="Motorzinho!#REF!">
            <xdr:nvSpPr>
              <xdr:cNvPr id="9290" name="CaixaDeTexto 9289">
                <a:extLst>
                  <a:ext uri="{FF2B5EF4-FFF2-40B4-BE49-F238E27FC236}">
                    <a16:creationId xmlns:a16="http://schemas.microsoft.com/office/drawing/2014/main" id="{00000000-0008-0000-0000-00004A240000}"/>
                  </a:ext>
                </a:extLst>
              </xdr:cNvPr>
              <xdr:cNvSpPr txBox="1"/>
            </xdr:nvSpPr>
            <xdr:spPr>
              <a:xfrm>
                <a:off x="627529" y="1667436"/>
                <a:ext cx="717177" cy="2330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10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Empresa:</a:t>
                </a:r>
              </a:p>
            </xdr:txBody>
          </xdr:sp>
        </xdr:grpSp>
        <xdr:sp macro="" textlink="Motorzinho!$E$10">
          <xdr:nvSpPr>
            <xdr:cNvPr id="9286" name="CaixaDeTexto 9285">
              <a:extLst>
                <a:ext uri="{FF2B5EF4-FFF2-40B4-BE49-F238E27FC236}">
                  <a16:creationId xmlns:a16="http://schemas.microsoft.com/office/drawing/2014/main" id="{00000000-0008-0000-0000-000046240000}"/>
                </a:ext>
              </a:extLst>
            </xdr:cNvPr>
            <xdr:cNvSpPr txBox="1"/>
          </xdr:nvSpPr>
          <xdr:spPr>
            <a:xfrm>
              <a:off x="1111623" y="2017060"/>
              <a:ext cx="2017060" cy="2330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9263C847-D0C0-4EF3-8302-BA8ED5937959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Emp. Adm. Part. - Comércio (Atacado e Varejo)</a:t>
              </a:fld>
              <a:endParaRPr lang="pt-BR" sz="32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$T$10">
          <xdr:nvSpPr>
            <xdr:cNvPr id="9287" name="CaixaDeTexto 9286">
              <a:extLst>
                <a:ext uri="{FF2B5EF4-FFF2-40B4-BE49-F238E27FC236}">
                  <a16:creationId xmlns:a16="http://schemas.microsoft.com/office/drawing/2014/main" id="{00000000-0008-0000-0000-000047240000}"/>
                </a:ext>
              </a:extLst>
            </xdr:cNvPr>
            <xdr:cNvSpPr txBox="1"/>
          </xdr:nvSpPr>
          <xdr:spPr>
            <a:xfrm>
              <a:off x="2303930" y="3433482"/>
              <a:ext cx="1005839" cy="1716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0239D1B1-08F6-480F-B400-BBDA78AC2E6A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Sem dados</a:t>
              </a:fld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#REF!">
          <xdr:nvSpPr>
            <xdr:cNvPr id="9288" name="CaixaDeTexto 9287">
              <a:extLst>
                <a:ext uri="{FF2B5EF4-FFF2-40B4-BE49-F238E27FC236}">
                  <a16:creationId xmlns:a16="http://schemas.microsoft.com/office/drawing/2014/main" id="{00000000-0008-0000-0000-000048240000}"/>
                </a:ext>
              </a:extLst>
            </xdr:cNvPr>
            <xdr:cNvSpPr txBox="1"/>
          </xdr:nvSpPr>
          <xdr:spPr>
            <a:xfrm>
              <a:off x="600636" y="3406589"/>
              <a:ext cx="1787115" cy="2420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 b="1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Tendência Gastos trabalhistas:</a:t>
              </a:r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</xdr:grpSp>
      <xdr:grpSp>
        <xdr:nvGrpSpPr>
          <xdr:cNvPr id="9263" name="Agrupar 9262">
            <a:extLst>
              <a:ext uri="{FF2B5EF4-FFF2-40B4-BE49-F238E27FC236}">
                <a16:creationId xmlns:a16="http://schemas.microsoft.com/office/drawing/2014/main" id="{00000000-0008-0000-0000-00002F240000}"/>
              </a:ext>
            </a:extLst>
          </xdr:cNvPr>
          <xdr:cNvGrpSpPr/>
        </xdr:nvGrpSpPr>
        <xdr:grpSpPr>
          <a:xfrm>
            <a:off x="9251577" y="1111623"/>
            <a:ext cx="3827928" cy="2716305"/>
            <a:chOff x="564776" y="1165411"/>
            <a:chExt cx="3827928" cy="2716305"/>
          </a:xfrm>
        </xdr:grpSpPr>
        <xdr:grpSp>
          <xdr:nvGrpSpPr>
            <xdr:cNvPr id="9264" name="Agrupar 9263">
              <a:extLst>
                <a:ext uri="{FF2B5EF4-FFF2-40B4-BE49-F238E27FC236}">
                  <a16:creationId xmlns:a16="http://schemas.microsoft.com/office/drawing/2014/main" id="{00000000-0008-0000-0000-000030240000}"/>
                </a:ext>
              </a:extLst>
            </xdr:cNvPr>
            <xdr:cNvGrpSpPr/>
          </xdr:nvGrpSpPr>
          <xdr:grpSpPr>
            <a:xfrm>
              <a:off x="564776" y="1165411"/>
              <a:ext cx="3827928" cy="2716305"/>
              <a:chOff x="528917" y="1093694"/>
              <a:chExt cx="3827928" cy="2716305"/>
            </a:xfrm>
          </xdr:grpSpPr>
          <xdr:grpSp>
            <xdr:nvGrpSpPr>
              <xdr:cNvPr id="9268" name="Agrupar 1">
                <a:extLst>
                  <a:ext uri="{FF2B5EF4-FFF2-40B4-BE49-F238E27FC236}">
                    <a16:creationId xmlns:a16="http://schemas.microsoft.com/office/drawing/2014/main" id="{00000000-0008-0000-0000-000034240000}"/>
                  </a:ext>
                </a:extLst>
              </xdr:cNvPr>
              <xdr:cNvGrpSpPr/>
            </xdr:nvGrpSpPr>
            <xdr:grpSpPr>
              <a:xfrm>
                <a:off x="528917" y="1093694"/>
                <a:ext cx="3827928" cy="2716305"/>
                <a:chOff x="367555" y="1111624"/>
                <a:chExt cx="3827928" cy="2716305"/>
              </a:xfrm>
            </xdr:grpSpPr>
            <xdr:sp macro="" textlink="">
              <xdr:nvSpPr>
                <xdr:cNvPr id="9270" name="Retângulo: Cantos Arredondados 9269">
                  <a:extLst>
                    <a:ext uri="{FF2B5EF4-FFF2-40B4-BE49-F238E27FC236}">
                      <a16:creationId xmlns:a16="http://schemas.microsoft.com/office/drawing/2014/main" id="{00000000-0008-0000-0000-000036240000}"/>
                    </a:ext>
                  </a:extLst>
                </xdr:cNvPr>
                <xdr:cNvSpPr/>
              </xdr:nvSpPr>
              <xdr:spPr>
                <a:xfrm>
                  <a:off x="367555" y="1111624"/>
                  <a:ext cx="3827928" cy="2716305"/>
                </a:xfrm>
                <a:prstGeom prst="roundRect">
                  <a:avLst/>
                </a:prstGeom>
                <a:gradFill flip="none" rotWithShape="1">
                  <a:gsLst>
                    <a:gs pos="57000">
                      <a:srgbClr val="3E013D"/>
                    </a:gs>
                    <a:gs pos="7000">
                      <a:srgbClr val="5A106F"/>
                    </a:gs>
                  </a:gsLst>
                  <a:lin ang="16200000" scaled="1"/>
                  <a:tileRect/>
                </a:grad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sp macro="" textlink="Motorzinho!$C$11">
              <xdr:nvSpPr>
                <xdr:cNvPr id="9271" name="CaixaDeTexto 9270">
                  <a:extLst>
                    <a:ext uri="{FF2B5EF4-FFF2-40B4-BE49-F238E27FC236}">
                      <a16:creationId xmlns:a16="http://schemas.microsoft.com/office/drawing/2014/main" id="{00000000-0008-0000-0000-000037240000}"/>
                    </a:ext>
                  </a:extLst>
                </xdr:cNvPr>
                <xdr:cNvSpPr txBox="1"/>
              </xdr:nvSpPr>
              <xdr:spPr>
                <a:xfrm>
                  <a:off x="1623061" y="1141208"/>
                  <a:ext cx="1275677" cy="3792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8777895C-E07C-4D5D-BE38-57C457E02639}" type="TxLink">
                    <a:rPr lang="en-US" sz="28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ctr"/>
                    <a:t>CRFB</a:t>
                  </a:fld>
                  <a:endParaRPr lang="pt-BR" sz="16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D$11">
              <xdr:nvSpPr>
                <xdr:cNvPr id="9272" name="CaixaDeTexto 9271">
                  <a:extLst>
                    <a:ext uri="{FF2B5EF4-FFF2-40B4-BE49-F238E27FC236}">
                      <a16:creationId xmlns:a16="http://schemas.microsoft.com/office/drawing/2014/main" id="{00000000-0008-0000-0000-000038240000}"/>
                    </a:ext>
                  </a:extLst>
                </xdr:cNvPr>
                <xdr:cNvSpPr txBox="1"/>
              </xdr:nvSpPr>
              <xdr:spPr>
                <a:xfrm>
                  <a:off x="1122829" y="1656228"/>
                  <a:ext cx="1852409" cy="21335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fld id="{4EC3F351-3E81-409C-8BDD-0D1ED30F1A3A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ATACADÃO S.A.</a:t>
                  </a:fld>
                  <a:endParaRPr lang="pt-BR" sz="32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F$11">
              <xdr:nvSpPr>
                <xdr:cNvPr id="9273" name="CaixaDeTexto 9272">
                  <a:extLst>
                    <a:ext uri="{FF2B5EF4-FFF2-40B4-BE49-F238E27FC236}">
                      <a16:creationId xmlns:a16="http://schemas.microsoft.com/office/drawing/2014/main" id="{00000000-0008-0000-0000-000039240000}"/>
                    </a:ext>
                  </a:extLst>
                </xdr:cNvPr>
                <xdr:cNvSpPr txBox="1"/>
              </xdr:nvSpPr>
              <xdr:spPr>
                <a:xfrm>
                  <a:off x="1275678" y="2251934"/>
                  <a:ext cx="1057835" cy="16405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5CD7BFAD-DB58-47D7-89D6-80129E62F2DB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Set-2022</a:t>
                  </a:fld>
                  <a:endParaRPr lang="en-US" sz="1100" b="1" i="0" u="none" strike="noStrike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Calibri"/>
                  </a:endParaRPr>
                </a:p>
              </xdr:txBody>
            </xdr:sp>
            <xdr:sp macro="" textlink="Motorzinho!$I$11">
              <xdr:nvSpPr>
                <xdr:cNvPr id="9274" name="CaixaDeTexto 9273">
                  <a:extLst>
                    <a:ext uri="{FF2B5EF4-FFF2-40B4-BE49-F238E27FC236}">
                      <a16:creationId xmlns:a16="http://schemas.microsoft.com/office/drawing/2014/main" id="{00000000-0008-0000-0000-00003A240000}"/>
                    </a:ext>
                  </a:extLst>
                </xdr:cNvPr>
                <xdr:cNvSpPr txBox="1"/>
              </xdr:nvSpPr>
              <xdr:spPr>
                <a:xfrm>
                  <a:off x="1239818" y="2535666"/>
                  <a:ext cx="1019287" cy="17167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953964DE-E49F-4E68-9DF3-1778A5A574FA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Bom</a:t>
                  </a:fld>
                  <a:endParaRPr lang="en-US" sz="16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H$11">
              <xdr:nvSpPr>
                <xdr:cNvPr id="9275" name="CaixaDeTexto 9274">
                  <a:extLst>
                    <a:ext uri="{FF2B5EF4-FFF2-40B4-BE49-F238E27FC236}">
                      <a16:creationId xmlns:a16="http://schemas.microsoft.com/office/drawing/2014/main" id="{00000000-0008-0000-0000-00003B240000}"/>
                    </a:ext>
                  </a:extLst>
                </xdr:cNvPr>
                <xdr:cNvSpPr txBox="1"/>
              </xdr:nvSpPr>
              <xdr:spPr>
                <a:xfrm>
                  <a:off x="1391324" y="2808194"/>
                  <a:ext cx="1832832" cy="1712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18488036-A590-4347-92CE-A730EEAC7615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Receita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276" name="CaixaDeTexto 9275">
                  <a:extLst>
                    <a:ext uri="{FF2B5EF4-FFF2-40B4-BE49-F238E27FC236}">
                      <a16:creationId xmlns:a16="http://schemas.microsoft.com/office/drawing/2014/main" id="{00000000-0008-0000-0000-00003C240000}"/>
                    </a:ext>
                  </a:extLst>
                </xdr:cNvPr>
                <xdr:cNvSpPr txBox="1"/>
              </xdr:nvSpPr>
              <xdr:spPr>
                <a:xfrm>
                  <a:off x="442858" y="2550907"/>
                  <a:ext cx="1005839" cy="1716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Desempenho:</a:t>
                  </a:r>
                </a:p>
              </xdr:txBody>
            </xdr:sp>
            <xdr:sp macro="" textlink="Motorzinho!#REF!">
              <xdr:nvSpPr>
                <xdr:cNvPr id="9277" name="CaixaDeTexto 9276">
                  <a:extLst>
                    <a:ext uri="{FF2B5EF4-FFF2-40B4-BE49-F238E27FC236}">
                      <a16:creationId xmlns:a16="http://schemas.microsoft.com/office/drawing/2014/main" id="{00000000-0008-0000-0000-00003D240000}"/>
                    </a:ext>
                  </a:extLst>
                </xdr:cNvPr>
                <xdr:cNvSpPr txBox="1"/>
              </xdr:nvSpPr>
              <xdr:spPr>
                <a:xfrm>
                  <a:off x="455408" y="1972236"/>
                  <a:ext cx="556259" cy="24787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0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Setor:</a:t>
                  </a:r>
                </a:p>
              </xdr:txBody>
            </xdr:sp>
            <xdr:sp macro="" textlink="Motorzinho!#REF!">
              <xdr:nvSpPr>
                <xdr:cNvPr id="9278" name="CaixaDeTexto 9277">
                  <a:extLst>
                    <a:ext uri="{FF2B5EF4-FFF2-40B4-BE49-F238E27FC236}">
                      <a16:creationId xmlns:a16="http://schemas.microsoft.com/office/drawing/2014/main" id="{00000000-0008-0000-0000-00003E240000}"/>
                    </a:ext>
                  </a:extLst>
                </xdr:cNvPr>
                <xdr:cNvSpPr txBox="1"/>
              </xdr:nvSpPr>
              <xdr:spPr>
                <a:xfrm>
                  <a:off x="414618" y="2824330"/>
                  <a:ext cx="1100419" cy="17884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Melhor indicador:</a:t>
                  </a:r>
                </a:p>
              </xdr:txBody>
            </xdr:sp>
            <xdr:cxnSp macro="">
              <xdr:nvCxnSpPr>
                <xdr:cNvPr id="9279" name="Conector reto 9278">
                  <a:extLst>
                    <a:ext uri="{FF2B5EF4-FFF2-40B4-BE49-F238E27FC236}">
                      <a16:creationId xmlns:a16="http://schemas.microsoft.com/office/drawing/2014/main" id="{00000000-0008-0000-0000-00003F240000}"/>
                    </a:ext>
                  </a:extLst>
                </xdr:cNvPr>
                <xdr:cNvCxnSpPr/>
              </xdr:nvCxnSpPr>
              <xdr:spPr>
                <a:xfrm flipV="1">
                  <a:off x="476026" y="1543274"/>
                  <a:ext cx="3611880" cy="30480"/>
                </a:xfrm>
                <a:prstGeom prst="line">
                  <a:avLst/>
                </a:prstGeom>
              </xdr:spPr>
              <xdr:style>
                <a:lnRef idx="2">
                  <a:schemeClr val="accent3"/>
                </a:lnRef>
                <a:fillRef idx="0">
                  <a:schemeClr val="accent3"/>
                </a:fillRef>
                <a:effectRef idx="1">
                  <a:schemeClr val="accent3"/>
                </a:effectRef>
                <a:fontRef idx="minor">
                  <a:schemeClr val="tx1"/>
                </a:fontRef>
              </xdr:style>
            </xdr:cxnSp>
            <xdr:sp macro="" textlink="Motorzinho!#REF!">
              <xdr:nvSpPr>
                <xdr:cNvPr id="9280" name="CaixaDeTexto 9279">
                  <a:extLst>
                    <a:ext uri="{FF2B5EF4-FFF2-40B4-BE49-F238E27FC236}">
                      <a16:creationId xmlns:a16="http://schemas.microsoft.com/office/drawing/2014/main" id="{00000000-0008-0000-0000-000040240000}"/>
                    </a:ext>
                  </a:extLst>
                </xdr:cNvPr>
                <xdr:cNvSpPr txBox="1"/>
              </xdr:nvSpPr>
              <xdr:spPr>
                <a:xfrm>
                  <a:off x="431204" y="3108062"/>
                  <a:ext cx="1607820" cy="17167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de Cresc: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Q$11">
              <xdr:nvSpPr>
                <xdr:cNvPr id="9281" name="CaixaDeTexto 9280">
                  <a:extLst>
                    <a:ext uri="{FF2B5EF4-FFF2-40B4-BE49-F238E27FC236}">
                      <a16:creationId xmlns:a16="http://schemas.microsoft.com/office/drawing/2014/main" id="{00000000-0008-0000-0000-000041240000}"/>
                    </a:ext>
                  </a:extLst>
                </xdr:cNvPr>
                <xdr:cNvSpPr txBox="1"/>
              </xdr:nvSpPr>
              <xdr:spPr>
                <a:xfrm>
                  <a:off x="1447800" y="3090133"/>
                  <a:ext cx="1028700" cy="18691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B18098C3-C730-4031-82F8-15BE4D073CBB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33,47%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#REF!">
              <xdr:nvSpPr>
                <xdr:cNvPr id="9282" name="CaixaDeTexto 9281">
                  <a:extLst>
                    <a:ext uri="{FF2B5EF4-FFF2-40B4-BE49-F238E27FC236}">
                      <a16:creationId xmlns:a16="http://schemas.microsoft.com/office/drawing/2014/main" id="{00000000-0008-0000-0000-000042240000}"/>
                    </a:ext>
                  </a:extLst>
                </xdr:cNvPr>
                <xdr:cNvSpPr txBox="1"/>
              </xdr:nvSpPr>
              <xdr:spPr>
                <a:xfrm>
                  <a:off x="458097" y="2268518"/>
                  <a:ext cx="97536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Data Balanço:</a:t>
                  </a:r>
                </a:p>
              </xdr:txBody>
            </xdr:sp>
            <xdr:sp macro="" textlink="Motorzinho!#REF!">
              <xdr:nvSpPr>
                <xdr:cNvPr id="9283" name="CaixaDeTexto 9282">
                  <a:extLst>
                    <a:ext uri="{FF2B5EF4-FFF2-40B4-BE49-F238E27FC236}">
                      <a16:creationId xmlns:a16="http://schemas.microsoft.com/office/drawing/2014/main" id="{00000000-0008-0000-0000-000043240000}"/>
                    </a:ext>
                  </a:extLst>
                </xdr:cNvPr>
                <xdr:cNvSpPr txBox="1"/>
              </xdr:nvSpPr>
              <xdr:spPr>
                <a:xfrm>
                  <a:off x="2470224" y="3134510"/>
                  <a:ext cx="1676400" cy="1640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900" b="1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Previsão</a:t>
                  </a:r>
                  <a:r>
                    <a:rPr lang="pt-BR" sz="900" b="1" baseline="0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</a:rPr>
                    <a:t> ROE:</a:t>
                  </a:r>
                  <a:endParaRPr lang="pt-BR" sz="9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  <xdr:sp macro="" textlink="Motorzinho!$P$11">
              <xdr:nvSpPr>
                <xdr:cNvPr id="9284" name="CaixaDeTexto 9283">
                  <a:extLst>
                    <a:ext uri="{FF2B5EF4-FFF2-40B4-BE49-F238E27FC236}">
                      <a16:creationId xmlns:a16="http://schemas.microsoft.com/office/drawing/2014/main" id="{00000000-0008-0000-0000-000044240000}"/>
                    </a:ext>
                  </a:extLst>
                </xdr:cNvPr>
                <xdr:cNvSpPr txBox="1"/>
              </xdr:nvSpPr>
              <xdr:spPr>
                <a:xfrm>
                  <a:off x="3261360" y="3110305"/>
                  <a:ext cx="925160" cy="18870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66168C35-6A99-45DE-B0DF-1B75F641FD39}" type="TxLink">
                    <a:rPr lang="en-US" sz="1100" b="1" i="0" u="none" strike="noStrike">
                      <a:solidFill>
                        <a:schemeClr val="bg1"/>
                      </a:solidFill>
                      <a:latin typeface="Roboto" panose="02000000000000000000" pitchFamily="2" charset="0"/>
                      <a:ea typeface="Roboto" panose="02000000000000000000" pitchFamily="2" charset="0"/>
                      <a:cs typeface="Calibri"/>
                    </a:rPr>
                    <a:pPr algn="l"/>
                    <a:t>-1,83%</a:t>
                  </a:fld>
                  <a:endParaRPr lang="pt-BR" sz="24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endParaRPr>
                </a:p>
              </xdr:txBody>
            </xdr:sp>
          </xdr:grpSp>
          <xdr:sp macro="" textlink="Motorzinho!#REF!">
            <xdr:nvSpPr>
              <xdr:cNvPr id="9269" name="CaixaDeTexto 9268">
                <a:extLst>
                  <a:ext uri="{FF2B5EF4-FFF2-40B4-BE49-F238E27FC236}">
                    <a16:creationId xmlns:a16="http://schemas.microsoft.com/office/drawing/2014/main" id="{00000000-0008-0000-0000-000035240000}"/>
                  </a:ext>
                </a:extLst>
              </xdr:cNvPr>
              <xdr:cNvSpPr txBox="1"/>
            </xdr:nvSpPr>
            <xdr:spPr>
              <a:xfrm>
                <a:off x="627529" y="1667436"/>
                <a:ext cx="717177" cy="2330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pt-BR" sz="1000" b="1">
                    <a:solidFill>
                      <a:schemeClr val="bg1"/>
                    </a:solidFill>
                    <a:latin typeface="Roboto" panose="02000000000000000000" pitchFamily="2" charset="0"/>
                    <a:ea typeface="Roboto" panose="02000000000000000000" pitchFamily="2" charset="0"/>
                  </a:rPr>
                  <a:t>Empresa:</a:t>
                </a:r>
              </a:p>
            </xdr:txBody>
          </xdr:sp>
        </xdr:grpSp>
        <xdr:sp macro="" textlink="Motorzinho!$E$11">
          <xdr:nvSpPr>
            <xdr:cNvPr id="9265" name="CaixaDeTexto 9264">
              <a:extLst>
                <a:ext uri="{FF2B5EF4-FFF2-40B4-BE49-F238E27FC236}">
                  <a16:creationId xmlns:a16="http://schemas.microsoft.com/office/drawing/2014/main" id="{00000000-0008-0000-0000-000031240000}"/>
                </a:ext>
              </a:extLst>
            </xdr:cNvPr>
            <xdr:cNvSpPr txBox="1"/>
          </xdr:nvSpPr>
          <xdr:spPr>
            <a:xfrm>
              <a:off x="1111623" y="2017060"/>
              <a:ext cx="2097741" cy="22411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5955C1AA-C42F-4715-884B-5BFE9D6283CC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Emp. Adm. Part. - Comércio (Atacado e Varejo)</a:t>
              </a:fld>
              <a:endParaRPr lang="pt-BR" sz="32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$T$11">
          <xdr:nvSpPr>
            <xdr:cNvPr id="9266" name="CaixaDeTexto 9265">
              <a:extLst>
                <a:ext uri="{FF2B5EF4-FFF2-40B4-BE49-F238E27FC236}">
                  <a16:creationId xmlns:a16="http://schemas.microsoft.com/office/drawing/2014/main" id="{00000000-0008-0000-0000-000032240000}"/>
                </a:ext>
              </a:extLst>
            </xdr:cNvPr>
            <xdr:cNvSpPr txBox="1"/>
          </xdr:nvSpPr>
          <xdr:spPr>
            <a:xfrm>
              <a:off x="2303930" y="3433482"/>
              <a:ext cx="1005839" cy="17167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855AB962-1A21-4317-8C68-8A3969B32909}" type="TxLink">
                <a:rPr lang="en-US" sz="1100" b="1" i="0" u="none" strike="noStrike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  <a:cs typeface="Calibri"/>
                </a:rPr>
                <a:pPr algn="l"/>
                <a:t>Aumentar</a:t>
              </a:fld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Motorzinho!#REF!">
          <xdr:nvSpPr>
            <xdr:cNvPr id="9267" name="CaixaDeTexto 9266">
              <a:extLst>
                <a:ext uri="{FF2B5EF4-FFF2-40B4-BE49-F238E27FC236}">
                  <a16:creationId xmlns:a16="http://schemas.microsoft.com/office/drawing/2014/main" id="{00000000-0008-0000-0000-000033240000}"/>
                </a:ext>
              </a:extLst>
            </xdr:cNvPr>
            <xdr:cNvSpPr txBox="1"/>
          </xdr:nvSpPr>
          <xdr:spPr>
            <a:xfrm>
              <a:off x="600636" y="3406589"/>
              <a:ext cx="1787115" cy="24204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900" b="1" baseline="0">
                  <a:solidFill>
                    <a:schemeClr val="bg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Tendência Gastos trabalhistas:</a:t>
              </a:r>
              <a:endParaRPr lang="pt-BR" sz="9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</xdr:grpSp>
    </xdr:grpSp>
    <xdr:clientData/>
  </xdr:twoCellAnchor>
  <xdr:oneCellAnchor>
    <xdr:from>
      <xdr:col>0</xdr:col>
      <xdr:colOff>0</xdr:colOff>
      <xdr:row>3</xdr:row>
      <xdr:rowOff>98613</xdr:rowOff>
    </xdr:from>
    <xdr:ext cx="2214283" cy="338619"/>
    <xdr:sp macro="" textlink="">
      <xdr:nvSpPr>
        <xdr:cNvPr id="9328" name="CaixaDeTexto 9327">
          <a:extLst>
            <a:ext uri="{FF2B5EF4-FFF2-40B4-BE49-F238E27FC236}">
              <a16:creationId xmlns:a16="http://schemas.microsoft.com/office/drawing/2014/main" id="{00000000-0008-0000-0000-000070240000}"/>
            </a:ext>
          </a:extLst>
        </xdr:cNvPr>
        <xdr:cNvSpPr txBox="1"/>
      </xdr:nvSpPr>
      <xdr:spPr>
        <a:xfrm>
          <a:off x="0" y="636495"/>
          <a:ext cx="2214283" cy="3386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>
              <a:solidFill>
                <a:schemeClr val="tx1">
                  <a:lumMod val="50000"/>
                  <a:lumOff val="50000"/>
                </a:schemeClr>
              </a:solidFill>
              <a:latin typeface="Roboto" panose="02000000000000000000" pitchFamily="2" charset="0"/>
              <a:ea typeface="Roboto" panose="02000000000000000000" pitchFamily="2" charset="0"/>
            </a:rPr>
            <a:t>Real_DATA</a:t>
          </a:r>
        </a:p>
      </xdr:txBody>
    </xdr:sp>
    <xdr:clientData/>
  </xdr:oneCellAnchor>
  <xdr:twoCellAnchor>
    <xdr:from>
      <xdr:col>21</xdr:col>
      <xdr:colOff>251013</xdr:colOff>
      <xdr:row>3</xdr:row>
      <xdr:rowOff>161365</xdr:rowOff>
    </xdr:from>
    <xdr:to>
      <xdr:col>23</xdr:col>
      <xdr:colOff>170330</xdr:colOff>
      <xdr:row>6</xdr:row>
      <xdr:rowOff>53788</xdr:rowOff>
    </xdr:to>
    <xdr:sp macro="" textlink="Motorzinho!$U$3">
      <xdr:nvSpPr>
        <xdr:cNvPr id="9346" name="CaixaDeTexto 9345">
          <a:extLst>
            <a:ext uri="{FF2B5EF4-FFF2-40B4-BE49-F238E27FC236}">
              <a16:creationId xmlns:a16="http://schemas.microsoft.com/office/drawing/2014/main" id="{00000000-0008-0000-0000-000082240000}"/>
            </a:ext>
          </a:extLst>
        </xdr:cNvPr>
        <xdr:cNvSpPr txBox="1"/>
      </xdr:nvSpPr>
      <xdr:spPr>
        <a:xfrm>
          <a:off x="13052613" y="699247"/>
          <a:ext cx="1138517" cy="4303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B2DE855-7E84-4226-861E-B6F0379F5F09}" type="TxLink">
            <a:rPr lang="en-US" sz="1400" b="1" i="0" u="none" strike="noStrike">
              <a:solidFill>
                <a:srgbClr val="5A106F"/>
              </a:solidFill>
              <a:latin typeface="Roboto" panose="02000000000000000000" pitchFamily="2" charset="0"/>
              <a:ea typeface="Roboto" panose="02000000000000000000" pitchFamily="2" charset="0"/>
              <a:cs typeface="Calibri"/>
            </a:rPr>
            <a:pPr algn="r"/>
            <a:t>96</a:t>
          </a:fld>
          <a:endParaRPr lang="pt-BR" sz="8000" b="1">
            <a:solidFill>
              <a:srgbClr val="5A106F"/>
            </a:solidFill>
            <a:latin typeface="Roboto" panose="02000000000000000000" pitchFamily="2" charset="0"/>
            <a:ea typeface="Roboto" panose="02000000000000000000" pitchFamily="2" charset="0"/>
          </a:endParaRPr>
        </a:p>
      </xdr:txBody>
    </xdr:sp>
    <xdr:clientData/>
  </xdr:twoCellAnchor>
  <xdr:twoCellAnchor>
    <xdr:from>
      <xdr:col>21</xdr:col>
      <xdr:colOff>71718</xdr:colOff>
      <xdr:row>4</xdr:row>
      <xdr:rowOff>8965</xdr:rowOff>
    </xdr:from>
    <xdr:to>
      <xdr:col>23</xdr:col>
      <xdr:colOff>128195</xdr:colOff>
      <xdr:row>6</xdr:row>
      <xdr:rowOff>29583</xdr:rowOff>
    </xdr:to>
    <xdr:sp macro="" textlink="">
      <xdr:nvSpPr>
        <xdr:cNvPr id="9347" name="CaixaDeTexto 9346">
          <a:extLst>
            <a:ext uri="{FF2B5EF4-FFF2-40B4-BE49-F238E27FC236}">
              <a16:creationId xmlns:a16="http://schemas.microsoft.com/office/drawing/2014/main" id="{00000000-0008-0000-0000-000083240000}"/>
            </a:ext>
          </a:extLst>
        </xdr:cNvPr>
        <xdr:cNvSpPr txBox="1"/>
      </xdr:nvSpPr>
      <xdr:spPr>
        <a:xfrm>
          <a:off x="12873318" y="726141"/>
          <a:ext cx="1275677" cy="3792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i="0" u="none" strike="noStrike">
              <a:solidFill>
                <a:srgbClr val="5A106F"/>
              </a:solidFill>
              <a:latin typeface="Roboto" panose="02000000000000000000" pitchFamily="2" charset="0"/>
              <a:ea typeface="Roboto" panose="02000000000000000000" pitchFamily="2" charset="0"/>
              <a:cs typeface="Calibri"/>
            </a:rPr>
            <a:t>Página: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5A94A-01F8-4CE9-85EB-182429135288}">
  <sheetPr codeName="Planilha9"/>
  <dimension ref="A1:X73"/>
  <sheetViews>
    <sheetView tabSelected="1" zoomScale="85" zoomScaleNormal="85" workbookViewId="0">
      <selection activeCell="G26" sqref="G26"/>
    </sheetView>
  </sheetViews>
  <sheetFormatPr defaultRowHeight="14.4" x14ac:dyDescent="0.3"/>
  <cols>
    <col min="1" max="23" width="8.88671875" style="4"/>
    <col min="24" max="24" width="2.77734375" style="4" customWidth="1"/>
    <col min="25" max="16384" width="8.88671875" style="4"/>
  </cols>
  <sheetData>
    <row r="1" spans="1:24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x14ac:dyDescent="0.3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</row>
    <row r="13" spans="1:24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</row>
    <row r="14" spans="1:24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</row>
    <row r="15" spans="1:24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4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</row>
    <row r="26" spans="1:24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</row>
    <row r="27" spans="1:24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1:24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spans="1:24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spans="1:24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spans="1:24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  <row r="37" spans="1:24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</row>
    <row r="38" spans="1:24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</row>
    <row r="39" spans="1:24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</row>
    <row r="40" spans="1:24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</row>
    <row r="41" spans="1:24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</row>
    <row r="42" spans="1:24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</row>
    <row r="43" spans="1:24" x14ac:dyDescent="0.3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</row>
    <row r="44" spans="1:24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</row>
    <row r="45" spans="1:24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</row>
    <row r="46" spans="1:24" x14ac:dyDescent="0.3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</row>
    <row r="47" spans="1:24" x14ac:dyDescent="0.3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</row>
    <row r="48" spans="1:24" x14ac:dyDescent="0.3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</row>
    <row r="49" spans="1:24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</row>
    <row r="50" spans="1:24" x14ac:dyDescent="0.3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</row>
    <row r="51" spans="1:24" x14ac:dyDescent="0.3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</row>
    <row r="52" spans="1:24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</row>
    <row r="53" spans="1:24" x14ac:dyDescent="0.3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</row>
    <row r="54" spans="1:24" x14ac:dyDescent="0.3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</row>
    <row r="55" spans="1:24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</row>
    <row r="56" spans="1:24" x14ac:dyDescent="0.3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</row>
    <row r="57" spans="1:24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</row>
    <row r="58" spans="1:24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</row>
    <row r="59" spans="1:24" x14ac:dyDescent="0.3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</row>
    <row r="60" spans="1:24" x14ac:dyDescent="0.3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</row>
    <row r="61" spans="1:24" x14ac:dyDescent="0.3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</row>
    <row r="62" spans="1:24" x14ac:dyDescent="0.3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</row>
    <row r="63" spans="1:24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</row>
    <row r="64" spans="1:24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</row>
    <row r="65" spans="1:24" x14ac:dyDescent="0.3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</row>
    <row r="66" spans="1:24" x14ac:dyDescent="0.3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</row>
    <row r="67" spans="1:24" x14ac:dyDescent="0.3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1:24" x14ac:dyDescent="0.3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1:24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1:24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1:24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1:24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1:24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Spinner 1">
              <controlPr defaultSize="0" autoPict="0">
                <anchor moveWithCells="1" sizeWithCells="1">
                  <from>
                    <xdr:col>22</xdr:col>
                    <xdr:colOff>441960</xdr:colOff>
                    <xdr:row>9</xdr:row>
                    <xdr:rowOff>15240</xdr:rowOff>
                  </from>
                  <to>
                    <xdr:col>23</xdr:col>
                    <xdr:colOff>45720</xdr:colOff>
                    <xdr:row>51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1222-9CBB-4988-895E-CA7F4E4943E9}">
  <sheetPr codeName="Planilha2"/>
  <dimension ref="A1:V1638"/>
  <sheetViews>
    <sheetView workbookViewId="0">
      <selection activeCell="C4" sqref="C4"/>
    </sheetView>
  </sheetViews>
  <sheetFormatPr defaultRowHeight="14.4" x14ac:dyDescent="0.3"/>
  <cols>
    <col min="1" max="1" width="59.6640625" bestFit="1" customWidth="1"/>
    <col min="2" max="2" width="59.6640625" customWidth="1"/>
    <col min="3" max="3" width="59.6640625" bestFit="1" customWidth="1"/>
    <col min="4" max="5" width="46.88671875" bestFit="1" customWidth="1"/>
    <col min="6" max="6" width="16.44140625" bestFit="1" customWidth="1"/>
    <col min="7" max="7" width="26.33203125" bestFit="1" customWidth="1"/>
    <col min="8" max="8" width="18.5546875" bestFit="1" customWidth="1"/>
    <col min="9" max="9" width="16.44140625" bestFit="1" customWidth="1"/>
    <col min="10" max="10" width="13.88671875" bestFit="1" customWidth="1"/>
    <col min="11" max="11" width="18" bestFit="1" customWidth="1"/>
    <col min="12" max="12" width="22.44140625" bestFit="1" customWidth="1"/>
    <col min="14" max="16" width="11.33203125" bestFit="1" customWidth="1"/>
    <col min="17" max="17" width="12.33203125" bestFit="1" customWidth="1"/>
    <col min="18" max="18" width="30.44140625" bestFit="1" customWidth="1"/>
    <col min="19" max="19" width="15.77734375" bestFit="1" customWidth="1"/>
    <col min="20" max="20" width="17.21875" bestFit="1" customWidth="1"/>
    <col min="21" max="21" width="20.44140625" bestFit="1" customWidth="1"/>
  </cols>
  <sheetData>
    <row r="1" spans="1:22" x14ac:dyDescent="0.3">
      <c r="A1" s="3" t="s">
        <v>726</v>
      </c>
      <c r="B1" s="3" t="s">
        <v>753</v>
      </c>
      <c r="C1" t="s">
        <v>0</v>
      </c>
      <c r="D1" t="s">
        <v>1</v>
      </c>
      <c r="E1" t="s">
        <v>2</v>
      </c>
      <c r="F1" t="s">
        <v>727</v>
      </c>
      <c r="G1" t="s">
        <v>728</v>
      </c>
      <c r="H1" t="s">
        <v>729</v>
      </c>
      <c r="I1" t="s">
        <v>730</v>
      </c>
      <c r="J1" t="s">
        <v>731</v>
      </c>
      <c r="K1" t="s">
        <v>3</v>
      </c>
      <c r="L1" t="s">
        <v>732</v>
      </c>
      <c r="M1" t="s">
        <v>703</v>
      </c>
      <c r="N1" t="s">
        <v>706</v>
      </c>
      <c r="O1" t="s">
        <v>733</v>
      </c>
      <c r="P1" t="s">
        <v>704</v>
      </c>
      <c r="Q1" t="s">
        <v>705</v>
      </c>
      <c r="R1" t="s">
        <v>734</v>
      </c>
      <c r="S1" t="s">
        <v>735</v>
      </c>
      <c r="T1" t="s">
        <v>702</v>
      </c>
      <c r="U1" t="s">
        <v>700</v>
      </c>
      <c r="V1" t="s">
        <v>701</v>
      </c>
    </row>
    <row r="2" spans="1:22" x14ac:dyDescent="0.3">
      <c r="A2" t="str">
        <f t="shared" ref="A2:A65" si="0">_xlfn.CONCAT(D2,F2)</f>
        <v>VLIDPrevisão</v>
      </c>
      <c r="B2" t="str">
        <f t="shared" ref="B2:B65" si="1">_xlfn.CONCAT(D2,F2,PROPER(TEXT(K2,"mmm-aaaa")))</f>
        <v>VLIDPrevisãoDez-2022</v>
      </c>
      <c r="C2" t="s">
        <v>476</v>
      </c>
      <c r="D2" t="s">
        <v>477</v>
      </c>
      <c r="E2" t="s">
        <v>478</v>
      </c>
      <c r="F2" t="s">
        <v>736</v>
      </c>
      <c r="G2" t="s">
        <v>737</v>
      </c>
      <c r="H2" t="s">
        <v>738</v>
      </c>
      <c r="I2" t="s">
        <v>739</v>
      </c>
      <c r="J2" t="s">
        <v>739</v>
      </c>
      <c r="K2" s="2">
        <v>44925</v>
      </c>
      <c r="L2">
        <v>16126.4816229649</v>
      </c>
      <c r="M2">
        <v>2526037.02470084</v>
      </c>
      <c r="N2">
        <v>770844.79101944296</v>
      </c>
      <c r="O2">
        <v>367981.14149900398</v>
      </c>
      <c r="P2">
        <v>-2526037.02470084</v>
      </c>
      <c r="Q2">
        <v>-566159.93964857503</v>
      </c>
      <c r="R2">
        <v>47087.495204154402</v>
      </c>
      <c r="S2">
        <v>14077.758000177901</v>
      </c>
      <c r="T2">
        <v>-74664.061285039599</v>
      </c>
      <c r="U2">
        <v>1149001.66810967</v>
      </c>
      <c r="V2">
        <v>246012.09769971701</v>
      </c>
    </row>
    <row r="3" spans="1:22" x14ac:dyDescent="0.3">
      <c r="A3" t="str">
        <f t="shared" si="0"/>
        <v>VLIDPrevisão</v>
      </c>
      <c r="B3" t="str">
        <f t="shared" si="1"/>
        <v>VLIDPrevisãoMar-2023</v>
      </c>
      <c r="C3" t="s">
        <v>476</v>
      </c>
      <c r="D3" t="s">
        <v>477</v>
      </c>
      <c r="E3" t="s">
        <v>478</v>
      </c>
      <c r="F3" t="s">
        <v>736</v>
      </c>
      <c r="G3" t="s">
        <v>737</v>
      </c>
      <c r="H3" t="s">
        <v>738</v>
      </c>
      <c r="I3" t="s">
        <v>739</v>
      </c>
      <c r="J3" t="s">
        <v>739</v>
      </c>
      <c r="K3" s="2">
        <v>45015</v>
      </c>
      <c r="L3">
        <v>22622.7276122728</v>
      </c>
      <c r="M3">
        <v>2622134.2649021</v>
      </c>
      <c r="N3">
        <v>801192.52837482898</v>
      </c>
      <c r="O3">
        <v>402778.05861474603</v>
      </c>
      <c r="P3">
        <v>-2622134.2649021</v>
      </c>
      <c r="Q3">
        <v>-609735.18148781406</v>
      </c>
      <c r="R3">
        <v>49172.626209875598</v>
      </c>
      <c r="S3">
        <v>13847.591921953301</v>
      </c>
      <c r="T3">
        <v>-108521.303282557</v>
      </c>
      <c r="U3">
        <v>1120094.7984891001</v>
      </c>
      <c r="V3">
        <v>257972.38201688899</v>
      </c>
    </row>
    <row r="4" spans="1:22" x14ac:dyDescent="0.3">
      <c r="A4" t="str">
        <f t="shared" si="0"/>
        <v>VLIDPrevisão</v>
      </c>
      <c r="B4" t="str">
        <f t="shared" si="1"/>
        <v>VLIDPrevisãoJun-2023</v>
      </c>
      <c r="C4" t="s">
        <v>476</v>
      </c>
      <c r="D4" t="s">
        <v>477</v>
      </c>
      <c r="E4" t="s">
        <v>478</v>
      </c>
      <c r="F4" t="s">
        <v>736</v>
      </c>
      <c r="G4" t="s">
        <v>737</v>
      </c>
      <c r="H4" t="s">
        <v>738</v>
      </c>
      <c r="I4" t="s">
        <v>739</v>
      </c>
      <c r="J4" t="s">
        <v>739</v>
      </c>
      <c r="K4" s="2">
        <v>45107</v>
      </c>
      <c r="L4">
        <v>30144.658183392501</v>
      </c>
      <c r="M4">
        <v>2722573.3270371598</v>
      </c>
      <c r="N4">
        <v>832590.64876179397</v>
      </c>
      <c r="O4">
        <v>440865.27275067999</v>
      </c>
      <c r="P4">
        <v>-2722573.3270371598</v>
      </c>
      <c r="Q4">
        <v>-656276.66402672103</v>
      </c>
      <c r="R4">
        <v>51544.061014188803</v>
      </c>
      <c r="S4">
        <v>13486.1129875891</v>
      </c>
      <c r="T4">
        <v>-144788.141633291</v>
      </c>
      <c r="U4">
        <v>1085092.7681744799</v>
      </c>
      <c r="V4">
        <v>271028.52081670502</v>
      </c>
    </row>
    <row r="5" spans="1:22" x14ac:dyDescent="0.3">
      <c r="A5" t="str">
        <f t="shared" si="0"/>
        <v>VLIDPrevisão</v>
      </c>
      <c r="B5" t="str">
        <f t="shared" si="1"/>
        <v>VLIDPrevisãoSet-2023</v>
      </c>
      <c r="C5" t="s">
        <v>476</v>
      </c>
      <c r="D5" t="s">
        <v>477</v>
      </c>
      <c r="E5" t="s">
        <v>478</v>
      </c>
      <c r="F5" t="s">
        <v>736</v>
      </c>
      <c r="G5" t="s">
        <v>737</v>
      </c>
      <c r="H5" t="s">
        <v>738</v>
      </c>
      <c r="I5" t="s">
        <v>739</v>
      </c>
      <c r="J5" t="s">
        <v>739</v>
      </c>
      <c r="K5" s="2">
        <v>45199</v>
      </c>
      <c r="L5">
        <v>38745.512015996297</v>
      </c>
      <c r="M5">
        <v>2827507.0196402301</v>
      </c>
      <c r="N5">
        <v>865054.36741969502</v>
      </c>
      <c r="O5">
        <v>482388.25047812099</v>
      </c>
      <c r="P5">
        <v>-2827507.0196402301</v>
      </c>
      <c r="Q5">
        <v>-705880.68927140895</v>
      </c>
      <c r="R5">
        <v>54218.521692478498</v>
      </c>
      <c r="S5">
        <v>12983.4790023608</v>
      </c>
      <c r="T5">
        <v>-183529.543047332</v>
      </c>
      <c r="U5">
        <v>1043720.63168921</v>
      </c>
      <c r="V5">
        <v>285228.68014672201</v>
      </c>
    </row>
    <row r="6" spans="1:22" x14ac:dyDescent="0.3">
      <c r="A6" t="str">
        <f t="shared" si="0"/>
        <v>NEMOPrevisão</v>
      </c>
      <c r="B6" t="str">
        <f t="shared" si="1"/>
        <v>NEMOPrevisãoDez-2022</v>
      </c>
      <c r="C6" t="s">
        <v>344</v>
      </c>
      <c r="D6" t="s">
        <v>345</v>
      </c>
      <c r="E6" t="s">
        <v>346</v>
      </c>
      <c r="F6" t="s">
        <v>736</v>
      </c>
      <c r="G6" t="s">
        <v>737</v>
      </c>
      <c r="H6" t="s">
        <v>738</v>
      </c>
      <c r="I6" t="s">
        <v>739</v>
      </c>
      <c r="J6" t="s">
        <v>739</v>
      </c>
      <c r="K6" s="2">
        <v>44925</v>
      </c>
      <c r="L6">
        <v>1854995.12520152</v>
      </c>
      <c r="M6">
        <v>7279190.2489617402</v>
      </c>
      <c r="N6">
        <v>39468.940836895301</v>
      </c>
      <c r="O6">
        <v>4722.1371700202599</v>
      </c>
      <c r="P6">
        <v>-7279190.2489617402</v>
      </c>
      <c r="Q6">
        <v>-3282.8866819315699</v>
      </c>
      <c r="R6">
        <v>6435.9157117414998</v>
      </c>
      <c r="S6">
        <v>252.66955266984201</v>
      </c>
      <c r="T6">
        <v>640025.17358456296</v>
      </c>
      <c r="U6">
        <v>7032832.8681758596</v>
      </c>
      <c r="V6">
        <v>1856965.41142516</v>
      </c>
    </row>
    <row r="7" spans="1:22" x14ac:dyDescent="0.3">
      <c r="A7" t="str">
        <f t="shared" si="0"/>
        <v>NEMOPrevisão</v>
      </c>
      <c r="B7" t="str">
        <f t="shared" si="1"/>
        <v>NEMOPrevisãoMar-2023</v>
      </c>
      <c r="C7" t="s">
        <v>344</v>
      </c>
      <c r="D7" t="s">
        <v>345</v>
      </c>
      <c r="E7" t="s">
        <v>346</v>
      </c>
      <c r="F7" t="s">
        <v>736</v>
      </c>
      <c r="G7" t="s">
        <v>737</v>
      </c>
      <c r="H7" t="s">
        <v>738</v>
      </c>
      <c r="I7" t="s">
        <v>739</v>
      </c>
      <c r="J7" t="s">
        <v>739</v>
      </c>
      <c r="K7" s="2">
        <v>45015</v>
      </c>
      <c r="L7">
        <v>2298739.58014622</v>
      </c>
      <c r="M7">
        <v>8136319.0337712904</v>
      </c>
      <c r="N7">
        <v>39920.861159807697</v>
      </c>
      <c r="O7">
        <v>5585.1009550430599</v>
      </c>
      <c r="P7">
        <v>-8136319.0337712904</v>
      </c>
      <c r="Q7">
        <v>-1934.42022310793</v>
      </c>
      <c r="R7">
        <v>7932.6546707161297</v>
      </c>
      <c r="S7">
        <v>252.32254408769001</v>
      </c>
      <c r="T7">
        <v>660912.50651183096</v>
      </c>
      <c r="U7">
        <v>7801570.7158003896</v>
      </c>
      <c r="V7">
        <v>2301666.0299841999</v>
      </c>
    </row>
    <row r="8" spans="1:22" x14ac:dyDescent="0.3">
      <c r="A8" t="str">
        <f t="shared" si="0"/>
        <v>NEMOPrevisão</v>
      </c>
      <c r="B8" t="str">
        <f t="shared" si="1"/>
        <v>NEMOPrevisãoJun-2023</v>
      </c>
      <c r="C8" t="s">
        <v>344</v>
      </c>
      <c r="D8" t="s">
        <v>345</v>
      </c>
      <c r="E8" t="s">
        <v>346</v>
      </c>
      <c r="F8" t="s">
        <v>736</v>
      </c>
      <c r="G8" t="s">
        <v>737</v>
      </c>
      <c r="H8" t="s">
        <v>738</v>
      </c>
      <c r="I8" t="s">
        <v>739</v>
      </c>
      <c r="J8" t="s">
        <v>739</v>
      </c>
      <c r="K8" s="2">
        <v>45107</v>
      </c>
      <c r="L8">
        <v>2791767.4385076901</v>
      </c>
      <c r="M8">
        <v>9093455.7786892708</v>
      </c>
      <c r="N8">
        <v>40555.409114452203</v>
      </c>
      <c r="O8">
        <v>6534.1288593900499</v>
      </c>
      <c r="P8">
        <v>-9093455.7786892708</v>
      </c>
      <c r="Q8">
        <v>-666.98906064720302</v>
      </c>
      <c r="R8">
        <v>9673.0553207735102</v>
      </c>
      <c r="S8">
        <v>260.22117707008698</v>
      </c>
      <c r="T8">
        <v>685558.60250371904</v>
      </c>
      <c r="U8">
        <v>8657955.6563766506</v>
      </c>
      <c r="V8">
        <v>2795835.6912827101</v>
      </c>
    </row>
    <row r="9" spans="1:22" x14ac:dyDescent="0.3">
      <c r="A9" t="str">
        <f t="shared" si="0"/>
        <v>NEMOPrevisão</v>
      </c>
      <c r="B9" t="str">
        <f t="shared" si="1"/>
        <v>NEMOPrevisãoSet-2023</v>
      </c>
      <c r="C9" t="s">
        <v>344</v>
      </c>
      <c r="D9" t="s">
        <v>345</v>
      </c>
      <c r="E9" t="s">
        <v>346</v>
      </c>
      <c r="F9" t="s">
        <v>736</v>
      </c>
      <c r="G9" t="s">
        <v>737</v>
      </c>
      <c r="H9" t="s">
        <v>738</v>
      </c>
      <c r="I9" t="s">
        <v>739</v>
      </c>
      <c r="J9" t="s">
        <v>739</v>
      </c>
      <c r="K9" s="2">
        <v>45199</v>
      </c>
      <c r="L9">
        <v>3336343.52716632</v>
      </c>
      <c r="M9">
        <v>10155350.910515999</v>
      </c>
      <c r="N9">
        <v>41375.213430404801</v>
      </c>
      <c r="O9">
        <v>7572.9574816182703</v>
      </c>
      <c r="P9">
        <v>-10155350.910515999</v>
      </c>
      <c r="Q9">
        <v>518.110026782349</v>
      </c>
      <c r="R9">
        <v>11669.595563032401</v>
      </c>
      <c r="S9">
        <v>276.92751704907101</v>
      </c>
      <c r="T9">
        <v>714151.66814413003</v>
      </c>
      <c r="U9">
        <v>9606237.6172596402</v>
      </c>
      <c r="V9">
        <v>3341751.0937000499</v>
      </c>
    </row>
    <row r="10" spans="1:22" x14ac:dyDescent="0.3">
      <c r="A10" t="str">
        <f t="shared" si="0"/>
        <v>SGPSPrevisão</v>
      </c>
      <c r="B10" t="str">
        <f t="shared" si="1"/>
        <v>SGPSPrevisãoDez-2022</v>
      </c>
      <c r="C10" t="s">
        <v>408</v>
      </c>
      <c r="D10" t="s">
        <v>409</v>
      </c>
      <c r="E10" t="s">
        <v>410</v>
      </c>
      <c r="F10" t="s">
        <v>736</v>
      </c>
      <c r="G10" t="s">
        <v>737</v>
      </c>
      <c r="H10" t="s">
        <v>738</v>
      </c>
      <c r="I10" t="s">
        <v>739</v>
      </c>
      <c r="J10" t="s">
        <v>739</v>
      </c>
      <c r="K10" s="2">
        <v>44925</v>
      </c>
      <c r="L10">
        <v>-160557.016382298</v>
      </c>
      <c r="M10">
        <v>600988.71318236797</v>
      </c>
      <c r="N10">
        <v>4667.7439096837797</v>
      </c>
      <c r="O10">
        <v>-186.53221288514601</v>
      </c>
      <c r="P10">
        <v>-600988.71318236797</v>
      </c>
      <c r="Q10">
        <v>-1614.61047448316</v>
      </c>
      <c r="R10">
        <v>109.647228588432</v>
      </c>
      <c r="S10">
        <v>-6.2745946863251696</v>
      </c>
      <c r="T10">
        <v>-5499.3277310982603</v>
      </c>
      <c r="U10">
        <v>554394.343095319</v>
      </c>
      <c r="V10">
        <v>-142148.91189200699</v>
      </c>
    </row>
    <row r="11" spans="1:22" x14ac:dyDescent="0.3">
      <c r="A11" t="str">
        <f t="shared" si="0"/>
        <v>SGPSPrevisão</v>
      </c>
      <c r="B11" t="str">
        <f t="shared" si="1"/>
        <v>SGPSPrevisãoMar-2023</v>
      </c>
      <c r="C11" t="s">
        <v>408</v>
      </c>
      <c r="D11" t="s">
        <v>409</v>
      </c>
      <c r="E11" t="s">
        <v>410</v>
      </c>
      <c r="F11" t="s">
        <v>736</v>
      </c>
      <c r="G11" t="s">
        <v>737</v>
      </c>
      <c r="H11" t="s">
        <v>738</v>
      </c>
      <c r="I11" t="s">
        <v>739</v>
      </c>
      <c r="J11" t="s">
        <v>739</v>
      </c>
      <c r="K11" s="2">
        <v>45015</v>
      </c>
      <c r="L11">
        <v>-181945.97498489701</v>
      </c>
      <c r="M11">
        <v>452604.91564073297</v>
      </c>
      <c r="N11">
        <v>5843.1823160040403</v>
      </c>
      <c r="O11">
        <v>-259.58543417366798</v>
      </c>
      <c r="P11">
        <v>-452604.91564073297</v>
      </c>
      <c r="Q11">
        <v>2508.1785123688201</v>
      </c>
      <c r="R11">
        <v>112.45249221723</v>
      </c>
      <c r="S11">
        <v>-31.873077814217901</v>
      </c>
      <c r="T11">
        <v>-6413.9768339825296</v>
      </c>
      <c r="U11">
        <v>405221.11899194599</v>
      </c>
      <c r="V11">
        <v>-156056.39584577599</v>
      </c>
    </row>
    <row r="12" spans="1:22" x14ac:dyDescent="0.3">
      <c r="A12" t="str">
        <f t="shared" si="0"/>
        <v>SGPSPrevisão</v>
      </c>
      <c r="B12" t="str">
        <f t="shared" si="1"/>
        <v>SGPSPrevisãoJun-2023</v>
      </c>
      <c r="C12" t="s">
        <v>408</v>
      </c>
      <c r="D12" t="s">
        <v>409</v>
      </c>
      <c r="E12" t="s">
        <v>410</v>
      </c>
      <c r="F12" t="s">
        <v>736</v>
      </c>
      <c r="G12" t="s">
        <v>737</v>
      </c>
      <c r="H12" t="s">
        <v>738</v>
      </c>
      <c r="I12" t="s">
        <v>739</v>
      </c>
      <c r="J12" t="s">
        <v>739</v>
      </c>
      <c r="K12" s="2">
        <v>45107</v>
      </c>
      <c r="L12">
        <v>-204890.623226753</v>
      </c>
      <c r="M12">
        <v>285901.476065478</v>
      </c>
      <c r="N12">
        <v>7171.0377357350699</v>
      </c>
      <c r="O12">
        <v>-341.05864024131</v>
      </c>
      <c r="P12">
        <v>-285901.476065478</v>
      </c>
      <c r="Q12">
        <v>7259.1514002226804</v>
      </c>
      <c r="R12">
        <v>115.360384509029</v>
      </c>
      <c r="S12">
        <v>-60.593032781848301</v>
      </c>
      <c r="T12">
        <v>-7196.24251408081</v>
      </c>
      <c r="U12">
        <v>237314.12165798101</v>
      </c>
      <c r="V12">
        <v>-170627.94695616301</v>
      </c>
    </row>
    <row r="13" spans="1:22" x14ac:dyDescent="0.3">
      <c r="A13" t="str">
        <f t="shared" si="0"/>
        <v>SGPSPrevisão</v>
      </c>
      <c r="B13" t="str">
        <f t="shared" si="1"/>
        <v>SGPSPrevisãoSet-2023</v>
      </c>
      <c r="C13" t="s">
        <v>408</v>
      </c>
      <c r="D13" t="s">
        <v>409</v>
      </c>
      <c r="E13" t="s">
        <v>410</v>
      </c>
      <c r="F13" t="s">
        <v>736</v>
      </c>
      <c r="G13" t="s">
        <v>737</v>
      </c>
      <c r="H13" t="s">
        <v>738</v>
      </c>
      <c r="I13" t="s">
        <v>739</v>
      </c>
      <c r="J13" t="s">
        <v>739</v>
      </c>
      <c r="K13" s="2">
        <v>45199</v>
      </c>
      <c r="L13">
        <v>-229433.94795249301</v>
      </c>
      <c r="M13">
        <v>99936.211925594107</v>
      </c>
      <c r="N13">
        <v>8657.1688906829204</v>
      </c>
      <c r="O13">
        <v>-431.33083810175299</v>
      </c>
      <c r="P13">
        <v>-99936.211925594107</v>
      </c>
      <c r="Q13">
        <v>12675.124312244299</v>
      </c>
      <c r="R13">
        <v>118.381504362973</v>
      </c>
      <c r="S13">
        <v>-92.572573801634803</v>
      </c>
      <c r="T13">
        <v>-7834.8922385507003</v>
      </c>
      <c r="U13">
        <v>49702.1539727954</v>
      </c>
      <c r="V13">
        <v>-185866.812296736</v>
      </c>
    </row>
    <row r="14" spans="1:22" x14ac:dyDescent="0.3">
      <c r="A14" t="str">
        <f t="shared" si="0"/>
        <v>AHEBPrevisão</v>
      </c>
      <c r="B14" t="str">
        <f t="shared" si="1"/>
        <v>AHEBPrevisãoDez-2022</v>
      </c>
      <c r="C14" t="s">
        <v>316</v>
      </c>
      <c r="D14" t="s">
        <v>317</v>
      </c>
      <c r="E14" t="s">
        <v>318</v>
      </c>
      <c r="F14" t="s">
        <v>736</v>
      </c>
      <c r="G14" t="s">
        <v>737</v>
      </c>
      <c r="H14" t="s">
        <v>738</v>
      </c>
      <c r="I14" t="s">
        <v>739</v>
      </c>
      <c r="J14" t="s">
        <v>739</v>
      </c>
      <c r="K14" s="2">
        <v>44925</v>
      </c>
      <c r="L14">
        <v>-4749.4615058089003</v>
      </c>
      <c r="M14">
        <v>331863.96850871301</v>
      </c>
      <c r="N14">
        <v>104974.985400244</v>
      </c>
      <c r="O14">
        <v>58553.459129225201</v>
      </c>
      <c r="P14">
        <v>-331863.96850871301</v>
      </c>
      <c r="Q14">
        <v>-130132.681266402</v>
      </c>
      <c r="R14">
        <v>5984.3874034459304</v>
      </c>
      <c r="S14">
        <v>55718.847381378699</v>
      </c>
      <c r="T14">
        <v>6705.0909091093999</v>
      </c>
      <c r="U14">
        <v>-107589.477633488</v>
      </c>
      <c r="V14">
        <v>57469.701553345803</v>
      </c>
    </row>
    <row r="15" spans="1:22" x14ac:dyDescent="0.3">
      <c r="A15" t="str">
        <f t="shared" si="0"/>
        <v>AHEBPrevisão</v>
      </c>
      <c r="B15" t="str">
        <f t="shared" si="1"/>
        <v>AHEBPrevisãoMar-2023</v>
      </c>
      <c r="C15" t="s">
        <v>316</v>
      </c>
      <c r="D15" t="s">
        <v>317</v>
      </c>
      <c r="E15" t="s">
        <v>318</v>
      </c>
      <c r="F15" t="s">
        <v>736</v>
      </c>
      <c r="G15" t="s">
        <v>737</v>
      </c>
      <c r="H15" t="s">
        <v>738</v>
      </c>
      <c r="I15" t="s">
        <v>739</v>
      </c>
      <c r="J15" t="s">
        <v>739</v>
      </c>
      <c r="K15" s="2">
        <v>45015</v>
      </c>
      <c r="L15">
        <v>-3105.6757605518401</v>
      </c>
      <c r="M15">
        <v>353103.53547753498</v>
      </c>
      <c r="N15">
        <v>119745.778303161</v>
      </c>
      <c r="O15">
        <v>73120.254110628302</v>
      </c>
      <c r="P15">
        <v>-353103.53547753498</v>
      </c>
      <c r="Q15">
        <v>-145654.12290054699</v>
      </c>
      <c r="R15">
        <v>5301.0251986130397</v>
      </c>
      <c r="S15">
        <v>60479.340316636102</v>
      </c>
      <c r="T15">
        <v>8238.9775359971009</v>
      </c>
      <c r="U15">
        <v>-126098.51232058099</v>
      </c>
      <c r="V15">
        <v>62239.254544074298</v>
      </c>
    </row>
    <row r="16" spans="1:22" x14ac:dyDescent="0.3">
      <c r="A16" t="str">
        <f t="shared" si="0"/>
        <v>AHEBPrevisão</v>
      </c>
      <c r="B16" t="str">
        <f t="shared" si="1"/>
        <v>AHEBPrevisãoJun-2023</v>
      </c>
      <c r="C16" t="s">
        <v>316</v>
      </c>
      <c r="D16" t="s">
        <v>317</v>
      </c>
      <c r="E16" t="s">
        <v>318</v>
      </c>
      <c r="F16" t="s">
        <v>736</v>
      </c>
      <c r="G16" t="s">
        <v>737</v>
      </c>
      <c r="H16" t="s">
        <v>738</v>
      </c>
      <c r="I16" t="s">
        <v>739</v>
      </c>
      <c r="J16" t="s">
        <v>739</v>
      </c>
      <c r="K16" s="2">
        <v>45107</v>
      </c>
      <c r="L16">
        <v>-1230.8149935880899</v>
      </c>
      <c r="M16">
        <v>377546.56387308601</v>
      </c>
      <c r="N16">
        <v>136263.05585425001</v>
      </c>
      <c r="O16">
        <v>89913.023572242906</v>
      </c>
      <c r="P16">
        <v>-377546.56387308601</v>
      </c>
      <c r="Q16">
        <v>-163013.73185029201</v>
      </c>
      <c r="R16">
        <v>4559.9794490315799</v>
      </c>
      <c r="S16">
        <v>65495.316807581301</v>
      </c>
      <c r="T16">
        <v>9811.6967357173507</v>
      </c>
      <c r="U16">
        <v>-145643.59843773799</v>
      </c>
      <c r="V16">
        <v>67480.925905595999</v>
      </c>
    </row>
    <row r="17" spans="1:22" x14ac:dyDescent="0.3">
      <c r="A17" t="str">
        <f t="shared" si="0"/>
        <v>AHEBPrevisão</v>
      </c>
      <c r="B17" t="str">
        <f t="shared" si="1"/>
        <v>AHEBPrevisãoSet-2023</v>
      </c>
      <c r="C17" t="s">
        <v>316</v>
      </c>
      <c r="D17" t="s">
        <v>317</v>
      </c>
      <c r="E17" t="s">
        <v>318</v>
      </c>
      <c r="F17" t="s">
        <v>736</v>
      </c>
      <c r="G17" t="s">
        <v>737</v>
      </c>
      <c r="H17" t="s">
        <v>738</v>
      </c>
      <c r="I17" t="s">
        <v>739</v>
      </c>
      <c r="J17" t="s">
        <v>739</v>
      </c>
      <c r="K17" s="2">
        <v>45199</v>
      </c>
      <c r="L17">
        <v>886.55113589959899</v>
      </c>
      <c r="M17">
        <v>405366.99720803997</v>
      </c>
      <c r="N17">
        <v>154612.883376646</v>
      </c>
      <c r="O17">
        <v>109054.95769760601</v>
      </c>
      <c r="P17">
        <v>-405366.99720803997</v>
      </c>
      <c r="Q17">
        <v>-182299.28149069301</v>
      </c>
      <c r="R17">
        <v>3759.1122693438401</v>
      </c>
      <c r="S17">
        <v>70772.050121246095</v>
      </c>
      <c r="T17">
        <v>11419.763533785101</v>
      </c>
      <c r="U17">
        <v>-166247.36205585301</v>
      </c>
      <c r="V17">
        <v>73213.483720245393</v>
      </c>
    </row>
    <row r="18" spans="1:22" x14ac:dyDescent="0.3">
      <c r="A18" t="str">
        <f t="shared" si="0"/>
        <v>B3SAPrevisão</v>
      </c>
      <c r="B18" t="str">
        <f t="shared" si="1"/>
        <v>B3SAPrevisãoDez-2022</v>
      </c>
      <c r="C18" t="s">
        <v>88</v>
      </c>
      <c r="D18" t="s">
        <v>89</v>
      </c>
      <c r="E18" t="s">
        <v>90</v>
      </c>
      <c r="F18" t="s">
        <v>736</v>
      </c>
      <c r="G18" t="s">
        <v>737</v>
      </c>
      <c r="H18" t="s">
        <v>738</v>
      </c>
      <c r="I18" t="s">
        <v>739</v>
      </c>
      <c r="J18" t="s">
        <v>739</v>
      </c>
      <c r="K18" s="2">
        <v>44925</v>
      </c>
      <c r="L18">
        <v>1351664.77209067</v>
      </c>
      <c r="M18">
        <v>51849926.851453498</v>
      </c>
      <c r="N18">
        <v>20558256.8811647</v>
      </c>
      <c r="O18">
        <v>394387.36049563298</v>
      </c>
      <c r="P18">
        <v>-51849926.851453498</v>
      </c>
      <c r="Q18">
        <v>-12667454.0741025</v>
      </c>
      <c r="R18">
        <v>0</v>
      </c>
      <c r="S18">
        <v>873509.53764553403</v>
      </c>
      <c r="T18">
        <v>634104.68780271895</v>
      </c>
      <c r="U18">
        <v>18566755.9864209</v>
      </c>
      <c r="V18">
        <v>2669269.8920295299</v>
      </c>
    </row>
    <row r="19" spans="1:22" x14ac:dyDescent="0.3">
      <c r="A19" t="str">
        <f t="shared" si="0"/>
        <v>B3SAPrevisão</v>
      </c>
      <c r="B19" t="str">
        <f t="shared" si="1"/>
        <v>B3SAPrevisãoMar-2023</v>
      </c>
      <c r="C19" t="s">
        <v>88</v>
      </c>
      <c r="D19" t="s">
        <v>89</v>
      </c>
      <c r="E19" t="s">
        <v>90</v>
      </c>
      <c r="F19" t="s">
        <v>736</v>
      </c>
      <c r="G19" t="s">
        <v>737</v>
      </c>
      <c r="H19" t="s">
        <v>738</v>
      </c>
      <c r="I19" t="s">
        <v>739</v>
      </c>
      <c r="J19" t="s">
        <v>739</v>
      </c>
      <c r="K19" s="2">
        <v>45015</v>
      </c>
      <c r="L19">
        <v>1425507.05989719</v>
      </c>
      <c r="M19">
        <v>52190362.998295099</v>
      </c>
      <c r="N19">
        <v>21628363.8997816</v>
      </c>
      <c r="O19">
        <v>390779.69650618703</v>
      </c>
      <c r="P19">
        <v>-52190362.998295099</v>
      </c>
      <c r="Q19">
        <v>-13103487.208666399</v>
      </c>
      <c r="R19">
        <v>0</v>
      </c>
      <c r="S19">
        <v>972838.16905391205</v>
      </c>
      <c r="T19">
        <v>60378.218012814599</v>
      </c>
      <c r="U19">
        <v>16979445.422700498</v>
      </c>
      <c r="V19">
        <v>2761977.9115960398</v>
      </c>
    </row>
    <row r="20" spans="1:22" x14ac:dyDescent="0.3">
      <c r="A20" t="str">
        <f t="shared" si="0"/>
        <v>B3SAPrevisão</v>
      </c>
      <c r="B20" t="str">
        <f t="shared" si="1"/>
        <v>B3SAPrevisãoJun-2023</v>
      </c>
      <c r="C20" t="s">
        <v>88</v>
      </c>
      <c r="D20" t="s">
        <v>89</v>
      </c>
      <c r="E20" t="s">
        <v>90</v>
      </c>
      <c r="F20" t="s">
        <v>736</v>
      </c>
      <c r="G20" t="s">
        <v>737</v>
      </c>
      <c r="H20" t="s">
        <v>738</v>
      </c>
      <c r="I20" t="s">
        <v>739</v>
      </c>
      <c r="J20" t="s">
        <v>739</v>
      </c>
      <c r="K20" s="2">
        <v>45107</v>
      </c>
      <c r="L20">
        <v>1502136.69882831</v>
      </c>
      <c r="M20">
        <v>52401478.040451601</v>
      </c>
      <c r="N20">
        <v>22736514.520090599</v>
      </c>
      <c r="O20">
        <v>384130.08142641099</v>
      </c>
      <c r="P20">
        <v>-52401478.040451601</v>
      </c>
      <c r="Q20">
        <v>-13523697.363565899</v>
      </c>
      <c r="R20">
        <v>0</v>
      </c>
      <c r="S20">
        <v>1081790.9183371901</v>
      </c>
      <c r="T20">
        <v>-586712.97033674899</v>
      </c>
      <c r="U20">
        <v>15179171.5366263</v>
      </c>
      <c r="V20">
        <v>2850481.7534632701</v>
      </c>
    </row>
    <row r="21" spans="1:22" x14ac:dyDescent="0.3">
      <c r="A21" t="str">
        <f t="shared" si="0"/>
        <v>B3SAPrevisão</v>
      </c>
      <c r="B21" t="str">
        <f t="shared" si="1"/>
        <v>B3SAPrevisãoSet-2023</v>
      </c>
      <c r="C21" t="s">
        <v>88</v>
      </c>
      <c r="D21" t="s">
        <v>89</v>
      </c>
      <c r="E21" t="s">
        <v>90</v>
      </c>
      <c r="F21" t="s">
        <v>736</v>
      </c>
      <c r="G21" t="s">
        <v>737</v>
      </c>
      <c r="H21" t="s">
        <v>738</v>
      </c>
      <c r="I21" t="s">
        <v>739</v>
      </c>
      <c r="J21" t="s">
        <v>739</v>
      </c>
      <c r="K21" s="2">
        <v>45199</v>
      </c>
      <c r="L21">
        <v>1581582.14631558</v>
      </c>
      <c r="M21">
        <v>52474881.313660301</v>
      </c>
      <c r="N21">
        <v>23883200.5533548</v>
      </c>
      <c r="O21">
        <v>374248.472324264</v>
      </c>
      <c r="P21">
        <v>-52474881.313660301</v>
      </c>
      <c r="Q21">
        <v>-13926226.6122176</v>
      </c>
      <c r="R21">
        <v>0</v>
      </c>
      <c r="S21">
        <v>1200820.0596103501</v>
      </c>
      <c r="T21">
        <v>-1310551.14762723</v>
      </c>
      <c r="U21">
        <v>13155639.119490501</v>
      </c>
      <c r="V21">
        <v>2934284.1331849699</v>
      </c>
    </row>
    <row r="22" spans="1:22" x14ac:dyDescent="0.3">
      <c r="A22" t="str">
        <f t="shared" si="0"/>
        <v>BRAPPrevisão</v>
      </c>
      <c r="B22" t="str">
        <f t="shared" si="1"/>
        <v>BRAPPrevisãoDez-2022</v>
      </c>
      <c r="C22" t="s">
        <v>313</v>
      </c>
      <c r="D22" t="s">
        <v>314</v>
      </c>
      <c r="E22" t="s">
        <v>315</v>
      </c>
      <c r="F22" t="s">
        <v>736</v>
      </c>
      <c r="G22" t="s">
        <v>737</v>
      </c>
      <c r="H22" t="s">
        <v>738</v>
      </c>
      <c r="I22" t="s">
        <v>739</v>
      </c>
      <c r="J22" t="s">
        <v>739</v>
      </c>
      <c r="K22" s="2">
        <v>44925</v>
      </c>
      <c r="L22">
        <v>1698821.56701506</v>
      </c>
      <c r="M22">
        <v>9345982.2480259705</v>
      </c>
      <c r="N22">
        <v>1117362.39300561</v>
      </c>
      <c r="O22">
        <v>214311.285714242</v>
      </c>
      <c r="P22">
        <v>-9345982.2480259705</v>
      </c>
      <c r="Q22">
        <v>526102.63585378497</v>
      </c>
      <c r="R22">
        <v>-2.3787454375647399</v>
      </c>
      <c r="S22">
        <v>-63684.868092694698</v>
      </c>
      <c r="T22">
        <v>3416191.9974527601</v>
      </c>
      <c r="U22">
        <v>10126790.3100753</v>
      </c>
      <c r="V22">
        <v>1690378.5473221501</v>
      </c>
    </row>
    <row r="23" spans="1:22" x14ac:dyDescent="0.3">
      <c r="A23" t="str">
        <f t="shared" si="0"/>
        <v>BRAPPrevisão</v>
      </c>
      <c r="B23" t="str">
        <f t="shared" si="1"/>
        <v>BRAPPrevisãoMar-2023</v>
      </c>
      <c r="C23" t="s">
        <v>313</v>
      </c>
      <c r="D23" t="s">
        <v>314</v>
      </c>
      <c r="E23" t="s">
        <v>315</v>
      </c>
      <c r="F23" t="s">
        <v>736</v>
      </c>
      <c r="G23" t="s">
        <v>737</v>
      </c>
      <c r="H23" t="s">
        <v>738</v>
      </c>
      <c r="I23" t="s">
        <v>739</v>
      </c>
      <c r="J23" t="s">
        <v>739</v>
      </c>
      <c r="K23" s="2">
        <v>45015</v>
      </c>
      <c r="L23">
        <v>1893861.8725712199</v>
      </c>
      <c r="M23">
        <v>8954786.6967006102</v>
      </c>
      <c r="N23">
        <v>1161685.98757266</v>
      </c>
      <c r="O23">
        <v>290172.20342186303</v>
      </c>
      <c r="P23">
        <v>-8954786.6967006102</v>
      </c>
      <c r="Q23">
        <v>791952.33242425497</v>
      </c>
      <c r="R23">
        <v>-3.9382537617818598</v>
      </c>
      <c r="S23">
        <v>-90376.558372739193</v>
      </c>
      <c r="T23">
        <v>3778397.9237975902</v>
      </c>
      <c r="U23">
        <v>10050133.015455</v>
      </c>
      <c r="V23">
        <v>1881644.43184993</v>
      </c>
    </row>
    <row r="24" spans="1:22" x14ac:dyDescent="0.3">
      <c r="A24" t="str">
        <f t="shared" si="0"/>
        <v>BRAPPrevisão</v>
      </c>
      <c r="B24" t="str">
        <f t="shared" si="1"/>
        <v>BRAPPrevisãoJun-2023</v>
      </c>
      <c r="C24" t="s">
        <v>313</v>
      </c>
      <c r="D24" t="s">
        <v>314</v>
      </c>
      <c r="E24" t="s">
        <v>315</v>
      </c>
      <c r="F24" t="s">
        <v>736</v>
      </c>
      <c r="G24" t="s">
        <v>737</v>
      </c>
      <c r="H24" t="s">
        <v>738</v>
      </c>
      <c r="I24" t="s">
        <v>739</v>
      </c>
      <c r="J24" t="s">
        <v>739</v>
      </c>
      <c r="K24" s="2">
        <v>45107</v>
      </c>
      <c r="L24">
        <v>2101329.3955856799</v>
      </c>
      <c r="M24">
        <v>8520506.0868997909</v>
      </c>
      <c r="N24">
        <v>1209327.16368534</v>
      </c>
      <c r="O24">
        <v>378292.67089817999</v>
      </c>
      <c r="P24">
        <v>-8520506.0868997909</v>
      </c>
      <c r="Q24">
        <v>1086674.6028339299</v>
      </c>
      <c r="R24">
        <v>-5.8479474207050401</v>
      </c>
      <c r="S24">
        <v>-119740.15526061</v>
      </c>
      <c r="T24">
        <v>4178048.9841288999</v>
      </c>
      <c r="U24">
        <v>9953658.5785949398</v>
      </c>
      <c r="V24">
        <v>2084972.5547591001</v>
      </c>
    </row>
    <row r="25" spans="1:22" x14ac:dyDescent="0.3">
      <c r="A25" t="str">
        <f t="shared" si="0"/>
        <v>BRAPPrevisão</v>
      </c>
      <c r="B25" t="str">
        <f t="shared" si="1"/>
        <v>BRAPPrevisãoSet-2023</v>
      </c>
      <c r="C25" t="s">
        <v>313</v>
      </c>
      <c r="D25" t="s">
        <v>314</v>
      </c>
      <c r="E25" t="s">
        <v>315</v>
      </c>
      <c r="F25" t="s">
        <v>736</v>
      </c>
      <c r="G25" t="s">
        <v>737</v>
      </c>
      <c r="H25" t="s">
        <v>738</v>
      </c>
      <c r="I25" t="s">
        <v>739</v>
      </c>
      <c r="J25" t="s">
        <v>739</v>
      </c>
      <c r="K25" s="2">
        <v>45199</v>
      </c>
      <c r="L25">
        <v>2321503.8602853902</v>
      </c>
      <c r="M25">
        <v>8041320.6269105198</v>
      </c>
      <c r="N25">
        <v>1260408.7182711801</v>
      </c>
      <c r="O25">
        <v>479284.60814345197</v>
      </c>
      <c r="P25">
        <v>-8041320.6269105198</v>
      </c>
      <c r="Q25">
        <v>1411593.72991078</v>
      </c>
      <c r="R25">
        <v>-8.1356335628843297</v>
      </c>
      <c r="S25">
        <v>-151881.559932809</v>
      </c>
      <c r="T25">
        <v>4616470.11294322</v>
      </c>
      <c r="U25">
        <v>9836261.8017275892</v>
      </c>
      <c r="V25">
        <v>2300624.0830578902</v>
      </c>
    </row>
    <row r="26" spans="1:22" x14ac:dyDescent="0.3">
      <c r="A26" t="str">
        <f t="shared" si="0"/>
        <v>ABEVPrevisão</v>
      </c>
      <c r="B26" t="str">
        <f t="shared" si="1"/>
        <v>ABEVPrevisãoDez-2022</v>
      </c>
      <c r="C26" t="s">
        <v>85</v>
      </c>
      <c r="D26" t="s">
        <v>86</v>
      </c>
      <c r="E26" t="s">
        <v>87</v>
      </c>
      <c r="F26" t="s">
        <v>736</v>
      </c>
      <c r="G26" t="s">
        <v>737</v>
      </c>
      <c r="H26" t="s">
        <v>738</v>
      </c>
      <c r="I26" t="s">
        <v>739</v>
      </c>
      <c r="J26" t="s">
        <v>739</v>
      </c>
      <c r="K26" s="2">
        <v>44925</v>
      </c>
      <c r="L26">
        <v>4292871.1512875902</v>
      </c>
      <c r="M26">
        <v>156541621.23598301</v>
      </c>
      <c r="N26">
        <v>19030197.239817001</v>
      </c>
      <c r="O26">
        <v>3468239.1541696601</v>
      </c>
      <c r="P26">
        <v>-156541621.23598301</v>
      </c>
      <c r="Q26">
        <v>-28207739.865431201</v>
      </c>
      <c r="R26">
        <v>1291590.1978104999</v>
      </c>
      <c r="S26">
        <v>2360469.75920498</v>
      </c>
      <c r="T26">
        <v>35431107.473015703</v>
      </c>
      <c r="U26">
        <v>100192258.209023</v>
      </c>
      <c r="V26">
        <v>11041420.757528501</v>
      </c>
    </row>
    <row r="27" spans="1:22" x14ac:dyDescent="0.3">
      <c r="A27" t="str">
        <f t="shared" si="0"/>
        <v>ABEVPrevisão</v>
      </c>
      <c r="B27" t="str">
        <f t="shared" si="1"/>
        <v>ABEVPrevisãoMar-2023</v>
      </c>
      <c r="C27" t="s">
        <v>85</v>
      </c>
      <c r="D27" t="s">
        <v>86</v>
      </c>
      <c r="E27" t="s">
        <v>87</v>
      </c>
      <c r="F27" t="s">
        <v>736</v>
      </c>
      <c r="G27" t="s">
        <v>737</v>
      </c>
      <c r="H27" t="s">
        <v>738</v>
      </c>
      <c r="I27" t="s">
        <v>739</v>
      </c>
      <c r="J27" t="s">
        <v>739</v>
      </c>
      <c r="K27" s="2">
        <v>45015</v>
      </c>
      <c r="L27">
        <v>4874215.0669612698</v>
      </c>
      <c r="M27">
        <v>168432564.50889701</v>
      </c>
      <c r="N27">
        <v>20871477.6221122</v>
      </c>
      <c r="O27">
        <v>3688573.5100501799</v>
      </c>
      <c r="P27">
        <v>-168432564.50889701</v>
      </c>
      <c r="Q27">
        <v>-32133757.9950644</v>
      </c>
      <c r="R27">
        <v>1442605.91299667</v>
      </c>
      <c r="S27">
        <v>2470828.2672651401</v>
      </c>
      <c r="T27">
        <v>37682943.746917903</v>
      </c>
      <c r="U27">
        <v>106144015.573963</v>
      </c>
      <c r="V27">
        <v>12164883.046156401</v>
      </c>
    </row>
    <row r="28" spans="1:22" x14ac:dyDescent="0.3">
      <c r="A28" t="str">
        <f t="shared" si="0"/>
        <v>ABEVPrevisão</v>
      </c>
      <c r="B28" t="str">
        <f t="shared" si="1"/>
        <v>ABEVPrevisãoJun-2023</v>
      </c>
      <c r="C28" t="s">
        <v>85</v>
      </c>
      <c r="D28" t="s">
        <v>86</v>
      </c>
      <c r="E28" t="s">
        <v>87</v>
      </c>
      <c r="F28" t="s">
        <v>736</v>
      </c>
      <c r="G28" t="s">
        <v>737</v>
      </c>
      <c r="H28" t="s">
        <v>738</v>
      </c>
      <c r="I28" t="s">
        <v>739</v>
      </c>
      <c r="J28" t="s">
        <v>739</v>
      </c>
      <c r="K28" s="2">
        <v>45107</v>
      </c>
      <c r="L28">
        <v>5540307.15394965</v>
      </c>
      <c r="M28">
        <v>181919113.49628699</v>
      </c>
      <c r="N28">
        <v>22994764.489693101</v>
      </c>
      <c r="O28">
        <v>3939957.1995840701</v>
      </c>
      <c r="P28">
        <v>-181919113.49628699</v>
      </c>
      <c r="Q28">
        <v>-36673171.238101996</v>
      </c>
      <c r="R28">
        <v>1609591.2415694101</v>
      </c>
      <c r="S28">
        <v>2597165.1594381598</v>
      </c>
      <c r="T28">
        <v>40009485.592235401</v>
      </c>
      <c r="U28">
        <v>112650231.64555</v>
      </c>
      <c r="V28">
        <v>13430383.535874199</v>
      </c>
    </row>
    <row r="29" spans="1:22" x14ac:dyDescent="0.3">
      <c r="A29" t="str">
        <f t="shared" si="0"/>
        <v>ABEVPrevisão</v>
      </c>
      <c r="B29" t="str">
        <f t="shared" si="1"/>
        <v>ABEVPrevisãoSet-2023</v>
      </c>
      <c r="C29" t="s">
        <v>85</v>
      </c>
      <c r="D29" t="s">
        <v>86</v>
      </c>
      <c r="E29" t="s">
        <v>87</v>
      </c>
      <c r="F29" t="s">
        <v>736</v>
      </c>
      <c r="G29" t="s">
        <v>737</v>
      </c>
      <c r="H29" t="s">
        <v>738</v>
      </c>
      <c r="I29" t="s">
        <v>739</v>
      </c>
      <c r="J29" t="s">
        <v>739</v>
      </c>
      <c r="K29" s="2">
        <v>45199</v>
      </c>
      <c r="L29">
        <v>6296254.7995320996</v>
      </c>
      <c r="M29">
        <v>197107283.273224</v>
      </c>
      <c r="N29">
        <v>25419319.240884401</v>
      </c>
      <c r="O29">
        <v>4224690.4688383099</v>
      </c>
      <c r="P29">
        <v>-197107283.273224</v>
      </c>
      <c r="Q29">
        <v>-41865816.562314302</v>
      </c>
      <c r="R29">
        <v>1793394.4637039399</v>
      </c>
      <c r="S29">
        <v>2740793.34764311</v>
      </c>
      <c r="T29">
        <v>42411135.141007498</v>
      </c>
      <c r="U29">
        <v>119742937.250728</v>
      </c>
      <c r="V29">
        <v>14846485.2489428</v>
      </c>
    </row>
    <row r="30" spans="1:22" x14ac:dyDescent="0.3">
      <c r="A30" t="str">
        <f t="shared" si="0"/>
        <v>CGASPrevisão</v>
      </c>
      <c r="B30" t="str">
        <f t="shared" si="1"/>
        <v>CGASPrevisãoDez-2022</v>
      </c>
      <c r="C30" t="s">
        <v>355</v>
      </c>
      <c r="D30" t="s">
        <v>356</v>
      </c>
      <c r="E30" t="s">
        <v>357</v>
      </c>
      <c r="F30" t="s">
        <v>736</v>
      </c>
      <c r="G30" t="s">
        <v>737</v>
      </c>
      <c r="H30" t="s">
        <v>738</v>
      </c>
      <c r="I30" t="s">
        <v>739</v>
      </c>
      <c r="J30" t="s">
        <v>739</v>
      </c>
      <c r="K30" s="2">
        <v>44925</v>
      </c>
      <c r="L30">
        <v>579487.42390286899</v>
      </c>
      <c r="M30">
        <v>14449642.095919101</v>
      </c>
      <c r="N30">
        <v>5704489.49062018</v>
      </c>
      <c r="O30">
        <v>2085199.64196587</v>
      </c>
      <c r="P30">
        <v>-14449642.095919101</v>
      </c>
      <c r="Q30">
        <v>-3450634.4942705901</v>
      </c>
      <c r="R30">
        <v>1668.6737967848501</v>
      </c>
      <c r="S30">
        <v>437600.47899151099</v>
      </c>
      <c r="T30">
        <v>47221.398947888003</v>
      </c>
      <c r="U30">
        <v>1086172.8947465001</v>
      </c>
      <c r="V30">
        <v>5068515.7088545999</v>
      </c>
    </row>
    <row r="31" spans="1:22" x14ac:dyDescent="0.3">
      <c r="A31" t="str">
        <f t="shared" si="0"/>
        <v>CGASPrevisão</v>
      </c>
      <c r="B31" t="str">
        <f t="shared" si="1"/>
        <v>CGASPrevisãoMar-2023</v>
      </c>
      <c r="C31" t="s">
        <v>355</v>
      </c>
      <c r="D31" t="s">
        <v>356</v>
      </c>
      <c r="E31" t="s">
        <v>357</v>
      </c>
      <c r="F31" t="s">
        <v>736</v>
      </c>
      <c r="G31" t="s">
        <v>737</v>
      </c>
      <c r="H31" t="s">
        <v>738</v>
      </c>
      <c r="I31" t="s">
        <v>739</v>
      </c>
      <c r="J31" t="s">
        <v>739</v>
      </c>
      <c r="K31" s="2">
        <v>45015</v>
      </c>
      <c r="L31">
        <v>619401.13599311002</v>
      </c>
      <c r="M31">
        <v>15236190.2267325</v>
      </c>
      <c r="N31">
        <v>5908644.2396411598</v>
      </c>
      <c r="O31">
        <v>2291386.97099774</v>
      </c>
      <c r="P31">
        <v>-15236190.2267325</v>
      </c>
      <c r="Q31">
        <v>-3528459.1156238001</v>
      </c>
      <c r="R31">
        <v>2570.6051727746699</v>
      </c>
      <c r="S31">
        <v>445572.51404334698</v>
      </c>
      <c r="T31">
        <v>39835.231720393502</v>
      </c>
      <c r="U31">
        <v>1019679.20363389</v>
      </c>
      <c r="V31">
        <v>5619894.7596328501</v>
      </c>
    </row>
    <row r="32" spans="1:22" x14ac:dyDescent="0.3">
      <c r="A32" t="str">
        <f t="shared" si="0"/>
        <v>CGASPrevisão</v>
      </c>
      <c r="B32" t="str">
        <f t="shared" si="1"/>
        <v>CGASPrevisãoJun-2023</v>
      </c>
      <c r="C32" t="s">
        <v>355</v>
      </c>
      <c r="D32" t="s">
        <v>356</v>
      </c>
      <c r="E32" t="s">
        <v>357</v>
      </c>
      <c r="F32" t="s">
        <v>736</v>
      </c>
      <c r="G32" t="s">
        <v>737</v>
      </c>
      <c r="H32" t="s">
        <v>738</v>
      </c>
      <c r="I32" t="s">
        <v>739</v>
      </c>
      <c r="J32" t="s">
        <v>739</v>
      </c>
      <c r="K32" s="2">
        <v>45107</v>
      </c>
      <c r="L32">
        <v>661958.23038648698</v>
      </c>
      <c r="M32">
        <v>16093382.5544104</v>
      </c>
      <c r="N32">
        <v>6117921.8843813399</v>
      </c>
      <c r="O32">
        <v>2515782.9989368799</v>
      </c>
      <c r="P32">
        <v>-16093382.5544104</v>
      </c>
      <c r="Q32">
        <v>-3607238.56738625</v>
      </c>
      <c r="R32">
        <v>3640.96464748362</v>
      </c>
      <c r="S32">
        <v>451774.66363032599</v>
      </c>
      <c r="T32">
        <v>38992.813287499797</v>
      </c>
      <c r="U32">
        <v>963344.91100451397</v>
      </c>
      <c r="V32">
        <v>6223667.7280343501</v>
      </c>
    </row>
    <row r="33" spans="1:22" x14ac:dyDescent="0.3">
      <c r="A33" t="str">
        <f t="shared" si="0"/>
        <v>CGASPrevisão</v>
      </c>
      <c r="B33" t="str">
        <f t="shared" si="1"/>
        <v>CGASPrevisãoSet-2023</v>
      </c>
      <c r="C33" t="s">
        <v>355</v>
      </c>
      <c r="D33" t="s">
        <v>356</v>
      </c>
      <c r="E33" t="s">
        <v>357</v>
      </c>
      <c r="F33" t="s">
        <v>736</v>
      </c>
      <c r="G33" t="s">
        <v>737</v>
      </c>
      <c r="H33" t="s">
        <v>738</v>
      </c>
      <c r="I33" t="s">
        <v>739</v>
      </c>
      <c r="J33" t="s">
        <v>739</v>
      </c>
      <c r="K33" s="2">
        <v>45199</v>
      </c>
      <c r="L33">
        <v>707258.75493795006</v>
      </c>
      <c r="M33">
        <v>17024769.819710702</v>
      </c>
      <c r="N33">
        <v>6332459.2751173498</v>
      </c>
      <c r="O33">
        <v>2759145.9279809101</v>
      </c>
      <c r="P33">
        <v>-17024769.819710702</v>
      </c>
      <c r="Q33">
        <v>-3686973.0208787099</v>
      </c>
      <c r="R33">
        <v>4888.9952137150804</v>
      </c>
      <c r="S33">
        <v>456062.998792528</v>
      </c>
      <c r="T33">
        <v>45181.914929394101</v>
      </c>
      <c r="U33">
        <v>918289.51754644501</v>
      </c>
      <c r="V33">
        <v>6882127.8138836501</v>
      </c>
    </row>
    <row r="34" spans="1:22" x14ac:dyDescent="0.3">
      <c r="A34" t="str">
        <f t="shared" si="0"/>
        <v>HBTSPrevisão</v>
      </c>
      <c r="B34" t="str">
        <f t="shared" si="1"/>
        <v>HBTSPrevisãoDez-2022</v>
      </c>
      <c r="C34" t="s">
        <v>282</v>
      </c>
      <c r="D34" t="s">
        <v>283</v>
      </c>
      <c r="E34" t="s">
        <v>284</v>
      </c>
      <c r="F34" t="s">
        <v>736</v>
      </c>
      <c r="G34" t="s">
        <v>737</v>
      </c>
      <c r="H34" t="s">
        <v>738</v>
      </c>
      <c r="I34" t="s">
        <v>739</v>
      </c>
      <c r="J34" t="s">
        <v>739</v>
      </c>
      <c r="K34" s="2">
        <v>44925</v>
      </c>
      <c r="L34">
        <v>69345.867583394007</v>
      </c>
      <c r="M34">
        <v>814240.68941525801</v>
      </c>
      <c r="N34">
        <v>59268.856463797601</v>
      </c>
      <c r="O34">
        <v>430.22756981582802</v>
      </c>
      <c r="P34">
        <v>-814240.68941525801</v>
      </c>
      <c r="Q34">
        <v>-142955.05305152101</v>
      </c>
      <c r="R34">
        <v>173.96918767508799</v>
      </c>
      <c r="S34">
        <v>62.767252355506002</v>
      </c>
      <c r="T34">
        <v>152485.207961988</v>
      </c>
      <c r="U34">
        <v>586722.03930056503</v>
      </c>
      <c r="V34">
        <v>70611.569136748207</v>
      </c>
    </row>
    <row r="35" spans="1:22" x14ac:dyDescent="0.3">
      <c r="A35" t="str">
        <f t="shared" si="0"/>
        <v>HBTSPrevisão</v>
      </c>
      <c r="B35" t="str">
        <f t="shared" si="1"/>
        <v>HBTSPrevisãoMar-2023</v>
      </c>
      <c r="C35" t="s">
        <v>282</v>
      </c>
      <c r="D35" t="s">
        <v>283</v>
      </c>
      <c r="E35" t="s">
        <v>284</v>
      </c>
      <c r="F35" t="s">
        <v>736</v>
      </c>
      <c r="G35" t="s">
        <v>737</v>
      </c>
      <c r="H35" t="s">
        <v>738</v>
      </c>
      <c r="I35" t="s">
        <v>739</v>
      </c>
      <c r="J35" t="s">
        <v>739</v>
      </c>
      <c r="K35" s="2">
        <v>45015</v>
      </c>
      <c r="L35">
        <v>82392.533093824502</v>
      </c>
      <c r="M35">
        <v>897746.32469838404</v>
      </c>
      <c r="N35">
        <v>67499.6058082534</v>
      </c>
      <c r="O35">
        <v>389.72752508048399</v>
      </c>
      <c r="P35">
        <v>-897746.32469838404</v>
      </c>
      <c r="Q35">
        <v>-153554.68801803701</v>
      </c>
      <c r="R35">
        <v>205.04966310851</v>
      </c>
      <c r="S35">
        <v>62.036304448091698</v>
      </c>
      <c r="T35">
        <v>176569.94851079999</v>
      </c>
      <c r="U35">
        <v>652841.28234422801</v>
      </c>
      <c r="V35">
        <v>82971.727603083695</v>
      </c>
    </row>
    <row r="36" spans="1:22" x14ac:dyDescent="0.3">
      <c r="A36" t="str">
        <f t="shared" si="0"/>
        <v>HBTSPrevisão</v>
      </c>
      <c r="B36" t="str">
        <f t="shared" si="1"/>
        <v>HBTSPrevisãoJun-2023</v>
      </c>
      <c r="C36" t="s">
        <v>282</v>
      </c>
      <c r="D36" t="s">
        <v>283</v>
      </c>
      <c r="E36" t="s">
        <v>284</v>
      </c>
      <c r="F36" t="s">
        <v>736</v>
      </c>
      <c r="G36" t="s">
        <v>737</v>
      </c>
      <c r="H36" t="s">
        <v>738</v>
      </c>
      <c r="I36" t="s">
        <v>739</v>
      </c>
      <c r="J36" t="s">
        <v>739</v>
      </c>
      <c r="K36" s="2">
        <v>45107</v>
      </c>
      <c r="L36">
        <v>96652.025906286595</v>
      </c>
      <c r="M36">
        <v>990318.00779435202</v>
      </c>
      <c r="N36">
        <v>76437.090722664507</v>
      </c>
      <c r="O36">
        <v>341.475657515916</v>
      </c>
      <c r="P36">
        <v>-990318.00779435202</v>
      </c>
      <c r="Q36">
        <v>-164655.40138477401</v>
      </c>
      <c r="R36">
        <v>239.18932466303801</v>
      </c>
      <c r="S36">
        <v>60.790162644679199</v>
      </c>
      <c r="T36">
        <v>205151.60337350899</v>
      </c>
      <c r="U36">
        <v>727244.75274846295</v>
      </c>
      <c r="V36">
        <v>96436.147966031</v>
      </c>
    </row>
    <row r="37" spans="1:22" x14ac:dyDescent="0.3">
      <c r="A37" t="str">
        <f t="shared" si="0"/>
        <v>HBTSPrevisão</v>
      </c>
      <c r="B37" t="str">
        <f t="shared" si="1"/>
        <v>HBTSPrevisãoSet-2023</v>
      </c>
      <c r="C37" t="s">
        <v>282</v>
      </c>
      <c r="D37" t="s">
        <v>283</v>
      </c>
      <c r="E37" t="s">
        <v>284</v>
      </c>
      <c r="F37" t="s">
        <v>736</v>
      </c>
      <c r="G37" t="s">
        <v>737</v>
      </c>
      <c r="H37" t="s">
        <v>738</v>
      </c>
      <c r="I37" t="s">
        <v>739</v>
      </c>
      <c r="J37" t="s">
        <v>739</v>
      </c>
      <c r="K37" s="2">
        <v>45199</v>
      </c>
      <c r="L37">
        <v>112172.940884344</v>
      </c>
      <c r="M37">
        <v>1092353.6124076699</v>
      </c>
      <c r="N37">
        <v>86109.252095742893</v>
      </c>
      <c r="O37">
        <v>285.06944125520198</v>
      </c>
      <c r="P37">
        <v>-1092353.6124076699</v>
      </c>
      <c r="Q37">
        <v>-176267.139552462</v>
      </c>
      <c r="R37">
        <v>276.51986177996002</v>
      </c>
      <c r="S37">
        <v>58.9930128723026</v>
      </c>
      <c r="T37">
        <v>238479.167680062</v>
      </c>
      <c r="U37">
        <v>810317.86134792503</v>
      </c>
      <c r="V37">
        <v>111047.736735057</v>
      </c>
    </row>
    <row r="38" spans="1:22" x14ac:dyDescent="0.3">
      <c r="A38" t="str">
        <f t="shared" si="0"/>
        <v>DEXPPrevisão</v>
      </c>
      <c r="B38" t="str">
        <f t="shared" si="1"/>
        <v>DEXPPrevisãoDez-2022</v>
      </c>
      <c r="C38" t="s">
        <v>352</v>
      </c>
      <c r="D38" t="s">
        <v>353</v>
      </c>
      <c r="E38" t="s">
        <v>354</v>
      </c>
      <c r="F38" t="s">
        <v>736</v>
      </c>
      <c r="G38" t="s">
        <v>737</v>
      </c>
      <c r="H38" t="s">
        <v>738</v>
      </c>
      <c r="I38" t="s">
        <v>739</v>
      </c>
      <c r="J38" t="s">
        <v>739</v>
      </c>
      <c r="K38" s="2">
        <v>44925</v>
      </c>
      <c r="L38">
        <v>55840.488753069803</v>
      </c>
      <c r="M38">
        <v>721012.45768613601</v>
      </c>
      <c r="N38">
        <v>15282.6370426955</v>
      </c>
      <c r="O38">
        <v>-435.42959001757799</v>
      </c>
      <c r="P38">
        <v>-721012.45768613601</v>
      </c>
      <c r="Q38">
        <v>-57187.7157287031</v>
      </c>
      <c r="R38">
        <v>0</v>
      </c>
      <c r="S38">
        <v>407.78219166464999</v>
      </c>
      <c r="T38">
        <v>258569.644767024</v>
      </c>
      <c r="U38">
        <v>637393.62651721097</v>
      </c>
      <c r="V38">
        <v>57671.876920461</v>
      </c>
    </row>
    <row r="39" spans="1:22" x14ac:dyDescent="0.3">
      <c r="A39" t="str">
        <f t="shared" si="0"/>
        <v>DEXPPrevisão</v>
      </c>
      <c r="B39" t="str">
        <f t="shared" si="1"/>
        <v>DEXPPrevisãoMar-2023</v>
      </c>
      <c r="C39" t="s">
        <v>352</v>
      </c>
      <c r="D39" t="s">
        <v>353</v>
      </c>
      <c r="E39" t="s">
        <v>354</v>
      </c>
      <c r="F39" t="s">
        <v>736</v>
      </c>
      <c r="G39" t="s">
        <v>737</v>
      </c>
      <c r="H39" t="s">
        <v>738</v>
      </c>
      <c r="I39" t="s">
        <v>739</v>
      </c>
      <c r="J39" t="s">
        <v>739</v>
      </c>
      <c r="K39" s="2">
        <v>45015</v>
      </c>
      <c r="L39">
        <v>59067.802691911304</v>
      </c>
      <c r="M39">
        <v>784091.87419966504</v>
      </c>
      <c r="N39">
        <v>16691.3306675655</v>
      </c>
      <c r="O39">
        <v>-1810.7795304850899</v>
      </c>
      <c r="P39">
        <v>-784091.87419966504</v>
      </c>
      <c r="Q39">
        <v>-70096.503614376197</v>
      </c>
      <c r="R39">
        <v>0</v>
      </c>
      <c r="S39">
        <v>428.38662115148298</v>
      </c>
      <c r="T39">
        <v>299557.94737750897</v>
      </c>
      <c r="U39">
        <v>697761.75181055302</v>
      </c>
      <c r="V39">
        <v>61043.665453071597</v>
      </c>
    </row>
    <row r="40" spans="1:22" x14ac:dyDescent="0.3">
      <c r="A40" t="str">
        <f t="shared" si="0"/>
        <v>DEXPPrevisão</v>
      </c>
      <c r="B40" t="str">
        <f t="shared" si="1"/>
        <v>DEXPPrevisãoJun-2023</v>
      </c>
      <c r="C40" t="s">
        <v>352</v>
      </c>
      <c r="D40" t="s">
        <v>353</v>
      </c>
      <c r="E40" t="s">
        <v>354</v>
      </c>
      <c r="F40" t="s">
        <v>736</v>
      </c>
      <c r="G40" t="s">
        <v>737</v>
      </c>
      <c r="H40" t="s">
        <v>738</v>
      </c>
      <c r="I40" t="s">
        <v>739</v>
      </c>
      <c r="J40" t="s">
        <v>739</v>
      </c>
      <c r="K40" s="2">
        <v>45107</v>
      </c>
      <c r="L40">
        <v>62200.287732375698</v>
      </c>
      <c r="M40">
        <v>850848.62652019097</v>
      </c>
      <c r="N40">
        <v>18203.7698715154</v>
      </c>
      <c r="O40">
        <v>-3336.36575286997</v>
      </c>
      <c r="P40">
        <v>-850848.62652019097</v>
      </c>
      <c r="Q40">
        <v>-84894.511591035101</v>
      </c>
      <c r="R40">
        <v>0</v>
      </c>
      <c r="S40">
        <v>456.74021397881597</v>
      </c>
      <c r="T40">
        <v>344305.16584462498</v>
      </c>
      <c r="U40">
        <v>761281.54157508805</v>
      </c>
      <c r="V40">
        <v>64341.304306309299</v>
      </c>
    </row>
    <row r="41" spans="1:22" x14ac:dyDescent="0.3">
      <c r="A41" t="str">
        <f t="shared" si="0"/>
        <v>DEXPPrevisão</v>
      </c>
      <c r="B41" t="str">
        <f t="shared" si="1"/>
        <v>DEXPPrevisãoSet-2023</v>
      </c>
      <c r="C41" t="s">
        <v>352</v>
      </c>
      <c r="D41" t="s">
        <v>353</v>
      </c>
      <c r="E41" t="s">
        <v>354</v>
      </c>
      <c r="F41" t="s">
        <v>736</v>
      </c>
      <c r="G41" t="s">
        <v>737</v>
      </c>
      <c r="H41" t="s">
        <v>738</v>
      </c>
      <c r="I41" t="s">
        <v>739</v>
      </c>
      <c r="J41" t="s">
        <v>739</v>
      </c>
      <c r="K41" s="2">
        <v>45199</v>
      </c>
      <c r="L41">
        <v>65223.437593993804</v>
      </c>
      <c r="M41">
        <v>921357.19299990998</v>
      </c>
      <c r="N41">
        <v>19823.311910803499</v>
      </c>
      <c r="O41">
        <v>-5018.1487522318203</v>
      </c>
      <c r="P41">
        <v>-921357.19299990998</v>
      </c>
      <c r="Q41">
        <v>-101683.67672597201</v>
      </c>
      <c r="R41">
        <v>0</v>
      </c>
      <c r="S41">
        <v>493.41597899520201</v>
      </c>
      <c r="T41">
        <v>392965.809120722</v>
      </c>
      <c r="U41">
        <v>827993.68549954996</v>
      </c>
      <c r="V41">
        <v>67551.512349382494</v>
      </c>
    </row>
    <row r="42" spans="1:22" x14ac:dyDescent="0.3">
      <c r="A42" t="str">
        <f t="shared" si="0"/>
        <v>BBSEPrevisão</v>
      </c>
      <c r="B42" t="str">
        <f t="shared" si="1"/>
        <v>BBSEPrevisãoDez-2022</v>
      </c>
      <c r="C42" t="s">
        <v>361</v>
      </c>
      <c r="D42" t="s">
        <v>362</v>
      </c>
      <c r="E42" t="s">
        <v>360</v>
      </c>
      <c r="F42" t="s">
        <v>736</v>
      </c>
      <c r="G42" t="s">
        <v>737</v>
      </c>
      <c r="H42" t="s">
        <v>738</v>
      </c>
      <c r="I42" t="s">
        <v>739</v>
      </c>
      <c r="J42" t="s">
        <v>739</v>
      </c>
      <c r="K42" s="2">
        <v>44925</v>
      </c>
      <c r="L42">
        <v>1370751.15270936</v>
      </c>
      <c r="M42">
        <v>8947907.3784730304</v>
      </c>
      <c r="N42">
        <v>-616687.58547697496</v>
      </c>
      <c r="O42">
        <v>0</v>
      </c>
      <c r="P42">
        <v>-8947907.3784730304</v>
      </c>
      <c r="Q42">
        <v>-430946.03079739102</v>
      </c>
      <c r="R42">
        <v>0</v>
      </c>
      <c r="S42">
        <v>0</v>
      </c>
      <c r="T42">
        <v>1978636.8856416</v>
      </c>
      <c r="U42">
        <v>8516946.0803898107</v>
      </c>
      <c r="V42">
        <v>0</v>
      </c>
    </row>
    <row r="43" spans="1:22" x14ac:dyDescent="0.3">
      <c r="A43" t="str">
        <f t="shared" si="0"/>
        <v>BBSEPrevisão</v>
      </c>
      <c r="B43" t="str">
        <f t="shared" si="1"/>
        <v>BBSEPrevisãoMar-2023</v>
      </c>
      <c r="C43" t="s">
        <v>361</v>
      </c>
      <c r="D43" t="s">
        <v>362</v>
      </c>
      <c r="E43" t="s">
        <v>360</v>
      </c>
      <c r="F43" t="s">
        <v>736</v>
      </c>
      <c r="G43" t="s">
        <v>737</v>
      </c>
      <c r="H43" t="s">
        <v>738</v>
      </c>
      <c r="I43" t="s">
        <v>739</v>
      </c>
      <c r="J43" t="s">
        <v>739</v>
      </c>
      <c r="K43" s="2">
        <v>45015</v>
      </c>
      <c r="L43">
        <v>1417612.4458922599</v>
      </c>
      <c r="M43">
        <v>9229622.0029060598</v>
      </c>
      <c r="N43">
        <v>-1242429.25657535</v>
      </c>
      <c r="O43">
        <v>0</v>
      </c>
      <c r="P43">
        <v>-9229622.0029060598</v>
      </c>
      <c r="Q43">
        <v>-336518.07818691898</v>
      </c>
      <c r="R43">
        <v>0</v>
      </c>
      <c r="S43">
        <v>0</v>
      </c>
      <c r="T43">
        <v>1928878.8542134201</v>
      </c>
      <c r="U43">
        <v>8893102.5075667892</v>
      </c>
      <c r="V43">
        <v>0</v>
      </c>
    </row>
    <row r="44" spans="1:22" x14ac:dyDescent="0.3">
      <c r="A44" t="str">
        <f t="shared" si="0"/>
        <v>BBSEPrevisão</v>
      </c>
      <c r="B44" t="str">
        <f t="shared" si="1"/>
        <v>BBSEPrevisãoJun-2023</v>
      </c>
      <c r="C44" t="s">
        <v>361</v>
      </c>
      <c r="D44" t="s">
        <v>362</v>
      </c>
      <c r="E44" t="s">
        <v>360</v>
      </c>
      <c r="F44" t="s">
        <v>736</v>
      </c>
      <c r="G44" t="s">
        <v>737</v>
      </c>
      <c r="H44" t="s">
        <v>738</v>
      </c>
      <c r="I44" t="s">
        <v>739</v>
      </c>
      <c r="J44" t="s">
        <v>739</v>
      </c>
      <c r="K44" s="2">
        <v>45107</v>
      </c>
      <c r="L44">
        <v>1471770.8301883</v>
      </c>
      <c r="M44">
        <v>9579909.1518593095</v>
      </c>
      <c r="N44">
        <v>-1946958.19475179</v>
      </c>
      <c r="O44">
        <v>0</v>
      </c>
      <c r="P44">
        <v>-9579909.1518593095</v>
      </c>
      <c r="Q44">
        <v>-230313.64295245599</v>
      </c>
      <c r="R44">
        <v>0</v>
      </c>
      <c r="S44">
        <v>0</v>
      </c>
      <c r="T44">
        <v>1885725.49624737</v>
      </c>
      <c r="U44">
        <v>9349610.52187985</v>
      </c>
      <c r="V44">
        <v>0</v>
      </c>
    </row>
    <row r="45" spans="1:22" x14ac:dyDescent="0.3">
      <c r="A45" t="str">
        <f t="shared" si="0"/>
        <v>BBSEPrevisão</v>
      </c>
      <c r="B45" t="str">
        <f t="shared" si="1"/>
        <v>BBSEPrevisãoSet-2023</v>
      </c>
      <c r="C45" t="s">
        <v>361</v>
      </c>
      <c r="D45" t="s">
        <v>362</v>
      </c>
      <c r="E45" t="s">
        <v>360</v>
      </c>
      <c r="F45" t="s">
        <v>736</v>
      </c>
      <c r="G45" t="s">
        <v>737</v>
      </c>
      <c r="H45" t="s">
        <v>738</v>
      </c>
      <c r="I45" t="s">
        <v>739</v>
      </c>
      <c r="J45" t="s">
        <v>739</v>
      </c>
      <c r="K45" s="2">
        <v>45199</v>
      </c>
      <c r="L45">
        <v>1533814.6810904599</v>
      </c>
      <c r="M45">
        <v>10004242.9268873</v>
      </c>
      <c r="N45">
        <v>-2734072.0222010701</v>
      </c>
      <c r="O45">
        <v>0</v>
      </c>
      <c r="P45">
        <v>-10004242.9268873</v>
      </c>
      <c r="Q45">
        <v>-111891.615516113</v>
      </c>
      <c r="R45">
        <v>0</v>
      </c>
      <c r="S45">
        <v>0</v>
      </c>
      <c r="T45">
        <v>1850559.45642958</v>
      </c>
      <c r="U45">
        <v>9892385.4932695907</v>
      </c>
      <c r="V45">
        <v>0</v>
      </c>
    </row>
    <row r="46" spans="1:22" x14ac:dyDescent="0.3">
      <c r="A46" t="str">
        <f t="shared" si="0"/>
        <v>APERPrevisão</v>
      </c>
      <c r="B46" t="str">
        <f t="shared" si="1"/>
        <v>APERPrevisãoDez-2022</v>
      </c>
      <c r="C46" t="s">
        <v>358</v>
      </c>
      <c r="D46" t="s">
        <v>359</v>
      </c>
      <c r="E46" t="s">
        <v>360</v>
      </c>
      <c r="F46" t="s">
        <v>736</v>
      </c>
      <c r="G46" t="s">
        <v>737</v>
      </c>
      <c r="H46" t="s">
        <v>738</v>
      </c>
      <c r="I46" t="s">
        <v>739</v>
      </c>
      <c r="J46" t="s">
        <v>739</v>
      </c>
      <c r="K46" s="2">
        <v>44925</v>
      </c>
      <c r="L46">
        <v>17554.296154819</v>
      </c>
      <c r="M46">
        <v>939939.01943838503</v>
      </c>
      <c r="N46">
        <v>189209.60410840501</v>
      </c>
      <c r="O46">
        <v>46288.6370426957</v>
      </c>
      <c r="P46">
        <v>-939939.01943838503</v>
      </c>
      <c r="Q46">
        <v>-147396.30472799999</v>
      </c>
      <c r="R46">
        <v>13800.136406075901</v>
      </c>
      <c r="S46">
        <v>8416.78686019827</v>
      </c>
      <c r="T46">
        <v>3392.6813513921902</v>
      </c>
      <c r="U46">
        <v>551942.60741849605</v>
      </c>
      <c r="V46">
        <v>45424.473389344501</v>
      </c>
    </row>
    <row r="47" spans="1:22" x14ac:dyDescent="0.3">
      <c r="A47" t="str">
        <f t="shared" si="0"/>
        <v>APERPrevisão</v>
      </c>
      <c r="B47" t="str">
        <f t="shared" si="1"/>
        <v>APERPrevisãoMar-2023</v>
      </c>
      <c r="C47" t="s">
        <v>358</v>
      </c>
      <c r="D47" t="s">
        <v>359</v>
      </c>
      <c r="E47" t="s">
        <v>360</v>
      </c>
      <c r="F47" t="s">
        <v>736</v>
      </c>
      <c r="G47" t="s">
        <v>737</v>
      </c>
      <c r="H47" t="s">
        <v>738</v>
      </c>
      <c r="I47" t="s">
        <v>739</v>
      </c>
      <c r="J47" t="s">
        <v>739</v>
      </c>
      <c r="K47" s="2">
        <v>45015</v>
      </c>
      <c r="L47">
        <v>22074.463595748701</v>
      </c>
      <c r="M47">
        <v>1108778.0311177999</v>
      </c>
      <c r="N47">
        <v>202811.41779604001</v>
      </c>
      <c r="O47">
        <v>52260.461033225998</v>
      </c>
      <c r="P47">
        <v>-1108778.0311177999</v>
      </c>
      <c r="Q47">
        <v>-174058.83674818699</v>
      </c>
      <c r="R47">
        <v>14633.311162956599</v>
      </c>
      <c r="S47">
        <v>9396.2706900937992</v>
      </c>
      <c r="T47">
        <v>9902.3703444496605</v>
      </c>
      <c r="U47">
        <v>645858.13987225504</v>
      </c>
      <c r="V47">
        <v>49247.970020426401</v>
      </c>
    </row>
    <row r="48" spans="1:22" x14ac:dyDescent="0.3">
      <c r="A48" t="str">
        <f t="shared" si="0"/>
        <v>APERPrevisão</v>
      </c>
      <c r="B48" t="str">
        <f t="shared" si="1"/>
        <v>APERPrevisãoJun-2023</v>
      </c>
      <c r="C48" t="s">
        <v>358</v>
      </c>
      <c r="D48" t="s">
        <v>359</v>
      </c>
      <c r="E48" t="s">
        <v>360</v>
      </c>
      <c r="F48" t="s">
        <v>736</v>
      </c>
      <c r="G48" t="s">
        <v>737</v>
      </c>
      <c r="H48" t="s">
        <v>738</v>
      </c>
      <c r="I48" t="s">
        <v>739</v>
      </c>
      <c r="J48" t="s">
        <v>739</v>
      </c>
      <c r="K48" s="2">
        <v>45107</v>
      </c>
      <c r="L48">
        <v>27001.719938655599</v>
      </c>
      <c r="M48">
        <v>1299169.18179011</v>
      </c>
      <c r="N48">
        <v>216284.464064331</v>
      </c>
      <c r="O48">
        <v>58714.956104188997</v>
      </c>
      <c r="P48">
        <v>-1299169.18179011</v>
      </c>
      <c r="Q48">
        <v>-203801.383489742</v>
      </c>
      <c r="R48">
        <v>15517.859121956601</v>
      </c>
      <c r="S48">
        <v>10453.1088050371</v>
      </c>
      <c r="T48">
        <v>18745.9844773566</v>
      </c>
      <c r="U48">
        <v>752545.68291072105</v>
      </c>
      <c r="V48">
        <v>53192.662654233398</v>
      </c>
    </row>
    <row r="49" spans="1:22" x14ac:dyDescent="0.3">
      <c r="A49" t="str">
        <f t="shared" si="0"/>
        <v>APERPrevisão</v>
      </c>
      <c r="B49" t="str">
        <f t="shared" si="1"/>
        <v>APERPrevisãoSet-2023</v>
      </c>
      <c r="C49" t="s">
        <v>358</v>
      </c>
      <c r="D49" t="s">
        <v>359</v>
      </c>
      <c r="E49" t="s">
        <v>360</v>
      </c>
      <c r="F49" t="s">
        <v>736</v>
      </c>
      <c r="G49" t="s">
        <v>737</v>
      </c>
      <c r="H49" t="s">
        <v>738</v>
      </c>
      <c r="I49" t="s">
        <v>739</v>
      </c>
      <c r="J49" t="s">
        <v>739</v>
      </c>
      <c r="K49" s="2">
        <v>45199</v>
      </c>
      <c r="L49">
        <v>32346.852555401299</v>
      </c>
      <c r="M49">
        <v>1512160.4745125901</v>
      </c>
      <c r="N49">
        <v>229538.95219805601</v>
      </c>
      <c r="O49">
        <v>65670.019513859705</v>
      </c>
      <c r="P49">
        <v>-1512160.4745125901</v>
      </c>
      <c r="Q49">
        <v>-236769.11862635001</v>
      </c>
      <c r="R49">
        <v>16456.079377988099</v>
      </c>
      <c r="S49">
        <v>11590.091175301101</v>
      </c>
      <c r="T49">
        <v>30081.917035775801</v>
      </c>
      <c r="U49">
        <v>872639.77962207003</v>
      </c>
      <c r="V49">
        <v>57254.144812603503</v>
      </c>
    </row>
    <row r="50" spans="1:22" x14ac:dyDescent="0.3">
      <c r="A50" t="str">
        <f t="shared" si="0"/>
        <v>HOOTPrevisão</v>
      </c>
      <c r="B50" t="str">
        <f t="shared" si="1"/>
        <v>HOOTPrevisãoDez-2022</v>
      </c>
      <c r="C50" t="s">
        <v>482</v>
      </c>
      <c r="D50" t="s">
        <v>483</v>
      </c>
      <c r="E50" t="s">
        <v>481</v>
      </c>
      <c r="F50" t="s">
        <v>736</v>
      </c>
      <c r="G50" t="s">
        <v>737</v>
      </c>
      <c r="H50" t="s">
        <v>738</v>
      </c>
      <c r="I50" t="s">
        <v>739</v>
      </c>
      <c r="J50" t="s">
        <v>739</v>
      </c>
      <c r="K50" s="2">
        <v>44925</v>
      </c>
      <c r="L50">
        <v>63116.8179271513</v>
      </c>
      <c r="M50">
        <v>565755.996689611</v>
      </c>
      <c r="N50">
        <v>32919.166030057997</v>
      </c>
      <c r="O50">
        <v>16315.6489262334</v>
      </c>
      <c r="P50">
        <v>-565755.996689611</v>
      </c>
      <c r="Q50">
        <v>-489986.91919184098</v>
      </c>
      <c r="R50">
        <v>0</v>
      </c>
      <c r="S50">
        <v>447601.60427798203</v>
      </c>
      <c r="T50">
        <v>0</v>
      </c>
      <c r="U50">
        <v>-509904.09557765099</v>
      </c>
      <c r="V50">
        <v>21598.569476266501</v>
      </c>
    </row>
    <row r="51" spans="1:22" x14ac:dyDescent="0.3">
      <c r="A51" t="str">
        <f t="shared" si="0"/>
        <v>HOOTPrevisão</v>
      </c>
      <c r="B51" t="str">
        <f t="shared" si="1"/>
        <v>HOOTPrevisãoMar-2023</v>
      </c>
      <c r="C51" t="s">
        <v>482</v>
      </c>
      <c r="D51" t="s">
        <v>483</v>
      </c>
      <c r="E51" t="s">
        <v>481</v>
      </c>
      <c r="F51" t="s">
        <v>736</v>
      </c>
      <c r="G51" t="s">
        <v>737</v>
      </c>
      <c r="H51" t="s">
        <v>738</v>
      </c>
      <c r="I51" t="s">
        <v>739</v>
      </c>
      <c r="J51" t="s">
        <v>739</v>
      </c>
      <c r="K51" s="2">
        <v>45015</v>
      </c>
      <c r="L51">
        <v>78813.022863179795</v>
      </c>
      <c r="M51">
        <v>573511.61542064801</v>
      </c>
      <c r="N51">
        <v>34778.579935179601</v>
      </c>
      <c r="O51">
        <v>17378.361546415501</v>
      </c>
      <c r="P51">
        <v>-573511.61542064801</v>
      </c>
      <c r="Q51">
        <v>-456335.93394071201</v>
      </c>
      <c r="R51">
        <v>0</v>
      </c>
      <c r="S51">
        <v>446501.37994055898</v>
      </c>
      <c r="T51">
        <v>0</v>
      </c>
      <c r="U51">
        <v>-533858.44900746702</v>
      </c>
      <c r="V51">
        <v>24721.514183388201</v>
      </c>
    </row>
    <row r="52" spans="1:22" x14ac:dyDescent="0.3">
      <c r="A52" t="str">
        <f t="shared" si="0"/>
        <v>HOOTPrevisão</v>
      </c>
      <c r="B52" t="str">
        <f t="shared" si="1"/>
        <v>HOOTPrevisãoJun-2023</v>
      </c>
      <c r="C52" t="s">
        <v>482</v>
      </c>
      <c r="D52" t="s">
        <v>483</v>
      </c>
      <c r="E52" t="s">
        <v>481</v>
      </c>
      <c r="F52" t="s">
        <v>736</v>
      </c>
      <c r="G52" t="s">
        <v>737</v>
      </c>
      <c r="H52" t="s">
        <v>738</v>
      </c>
      <c r="I52" t="s">
        <v>739</v>
      </c>
      <c r="J52" t="s">
        <v>739</v>
      </c>
      <c r="K52" s="2">
        <v>45107</v>
      </c>
      <c r="L52">
        <v>96243.134848230096</v>
      </c>
      <c r="M52">
        <v>582259.01856321399</v>
      </c>
      <c r="N52">
        <v>36942.835719171198</v>
      </c>
      <c r="O52">
        <v>18527.4184414341</v>
      </c>
      <c r="P52">
        <v>-582259.01856321399</v>
      </c>
      <c r="Q52">
        <v>-415398.41826791997</v>
      </c>
      <c r="R52">
        <v>0</v>
      </c>
      <c r="S52">
        <v>442187.318262638</v>
      </c>
      <c r="T52">
        <v>0</v>
      </c>
      <c r="U52">
        <v>-557637.94850051706</v>
      </c>
      <c r="V52">
        <v>28463.121282144501</v>
      </c>
    </row>
    <row r="53" spans="1:22" x14ac:dyDescent="0.3">
      <c r="A53" t="str">
        <f t="shared" si="0"/>
        <v>HOOTPrevisão</v>
      </c>
      <c r="B53" t="str">
        <f t="shared" si="1"/>
        <v>HOOTPrevisãoSet-2023</v>
      </c>
      <c r="C53" t="s">
        <v>482</v>
      </c>
      <c r="D53" t="s">
        <v>483</v>
      </c>
      <c r="E53" t="s">
        <v>481</v>
      </c>
      <c r="F53" t="s">
        <v>736</v>
      </c>
      <c r="G53" t="s">
        <v>737</v>
      </c>
      <c r="H53" t="s">
        <v>738</v>
      </c>
      <c r="I53" t="s">
        <v>739</v>
      </c>
      <c r="J53" t="s">
        <v>739</v>
      </c>
      <c r="K53" s="2">
        <v>45199</v>
      </c>
      <c r="L53">
        <v>115486.07531576201</v>
      </c>
      <c r="M53">
        <v>592054.26205707295</v>
      </c>
      <c r="N53">
        <v>39428.438791163397</v>
      </c>
      <c r="O53">
        <v>19763.667516588899</v>
      </c>
      <c r="P53">
        <v>-592054.26205707295</v>
      </c>
      <c r="Q53">
        <v>-366771.789039289</v>
      </c>
      <c r="R53">
        <v>0</v>
      </c>
      <c r="S53">
        <v>434448.18109949201</v>
      </c>
      <c r="T53">
        <v>0</v>
      </c>
      <c r="U53">
        <v>-581171.12119016098</v>
      </c>
      <c r="V53">
        <v>32858.382654239504</v>
      </c>
    </row>
    <row r="54" spans="1:22" x14ac:dyDescent="0.3">
      <c r="A54" t="str">
        <f t="shared" si="0"/>
        <v>CVCBPrevisão</v>
      </c>
      <c r="B54" t="str">
        <f t="shared" si="1"/>
        <v>CVCBPrevisãoDez-2022</v>
      </c>
      <c r="C54" t="s">
        <v>479</v>
      </c>
      <c r="D54" t="s">
        <v>480</v>
      </c>
      <c r="E54" t="s">
        <v>481</v>
      </c>
      <c r="F54" t="s">
        <v>736</v>
      </c>
      <c r="G54" t="s">
        <v>737</v>
      </c>
      <c r="H54" t="s">
        <v>738</v>
      </c>
      <c r="I54" t="s">
        <v>739</v>
      </c>
      <c r="J54" t="s">
        <v>739</v>
      </c>
      <c r="K54" s="2">
        <v>44925</v>
      </c>
      <c r="L54">
        <v>-57968.473380608099</v>
      </c>
      <c r="M54">
        <v>2499771.5534025701</v>
      </c>
      <c r="N54">
        <v>627297.93917168304</v>
      </c>
      <c r="O54">
        <v>-221977.38985584199</v>
      </c>
      <c r="P54">
        <v>-2499771.5534025701</v>
      </c>
      <c r="Q54">
        <v>-2107700.0066046598</v>
      </c>
      <c r="R54">
        <v>133521.96632001299</v>
      </c>
      <c r="S54">
        <v>-24779.010253601598</v>
      </c>
      <c r="T54">
        <v>-310737.40218938002</v>
      </c>
      <c r="U54">
        <v>136077.98576897601</v>
      </c>
      <c r="V54">
        <v>106541.748184631</v>
      </c>
    </row>
    <row r="55" spans="1:22" x14ac:dyDescent="0.3">
      <c r="A55" t="str">
        <f t="shared" si="0"/>
        <v>CVCBPrevisão</v>
      </c>
      <c r="B55" t="str">
        <f t="shared" si="1"/>
        <v>CVCBPrevisãoMar-2023</v>
      </c>
      <c r="C55" t="s">
        <v>479</v>
      </c>
      <c r="D55" t="s">
        <v>480</v>
      </c>
      <c r="E55" t="s">
        <v>481</v>
      </c>
      <c r="F55" t="s">
        <v>736</v>
      </c>
      <c r="G55" t="s">
        <v>737</v>
      </c>
      <c r="H55" t="s">
        <v>738</v>
      </c>
      <c r="I55" t="s">
        <v>739</v>
      </c>
      <c r="J55" t="s">
        <v>739</v>
      </c>
      <c r="K55" s="2">
        <v>45015</v>
      </c>
      <c r="L55">
        <v>-7203.8894866652699</v>
      </c>
      <c r="M55">
        <v>1862643.03534898</v>
      </c>
      <c r="N55">
        <v>41929.450251015303</v>
      </c>
      <c r="O55">
        <v>-643371.96094894002</v>
      </c>
      <c r="P55">
        <v>-1862643.03534898</v>
      </c>
      <c r="Q55">
        <v>-1827086.7931752901</v>
      </c>
      <c r="R55">
        <v>144363.31409620101</v>
      </c>
      <c r="S55">
        <v>-50168.672700411502</v>
      </c>
      <c r="T55">
        <v>-456418.29768172599</v>
      </c>
      <c r="U55">
        <v>90795.961509209796</v>
      </c>
      <c r="V55">
        <v>91900.943445678204</v>
      </c>
    </row>
    <row r="56" spans="1:22" x14ac:dyDescent="0.3">
      <c r="A56" t="str">
        <f t="shared" si="0"/>
        <v>CVCBPrevisão</v>
      </c>
      <c r="B56" t="str">
        <f t="shared" si="1"/>
        <v>CVCBPrevisãoJun-2023</v>
      </c>
      <c r="C56" t="s">
        <v>479</v>
      </c>
      <c r="D56" t="s">
        <v>480</v>
      </c>
      <c r="E56" t="s">
        <v>481</v>
      </c>
      <c r="F56" t="s">
        <v>736</v>
      </c>
      <c r="G56" t="s">
        <v>737</v>
      </c>
      <c r="H56" t="s">
        <v>738</v>
      </c>
      <c r="I56" t="s">
        <v>739</v>
      </c>
      <c r="J56" t="s">
        <v>739</v>
      </c>
      <c r="K56" s="2">
        <v>45107</v>
      </c>
      <c r="L56">
        <v>53729.447159453302</v>
      </c>
      <c r="M56">
        <v>1134017.9194507999</v>
      </c>
      <c r="N56">
        <v>-613530.12829745898</v>
      </c>
      <c r="O56">
        <v>-1109540.43191314</v>
      </c>
      <c r="P56">
        <v>-1134017.9194507999</v>
      </c>
      <c r="Q56">
        <v>-1503312.6682790299</v>
      </c>
      <c r="R56">
        <v>155823.54319776001</v>
      </c>
      <c r="S56">
        <v>-79364.250831756304</v>
      </c>
      <c r="T56">
        <v>-619163.50873633602</v>
      </c>
      <c r="U56">
        <v>46958.093686488202</v>
      </c>
      <c r="V56">
        <v>76381.852083139995</v>
      </c>
    </row>
    <row r="57" spans="1:22" x14ac:dyDescent="0.3">
      <c r="A57" t="str">
        <f t="shared" si="0"/>
        <v>CVCBPrevisão</v>
      </c>
      <c r="B57" t="str">
        <f t="shared" si="1"/>
        <v>CVCBPrevisãoSet-2023</v>
      </c>
      <c r="C57" t="s">
        <v>479</v>
      </c>
      <c r="D57" t="s">
        <v>480</v>
      </c>
      <c r="E57" t="s">
        <v>481</v>
      </c>
      <c r="F57" t="s">
        <v>736</v>
      </c>
      <c r="G57" t="s">
        <v>737</v>
      </c>
      <c r="H57" t="s">
        <v>738</v>
      </c>
      <c r="I57" t="s">
        <v>739</v>
      </c>
      <c r="J57" t="s">
        <v>739</v>
      </c>
      <c r="K57" s="2">
        <v>45199</v>
      </c>
      <c r="L57">
        <v>125478.265564072</v>
      </c>
      <c r="M57">
        <v>309312.16345941601</v>
      </c>
      <c r="N57">
        <v>-1342268.88266705</v>
      </c>
      <c r="O57">
        <v>-1622356.03675379</v>
      </c>
      <c r="P57">
        <v>-309312.16345941601</v>
      </c>
      <c r="Q57">
        <v>-1134172.44185154</v>
      </c>
      <c r="R57">
        <v>167918.246651266</v>
      </c>
      <c r="S57">
        <v>-112577.49496692</v>
      </c>
      <c r="T57">
        <v>-799752.38393215998</v>
      </c>
      <c r="U57">
        <v>4984.6690012428398</v>
      </c>
      <c r="V57">
        <v>59988.6125622209</v>
      </c>
    </row>
    <row r="58" spans="1:22" x14ac:dyDescent="0.3">
      <c r="A58" t="str">
        <f t="shared" si="0"/>
        <v>CIELPrevisão</v>
      </c>
      <c r="B58" t="str">
        <f t="shared" si="1"/>
        <v>CIELPrevisãoDez-2022</v>
      </c>
      <c r="C58" t="s">
        <v>484</v>
      </c>
      <c r="D58" t="s">
        <v>485</v>
      </c>
      <c r="E58" t="s">
        <v>486</v>
      </c>
      <c r="F58" t="s">
        <v>736</v>
      </c>
      <c r="G58" t="s">
        <v>737</v>
      </c>
      <c r="H58" t="s">
        <v>738</v>
      </c>
      <c r="I58" t="s">
        <v>739</v>
      </c>
      <c r="J58" t="s">
        <v>739</v>
      </c>
      <c r="K58" s="2">
        <v>44925</v>
      </c>
      <c r="L58">
        <v>219827.26873755999</v>
      </c>
      <c r="M58">
        <v>92762784.8030788</v>
      </c>
      <c r="N58">
        <v>84130226.429081798</v>
      </c>
      <c r="O58">
        <v>78683064.751965106</v>
      </c>
      <c r="P58">
        <v>-92762784.8030788</v>
      </c>
      <c r="Q58">
        <v>-79924656.055933103</v>
      </c>
      <c r="R58">
        <v>0</v>
      </c>
      <c r="S58">
        <v>195234.89228427701</v>
      </c>
      <c r="T58">
        <v>3794518.43553326</v>
      </c>
      <c r="U58">
        <v>8529611.1835154705</v>
      </c>
      <c r="V58">
        <v>1465161.6045323501</v>
      </c>
    </row>
    <row r="59" spans="1:22" x14ac:dyDescent="0.3">
      <c r="A59" t="str">
        <f t="shared" si="0"/>
        <v>CIELPrevisão</v>
      </c>
      <c r="B59" t="str">
        <f t="shared" si="1"/>
        <v>CIELPrevisãoMar-2023</v>
      </c>
      <c r="C59" t="s">
        <v>484</v>
      </c>
      <c r="D59" t="s">
        <v>485</v>
      </c>
      <c r="E59" t="s">
        <v>486</v>
      </c>
      <c r="F59" t="s">
        <v>736</v>
      </c>
      <c r="G59" t="s">
        <v>737</v>
      </c>
      <c r="H59" t="s">
        <v>738</v>
      </c>
      <c r="I59" t="s">
        <v>739</v>
      </c>
      <c r="J59" t="s">
        <v>739</v>
      </c>
      <c r="K59" s="2">
        <v>45015</v>
      </c>
      <c r="L59">
        <v>224194.53736296599</v>
      </c>
      <c r="M59">
        <v>89829459.005770802</v>
      </c>
      <c r="N59">
        <v>82356311.847748294</v>
      </c>
      <c r="O59">
        <v>78035802.785080895</v>
      </c>
      <c r="P59">
        <v>-89829459.005770802</v>
      </c>
      <c r="Q59">
        <v>-78643442.954154894</v>
      </c>
      <c r="R59">
        <v>0</v>
      </c>
      <c r="S59">
        <v>213627.36707765199</v>
      </c>
      <c r="T59">
        <v>3538645.4994156002</v>
      </c>
      <c r="U59">
        <v>7909081.94611541</v>
      </c>
      <c r="V59">
        <v>1532651.04278039</v>
      </c>
    </row>
    <row r="60" spans="1:22" x14ac:dyDescent="0.3">
      <c r="A60" t="str">
        <f t="shared" si="0"/>
        <v>CIELPrevisão</v>
      </c>
      <c r="B60" t="str">
        <f t="shared" si="1"/>
        <v>CIELPrevisãoJun-2023</v>
      </c>
      <c r="C60" t="s">
        <v>484</v>
      </c>
      <c r="D60" t="s">
        <v>485</v>
      </c>
      <c r="E60" t="s">
        <v>486</v>
      </c>
      <c r="F60" t="s">
        <v>736</v>
      </c>
      <c r="G60" t="s">
        <v>737</v>
      </c>
      <c r="H60" t="s">
        <v>738</v>
      </c>
      <c r="I60" t="s">
        <v>739</v>
      </c>
      <c r="J60" t="s">
        <v>739</v>
      </c>
      <c r="K60" s="2">
        <v>45107</v>
      </c>
      <c r="L60">
        <v>236676.33781150501</v>
      </c>
      <c r="M60">
        <v>86005316.148746103</v>
      </c>
      <c r="N60">
        <v>79822483.439348593</v>
      </c>
      <c r="O60">
        <v>76810013.001674294</v>
      </c>
      <c r="P60">
        <v>-86005316.148746103</v>
      </c>
      <c r="Q60">
        <v>-76674727.463670701</v>
      </c>
      <c r="R60">
        <v>0</v>
      </c>
      <c r="S60">
        <v>236009.71726047201</v>
      </c>
      <c r="T60">
        <v>3255683.27493614</v>
      </c>
      <c r="U60">
        <v>7199664.0479276702</v>
      </c>
      <c r="V60">
        <v>1614213.28639059</v>
      </c>
    </row>
    <row r="61" spans="1:22" x14ac:dyDescent="0.3">
      <c r="A61" t="str">
        <f t="shared" si="0"/>
        <v>CIELPrevisão</v>
      </c>
      <c r="B61" t="str">
        <f t="shared" si="1"/>
        <v>CIELPrevisãoSet-2023</v>
      </c>
      <c r="C61" t="s">
        <v>484</v>
      </c>
      <c r="D61" t="s">
        <v>485</v>
      </c>
      <c r="E61" t="s">
        <v>486</v>
      </c>
      <c r="F61" t="s">
        <v>736</v>
      </c>
      <c r="G61" t="s">
        <v>737</v>
      </c>
      <c r="H61" t="s">
        <v>738</v>
      </c>
      <c r="I61" t="s">
        <v>739</v>
      </c>
      <c r="J61" t="s">
        <v>739</v>
      </c>
      <c r="K61" s="2">
        <v>45199</v>
      </c>
      <c r="L61">
        <v>257897.470440982</v>
      </c>
      <c r="M61">
        <v>81242540.926429793</v>
      </c>
      <c r="N61">
        <v>76485219.494353399</v>
      </c>
      <c r="O61">
        <v>74971157.671661094</v>
      </c>
      <c r="P61">
        <v>-81242540.926429793</v>
      </c>
      <c r="Q61">
        <v>-73978180.8145767</v>
      </c>
      <c r="R61">
        <v>0</v>
      </c>
      <c r="S61">
        <v>262623.345863642</v>
      </c>
      <c r="T61">
        <v>2945013.40898688</v>
      </c>
      <c r="U61">
        <v>6397953.0520373303</v>
      </c>
      <c r="V61">
        <v>1710761.60186336</v>
      </c>
    </row>
    <row r="62" spans="1:22" x14ac:dyDescent="0.3">
      <c r="A62" t="str">
        <f t="shared" si="0"/>
        <v>UGPAPrevisão</v>
      </c>
      <c r="B62" t="str">
        <f t="shared" si="1"/>
        <v>UGPAPrevisãoDez-2022</v>
      </c>
      <c r="C62" t="s">
        <v>350</v>
      </c>
      <c r="D62" t="s">
        <v>351</v>
      </c>
      <c r="E62" t="s">
        <v>349</v>
      </c>
      <c r="F62" t="s">
        <v>736</v>
      </c>
      <c r="G62" t="s">
        <v>737</v>
      </c>
      <c r="H62" t="s">
        <v>738</v>
      </c>
      <c r="I62" t="s">
        <v>739</v>
      </c>
      <c r="J62" t="s">
        <v>739</v>
      </c>
      <c r="K62" s="2">
        <v>44925</v>
      </c>
      <c r="L62">
        <v>288689.520074656</v>
      </c>
      <c r="M62">
        <v>13175267.360578701</v>
      </c>
      <c r="N62">
        <v>2489137.8277735598</v>
      </c>
      <c r="O62">
        <v>137124.529411767</v>
      </c>
      <c r="P62">
        <v>-13175267.360578701</v>
      </c>
      <c r="Q62">
        <v>-2503240.5336555801</v>
      </c>
      <c r="R62">
        <v>70585.497750616894</v>
      </c>
      <c r="S62">
        <v>31229.686189632801</v>
      </c>
      <c r="T62">
        <v>4788960.5399372904</v>
      </c>
      <c r="U62">
        <v>10620708.1600907</v>
      </c>
      <c r="V62">
        <v>144297.55682889899</v>
      </c>
    </row>
    <row r="63" spans="1:22" x14ac:dyDescent="0.3">
      <c r="A63" t="str">
        <f t="shared" si="0"/>
        <v>UGPAPrevisão</v>
      </c>
      <c r="B63" t="str">
        <f t="shared" si="1"/>
        <v>UGPAPrevisãoMar-2023</v>
      </c>
      <c r="C63" t="s">
        <v>350</v>
      </c>
      <c r="D63" t="s">
        <v>351</v>
      </c>
      <c r="E63" t="s">
        <v>349</v>
      </c>
      <c r="F63" t="s">
        <v>736</v>
      </c>
      <c r="G63" t="s">
        <v>737</v>
      </c>
      <c r="H63" t="s">
        <v>738</v>
      </c>
      <c r="I63" t="s">
        <v>739</v>
      </c>
      <c r="J63" t="s">
        <v>739</v>
      </c>
      <c r="K63" s="2">
        <v>45015</v>
      </c>
      <c r="L63">
        <v>313964.15630753699</v>
      </c>
      <c r="M63">
        <v>13291435.919570699</v>
      </c>
      <c r="N63">
        <v>2786414.09805761</v>
      </c>
      <c r="O63">
        <v>158518.29116512099</v>
      </c>
      <c r="P63">
        <v>-13291435.919570699</v>
      </c>
      <c r="Q63">
        <v>-2908501.6343582901</v>
      </c>
      <c r="R63">
        <v>80042.4794573049</v>
      </c>
      <c r="S63">
        <v>36891.735143859303</v>
      </c>
      <c r="T63">
        <v>5000945.4286564998</v>
      </c>
      <c r="U63">
        <v>10744400.402185</v>
      </c>
      <c r="V63">
        <v>146671.557544688</v>
      </c>
    </row>
    <row r="64" spans="1:22" x14ac:dyDescent="0.3">
      <c r="A64" t="str">
        <f t="shared" si="0"/>
        <v>UGPAPrevisão</v>
      </c>
      <c r="B64" t="str">
        <f t="shared" si="1"/>
        <v>UGPAPrevisãoJun-2023</v>
      </c>
      <c r="C64" t="s">
        <v>350</v>
      </c>
      <c r="D64" t="s">
        <v>351</v>
      </c>
      <c r="E64" t="s">
        <v>349</v>
      </c>
      <c r="F64" t="s">
        <v>736</v>
      </c>
      <c r="G64" t="s">
        <v>737</v>
      </c>
      <c r="H64" t="s">
        <v>738</v>
      </c>
      <c r="I64" t="s">
        <v>739</v>
      </c>
      <c r="J64" t="s">
        <v>739</v>
      </c>
      <c r="K64" s="2">
        <v>45107</v>
      </c>
      <c r="L64">
        <v>343689.022766223</v>
      </c>
      <c r="M64">
        <v>13397148.564659599</v>
      </c>
      <c r="N64">
        <v>3108398.4045229498</v>
      </c>
      <c r="O64">
        <v>182049.63602568599</v>
      </c>
      <c r="P64">
        <v>-13397148.564659599</v>
      </c>
      <c r="Q64">
        <v>-3355114.6534557701</v>
      </c>
      <c r="R64">
        <v>90266.955033440405</v>
      </c>
      <c r="S64">
        <v>43119.402859181602</v>
      </c>
      <c r="T64">
        <v>5232646.9947477197</v>
      </c>
      <c r="U64">
        <v>10872436.944754399</v>
      </c>
      <c r="V64">
        <v>151417.64833318299</v>
      </c>
    </row>
    <row r="65" spans="1:22" x14ac:dyDescent="0.3">
      <c r="A65" t="str">
        <f t="shared" si="0"/>
        <v>UGPAPrevisão</v>
      </c>
      <c r="B65" t="str">
        <f t="shared" si="1"/>
        <v>UGPAPrevisãoSet-2023</v>
      </c>
      <c r="C65" t="s">
        <v>350</v>
      </c>
      <c r="D65" t="s">
        <v>351</v>
      </c>
      <c r="E65" t="s">
        <v>349</v>
      </c>
      <c r="F65" t="s">
        <v>736</v>
      </c>
      <c r="G65" t="s">
        <v>737</v>
      </c>
      <c r="H65" t="s">
        <v>738</v>
      </c>
      <c r="I65" t="s">
        <v>739</v>
      </c>
      <c r="J65" t="s">
        <v>739</v>
      </c>
      <c r="K65" s="2">
        <v>45199</v>
      </c>
      <c r="L65">
        <v>378125.92817251</v>
      </c>
      <c r="M65">
        <v>13491906.9523602</v>
      </c>
      <c r="N65">
        <v>3456033.0139871999</v>
      </c>
      <c r="O65">
        <v>207806.851477185</v>
      </c>
      <c r="P65">
        <v>-13491906.9523602</v>
      </c>
      <c r="Q65">
        <v>-3844932.8344675298</v>
      </c>
      <c r="R65">
        <v>101287.67665692999</v>
      </c>
      <c r="S65">
        <v>49937.1957120316</v>
      </c>
      <c r="T65">
        <v>5485159.8934353404</v>
      </c>
      <c r="U65">
        <v>11005313.981162401</v>
      </c>
      <c r="V65">
        <v>158712.89459690001</v>
      </c>
    </row>
    <row r="66" spans="1:22" x14ac:dyDescent="0.3">
      <c r="A66" t="str">
        <f t="shared" ref="A66:A129" si="2">_xlfn.CONCAT(D66,F66)</f>
        <v>ENATPrevisão</v>
      </c>
      <c r="B66" t="str">
        <f t="shared" ref="B66:B129" si="3">_xlfn.CONCAT(D66,F66,PROPER(TEXT(K66,"mmm-aaaa")))</f>
        <v>ENATPrevisãoDez-2022</v>
      </c>
      <c r="C66" t="s">
        <v>347</v>
      </c>
      <c r="D66" t="s">
        <v>348</v>
      </c>
      <c r="E66" t="s">
        <v>349</v>
      </c>
      <c r="F66" t="s">
        <v>736</v>
      </c>
      <c r="G66" t="s">
        <v>737</v>
      </c>
      <c r="H66" t="s">
        <v>738</v>
      </c>
      <c r="I66" t="s">
        <v>739</v>
      </c>
      <c r="J66" t="s">
        <v>739</v>
      </c>
      <c r="K66" s="2">
        <v>44925</v>
      </c>
      <c r="L66">
        <v>158464.904082831</v>
      </c>
      <c r="M66">
        <v>4042477.1444702102</v>
      </c>
      <c r="N66">
        <v>33711.093625329202</v>
      </c>
      <c r="O66">
        <v>-122.352941176421</v>
      </c>
      <c r="P66">
        <v>-4042477.1444702102</v>
      </c>
      <c r="Q66">
        <v>-21764.591036414</v>
      </c>
      <c r="R66">
        <v>76.562770562767895</v>
      </c>
      <c r="S66">
        <v>40.754435107415702</v>
      </c>
      <c r="T66">
        <v>1507277.4929118899</v>
      </c>
      <c r="U66">
        <v>4020712.5534335701</v>
      </c>
      <c r="V66">
        <v>158618.59859094399</v>
      </c>
    </row>
    <row r="67" spans="1:22" x14ac:dyDescent="0.3">
      <c r="A67" t="str">
        <f t="shared" si="2"/>
        <v>ENATPrevisão</v>
      </c>
      <c r="B67" t="str">
        <f t="shared" si="3"/>
        <v>ENATPrevisãoMar-2023</v>
      </c>
      <c r="C67" t="s">
        <v>347</v>
      </c>
      <c r="D67" t="s">
        <v>348</v>
      </c>
      <c r="E67" t="s">
        <v>349</v>
      </c>
      <c r="F67" t="s">
        <v>736</v>
      </c>
      <c r="G67" t="s">
        <v>737</v>
      </c>
      <c r="H67" t="s">
        <v>738</v>
      </c>
      <c r="I67" t="s">
        <v>739</v>
      </c>
      <c r="J67" t="s">
        <v>739</v>
      </c>
      <c r="K67" s="2">
        <v>45015</v>
      </c>
      <c r="L67">
        <v>170850.89750329399</v>
      </c>
      <c r="M67">
        <v>4216806.2030598</v>
      </c>
      <c r="N67">
        <v>29856.909818145501</v>
      </c>
      <c r="O67">
        <v>-168.648648648597</v>
      </c>
      <c r="P67">
        <v>-4216806.2030598</v>
      </c>
      <c r="Q67">
        <v>-25119.893860246499</v>
      </c>
      <c r="R67">
        <v>76.364414070292398</v>
      </c>
      <c r="S67">
        <v>29.660408307508899</v>
      </c>
      <c r="T67">
        <v>1649637.8213724999</v>
      </c>
      <c r="U67">
        <v>4191686.3091993099</v>
      </c>
      <c r="V67">
        <v>171114.80431156099</v>
      </c>
    </row>
    <row r="68" spans="1:22" x14ac:dyDescent="0.3">
      <c r="A68" t="str">
        <f t="shared" si="2"/>
        <v>ENATPrevisão</v>
      </c>
      <c r="B68" t="str">
        <f t="shared" si="3"/>
        <v>ENATPrevisãoJun-2023</v>
      </c>
      <c r="C68" t="s">
        <v>347</v>
      </c>
      <c r="D68" t="s">
        <v>348</v>
      </c>
      <c r="E68" t="s">
        <v>349</v>
      </c>
      <c r="F68" t="s">
        <v>736</v>
      </c>
      <c r="G68" t="s">
        <v>737</v>
      </c>
      <c r="H68" t="s">
        <v>738</v>
      </c>
      <c r="I68" t="s">
        <v>739</v>
      </c>
      <c r="J68" t="s">
        <v>739</v>
      </c>
      <c r="K68" s="2">
        <v>45107</v>
      </c>
      <c r="L68">
        <v>184254.289271485</v>
      </c>
      <c r="M68">
        <v>4406830.4782372797</v>
      </c>
      <c r="N68">
        <v>25377.4088218334</v>
      </c>
      <c r="O68">
        <v>-220.17111538778099</v>
      </c>
      <c r="P68">
        <v>-4406830.4782372797</v>
      </c>
      <c r="Q68">
        <v>-28771.3457570795</v>
      </c>
      <c r="R68">
        <v>75.866306900357202</v>
      </c>
      <c r="S68">
        <v>16.917772704194601</v>
      </c>
      <c r="T68">
        <v>1806217.0840968001</v>
      </c>
      <c r="U68">
        <v>4378059.1324799201</v>
      </c>
      <c r="V68">
        <v>184640.84496493699</v>
      </c>
    </row>
    <row r="69" spans="1:22" x14ac:dyDescent="0.3">
      <c r="A69" t="str">
        <f t="shared" si="2"/>
        <v>ENATPrevisão</v>
      </c>
      <c r="B69" t="str">
        <f t="shared" si="3"/>
        <v>ENATPrevisãoSet-2023</v>
      </c>
      <c r="C69" t="s">
        <v>347</v>
      </c>
      <c r="D69" t="s">
        <v>348</v>
      </c>
      <c r="E69" t="s">
        <v>349</v>
      </c>
      <c r="F69" t="s">
        <v>736</v>
      </c>
      <c r="G69" t="s">
        <v>737</v>
      </c>
      <c r="H69" t="s">
        <v>738</v>
      </c>
      <c r="I69" t="s">
        <v>739</v>
      </c>
      <c r="J69" t="s">
        <v>739</v>
      </c>
      <c r="K69" s="2">
        <v>45199</v>
      </c>
      <c r="L69">
        <v>198719.69307465601</v>
      </c>
      <c r="M69">
        <v>4613297.3558619497</v>
      </c>
      <c r="N69">
        <v>20243.4337869761</v>
      </c>
      <c r="O69">
        <v>-277.15170278632502</v>
      </c>
      <c r="P69">
        <v>-4613297.3558619497</v>
      </c>
      <c r="Q69">
        <v>-32730.334627077998</v>
      </c>
      <c r="R69">
        <v>75.048153475391004</v>
      </c>
      <c r="S69">
        <v>2.43764327050715</v>
      </c>
      <c r="T69">
        <v>1977734.28419039</v>
      </c>
      <c r="U69">
        <v>4580567.0212345598</v>
      </c>
      <c r="V69">
        <v>199241.87378971899</v>
      </c>
    </row>
    <row r="70" spans="1:22" x14ac:dyDescent="0.3">
      <c r="A70" t="str">
        <f t="shared" si="2"/>
        <v>SUZBPrevisão</v>
      </c>
      <c r="B70" t="str">
        <f t="shared" si="3"/>
        <v>SUZBPrevisãoDez-2022</v>
      </c>
      <c r="C70" t="s">
        <v>556</v>
      </c>
      <c r="D70" t="s">
        <v>557</v>
      </c>
      <c r="E70" t="s">
        <v>555</v>
      </c>
      <c r="F70" t="s">
        <v>736</v>
      </c>
      <c r="G70" t="s">
        <v>737</v>
      </c>
      <c r="H70" t="s">
        <v>738</v>
      </c>
      <c r="I70" t="s">
        <v>739</v>
      </c>
      <c r="J70" t="s">
        <v>739</v>
      </c>
      <c r="K70" s="2">
        <v>44925</v>
      </c>
      <c r="L70">
        <v>6761790.9928711401</v>
      </c>
      <c r="M70">
        <v>149218763.21179199</v>
      </c>
      <c r="N70">
        <v>18732080.398268402</v>
      </c>
      <c r="O70">
        <v>6544543.7664869102</v>
      </c>
      <c r="P70">
        <v>-149218763.21179199</v>
      </c>
      <c r="Q70">
        <v>-18017051.6424721</v>
      </c>
      <c r="R70">
        <v>578698.68355825602</v>
      </c>
      <c r="S70">
        <v>119389.068330361</v>
      </c>
      <c r="T70">
        <v>2214197.2202697098</v>
      </c>
      <c r="U70">
        <v>25604891.2718888</v>
      </c>
      <c r="V70">
        <v>8906959.6769373491</v>
      </c>
    </row>
    <row r="71" spans="1:22" x14ac:dyDescent="0.3">
      <c r="A71" t="str">
        <f t="shared" si="2"/>
        <v>SUZBPrevisão</v>
      </c>
      <c r="B71" t="str">
        <f t="shared" si="3"/>
        <v>SUZBPrevisãoMar-2023</v>
      </c>
      <c r="C71" t="s">
        <v>556</v>
      </c>
      <c r="D71" t="s">
        <v>557</v>
      </c>
      <c r="E71" t="s">
        <v>555</v>
      </c>
      <c r="F71" t="s">
        <v>736</v>
      </c>
      <c r="G71" t="s">
        <v>737</v>
      </c>
      <c r="H71" t="s">
        <v>738</v>
      </c>
      <c r="I71" t="s">
        <v>739</v>
      </c>
      <c r="J71" t="s">
        <v>739</v>
      </c>
      <c r="K71" s="2">
        <v>45015</v>
      </c>
      <c r="L71">
        <v>8375134.9214395303</v>
      </c>
      <c r="M71">
        <v>156972430.051164</v>
      </c>
      <c r="N71">
        <v>19079024.238996599</v>
      </c>
      <c r="O71">
        <v>6440844.1677006902</v>
      </c>
      <c r="P71">
        <v>-156972430.051164</v>
      </c>
      <c r="Q71">
        <v>-18672148.925336398</v>
      </c>
      <c r="R71">
        <v>619393.49598641705</v>
      </c>
      <c r="S71">
        <v>119136.650564239</v>
      </c>
      <c r="T71">
        <v>2325726.87032919</v>
      </c>
      <c r="U71">
        <v>28398483.777888302</v>
      </c>
      <c r="V71">
        <v>9443069.4813888296</v>
      </c>
    </row>
    <row r="72" spans="1:22" x14ac:dyDescent="0.3">
      <c r="A72" t="str">
        <f t="shared" si="2"/>
        <v>SUZBPrevisão</v>
      </c>
      <c r="B72" t="str">
        <f t="shared" si="3"/>
        <v>SUZBPrevisãoJun-2023</v>
      </c>
      <c r="C72" t="s">
        <v>556</v>
      </c>
      <c r="D72" t="s">
        <v>557</v>
      </c>
      <c r="E72" t="s">
        <v>555</v>
      </c>
      <c r="F72" t="s">
        <v>736</v>
      </c>
      <c r="G72" t="s">
        <v>737</v>
      </c>
      <c r="H72" t="s">
        <v>738</v>
      </c>
      <c r="I72" t="s">
        <v>739</v>
      </c>
      <c r="J72" t="s">
        <v>739</v>
      </c>
      <c r="K72" s="2">
        <v>45107</v>
      </c>
      <c r="L72">
        <v>10167027.474724101</v>
      </c>
      <c r="M72">
        <v>164836169.92811099</v>
      </c>
      <c r="N72">
        <v>19384609.429683302</v>
      </c>
      <c r="O72">
        <v>6291571.1866236199</v>
      </c>
      <c r="P72">
        <v>-164836169.92811099</v>
      </c>
      <c r="Q72">
        <v>-19292867.186138</v>
      </c>
      <c r="R72">
        <v>662379.61374829803</v>
      </c>
      <c r="S72">
        <v>118528.67429063399</v>
      </c>
      <c r="T72">
        <v>2447804.9690862899</v>
      </c>
      <c r="U72">
        <v>31482075.574809201</v>
      </c>
      <c r="V72">
        <v>10002015.1810074</v>
      </c>
    </row>
    <row r="73" spans="1:22" x14ac:dyDescent="0.3">
      <c r="A73" t="str">
        <f t="shared" si="2"/>
        <v>SUZBPrevisão</v>
      </c>
      <c r="B73" t="str">
        <f t="shared" si="3"/>
        <v>SUZBPrevisãoSet-2023</v>
      </c>
      <c r="C73" t="s">
        <v>556</v>
      </c>
      <c r="D73" t="s">
        <v>557</v>
      </c>
      <c r="E73" t="s">
        <v>555</v>
      </c>
      <c r="F73" t="s">
        <v>736</v>
      </c>
      <c r="G73" t="s">
        <v>737</v>
      </c>
      <c r="H73" t="s">
        <v>738</v>
      </c>
      <c r="I73" t="s">
        <v>739</v>
      </c>
      <c r="J73" t="s">
        <v>739</v>
      </c>
      <c r="K73" s="2">
        <v>45199</v>
      </c>
      <c r="L73">
        <v>12145651.0385004</v>
      </c>
      <c r="M73">
        <v>172799791.03394401</v>
      </c>
      <c r="N73">
        <v>19645596.6648205</v>
      </c>
      <c r="O73">
        <v>6094123.6068009604</v>
      </c>
      <c r="P73">
        <v>-172799791.03394401</v>
      </c>
      <c r="Q73">
        <v>-19875363.434051398</v>
      </c>
      <c r="R73">
        <v>707720.60158263904</v>
      </c>
      <c r="S73">
        <v>117549.414814684</v>
      </c>
      <c r="T73">
        <v>2580721.4532737299</v>
      </c>
      <c r="U73">
        <v>34868795.819452196</v>
      </c>
      <c r="V73">
        <v>10584229.784002701</v>
      </c>
    </row>
    <row r="74" spans="1:22" x14ac:dyDescent="0.3">
      <c r="A74" t="str">
        <f t="shared" si="2"/>
        <v>KLBNPrevisão</v>
      </c>
      <c r="B74" t="str">
        <f t="shared" si="3"/>
        <v>KLBNPrevisãoDez-2022</v>
      </c>
      <c r="C74" t="s">
        <v>553</v>
      </c>
      <c r="D74" t="s">
        <v>554</v>
      </c>
      <c r="E74" t="s">
        <v>555</v>
      </c>
      <c r="F74" t="s">
        <v>736</v>
      </c>
      <c r="G74" t="s">
        <v>737</v>
      </c>
      <c r="H74" t="s">
        <v>738</v>
      </c>
      <c r="I74" t="s">
        <v>739</v>
      </c>
      <c r="J74" t="s">
        <v>739</v>
      </c>
      <c r="K74" s="2">
        <v>44925</v>
      </c>
      <c r="L74">
        <v>1833060.9890504</v>
      </c>
      <c r="M74">
        <v>41950467.981749304</v>
      </c>
      <c r="N74">
        <v>10185854.740769099</v>
      </c>
      <c r="O74">
        <v>2872763.0537304599</v>
      </c>
      <c r="P74">
        <v>-41950467.981749304</v>
      </c>
      <c r="Q74">
        <v>-5211237.87929729</v>
      </c>
      <c r="R74">
        <v>463886.28274345299</v>
      </c>
      <c r="S74">
        <v>413797.27026571002</v>
      </c>
      <c r="T74">
        <v>249001.71895414899</v>
      </c>
      <c r="U74">
        <v>8095751.2741692401</v>
      </c>
      <c r="V74">
        <v>5473503.8215771699</v>
      </c>
    </row>
    <row r="75" spans="1:22" x14ac:dyDescent="0.3">
      <c r="A75" t="str">
        <f t="shared" si="2"/>
        <v>KLBNPrevisão</v>
      </c>
      <c r="B75" t="str">
        <f t="shared" si="3"/>
        <v>KLBNPrevisãoMar-2023</v>
      </c>
      <c r="C75" t="s">
        <v>553</v>
      </c>
      <c r="D75" t="s">
        <v>554</v>
      </c>
      <c r="E75" t="s">
        <v>555</v>
      </c>
      <c r="F75" t="s">
        <v>736</v>
      </c>
      <c r="G75" t="s">
        <v>737</v>
      </c>
      <c r="H75" t="s">
        <v>738</v>
      </c>
      <c r="I75" t="s">
        <v>739</v>
      </c>
      <c r="J75" t="s">
        <v>739</v>
      </c>
      <c r="K75" s="2">
        <v>45015</v>
      </c>
      <c r="L75">
        <v>2250417.1055688402</v>
      </c>
      <c r="M75">
        <v>42700681.616227403</v>
      </c>
      <c r="N75">
        <v>9473443.4448689092</v>
      </c>
      <c r="O75">
        <v>2948257.0769102499</v>
      </c>
      <c r="P75">
        <v>-42700681.616227403</v>
      </c>
      <c r="Q75">
        <v>-5504115.9601444602</v>
      </c>
      <c r="R75">
        <v>487899.18457348098</v>
      </c>
      <c r="S75">
        <v>477866.046465141</v>
      </c>
      <c r="T75">
        <v>77573.533323135198</v>
      </c>
      <c r="U75">
        <v>8811845.2899575196</v>
      </c>
      <c r="V75">
        <v>5853057.6255469397</v>
      </c>
    </row>
    <row r="76" spans="1:22" x14ac:dyDescent="0.3">
      <c r="A76" t="str">
        <f t="shared" si="2"/>
        <v>KLBNPrevisão</v>
      </c>
      <c r="B76" t="str">
        <f t="shared" si="3"/>
        <v>KLBNPrevisãoJun-2023</v>
      </c>
      <c r="C76" t="s">
        <v>553</v>
      </c>
      <c r="D76" t="s">
        <v>554</v>
      </c>
      <c r="E76" t="s">
        <v>555</v>
      </c>
      <c r="F76" t="s">
        <v>736</v>
      </c>
      <c r="G76" t="s">
        <v>737</v>
      </c>
      <c r="H76" t="s">
        <v>738</v>
      </c>
      <c r="I76" t="s">
        <v>739</v>
      </c>
      <c r="J76" t="s">
        <v>739</v>
      </c>
      <c r="K76" s="2">
        <v>45107</v>
      </c>
      <c r="L76">
        <v>2714183.28401767</v>
      </c>
      <c r="M76">
        <v>43439409.834181398</v>
      </c>
      <c r="N76">
        <v>8649339.8703215104</v>
      </c>
      <c r="O76">
        <v>3026307.6853188402</v>
      </c>
      <c r="P76">
        <v>-43439409.834181398</v>
      </c>
      <c r="Q76">
        <v>-5824394.54013805</v>
      </c>
      <c r="R76">
        <v>513271.67287039902</v>
      </c>
      <c r="S76">
        <v>548179.47871465504</v>
      </c>
      <c r="T76">
        <v>-107203.79060672699</v>
      </c>
      <c r="U76">
        <v>9627289.5744874999</v>
      </c>
      <c r="V76">
        <v>6256176.5851884503</v>
      </c>
    </row>
    <row r="77" spans="1:22" x14ac:dyDescent="0.3">
      <c r="A77" t="str">
        <f t="shared" si="2"/>
        <v>KLBNPrevisão</v>
      </c>
      <c r="B77" t="str">
        <f t="shared" si="3"/>
        <v>KLBNPrevisãoSet-2023</v>
      </c>
      <c r="C77" t="s">
        <v>553</v>
      </c>
      <c r="D77" t="s">
        <v>554</v>
      </c>
      <c r="E77" t="s">
        <v>555</v>
      </c>
      <c r="F77" t="s">
        <v>736</v>
      </c>
      <c r="G77" t="s">
        <v>737</v>
      </c>
      <c r="H77" t="s">
        <v>738</v>
      </c>
      <c r="I77" t="s">
        <v>739</v>
      </c>
      <c r="J77" t="s">
        <v>739</v>
      </c>
      <c r="K77" s="2">
        <v>45199</v>
      </c>
      <c r="L77">
        <v>3226489.6936039398</v>
      </c>
      <c r="M77">
        <v>44166388.383529298</v>
      </c>
      <c r="N77">
        <v>7708490.2690760596</v>
      </c>
      <c r="O77">
        <v>3107038.4207670898</v>
      </c>
      <c r="P77">
        <v>-44166388.383529298</v>
      </c>
      <c r="Q77">
        <v>-6173456.7292172704</v>
      </c>
      <c r="R77">
        <v>540056.35718296305</v>
      </c>
      <c r="S77">
        <v>625002.33632063598</v>
      </c>
      <c r="T77">
        <v>-305867.77256378502</v>
      </c>
      <c r="U77">
        <v>10547400.628682701</v>
      </c>
      <c r="V77">
        <v>6683654.2286457904</v>
      </c>
    </row>
    <row r="78" spans="1:22" x14ac:dyDescent="0.3">
      <c r="A78" t="str">
        <f t="shared" si="2"/>
        <v>VALEPrevisão</v>
      </c>
      <c r="B78" t="str">
        <f t="shared" si="3"/>
        <v>VALEPrevisãoDez-2022</v>
      </c>
      <c r="C78" t="s">
        <v>464</v>
      </c>
      <c r="D78" t="s">
        <v>465</v>
      </c>
      <c r="E78" t="s">
        <v>466</v>
      </c>
      <c r="F78" t="s">
        <v>736</v>
      </c>
      <c r="G78" t="s">
        <v>737</v>
      </c>
      <c r="H78" t="s">
        <v>738</v>
      </c>
      <c r="I78" t="s">
        <v>739</v>
      </c>
      <c r="J78" t="s">
        <v>739</v>
      </c>
      <c r="K78" s="2">
        <v>44925</v>
      </c>
      <c r="L78">
        <v>35985249.484678797</v>
      </c>
      <c r="M78">
        <v>466943565.67912197</v>
      </c>
      <c r="N78">
        <v>88031791.7330347</v>
      </c>
      <c r="O78">
        <v>54110574.317030303</v>
      </c>
      <c r="P78">
        <v>-466943565.67912197</v>
      </c>
      <c r="Q78">
        <v>-79571608.459638998</v>
      </c>
      <c r="R78">
        <v>2926403.9792041499</v>
      </c>
      <c r="S78">
        <v>6585771.1330924397</v>
      </c>
      <c r="T78">
        <v>58363922.541300297</v>
      </c>
      <c r="U78">
        <v>206539118.188685</v>
      </c>
      <c r="V78">
        <v>55852031.930304401</v>
      </c>
    </row>
    <row r="79" spans="1:22" x14ac:dyDescent="0.3">
      <c r="A79" t="str">
        <f t="shared" si="2"/>
        <v>VALEPrevisão</v>
      </c>
      <c r="B79" t="str">
        <f t="shared" si="3"/>
        <v>VALEPrevisãoMar-2023</v>
      </c>
      <c r="C79" t="s">
        <v>464</v>
      </c>
      <c r="D79" t="s">
        <v>465</v>
      </c>
      <c r="E79" t="s">
        <v>466</v>
      </c>
      <c r="F79" t="s">
        <v>736</v>
      </c>
      <c r="G79" t="s">
        <v>737</v>
      </c>
      <c r="H79" t="s">
        <v>738</v>
      </c>
      <c r="I79" t="s">
        <v>739</v>
      </c>
      <c r="J79" t="s">
        <v>739</v>
      </c>
      <c r="K79" s="2">
        <v>45015</v>
      </c>
      <c r="L79">
        <v>40035013.201793</v>
      </c>
      <c r="M79">
        <v>479882196.31485701</v>
      </c>
      <c r="N79">
        <v>96965274.626165703</v>
      </c>
      <c r="O79">
        <v>61264088.507520802</v>
      </c>
      <c r="P79">
        <v>-479882196.31485701</v>
      </c>
      <c r="Q79">
        <v>-85074462.426865503</v>
      </c>
      <c r="R79">
        <v>3099234.46977191</v>
      </c>
      <c r="S79">
        <v>6639598.4455440501</v>
      </c>
      <c r="T79">
        <v>67967399.220831394</v>
      </c>
      <c r="U79">
        <v>212128015.930628</v>
      </c>
      <c r="V79">
        <v>59590280.847742103</v>
      </c>
    </row>
    <row r="80" spans="1:22" x14ac:dyDescent="0.3">
      <c r="A80" t="str">
        <f t="shared" si="2"/>
        <v>VALEPrevisão</v>
      </c>
      <c r="B80" t="str">
        <f t="shared" si="3"/>
        <v>VALEPrevisãoJun-2023</v>
      </c>
      <c r="C80" t="s">
        <v>464</v>
      </c>
      <c r="D80" t="s">
        <v>465</v>
      </c>
      <c r="E80" t="s">
        <v>466</v>
      </c>
      <c r="F80" t="s">
        <v>736</v>
      </c>
      <c r="G80" t="s">
        <v>737</v>
      </c>
      <c r="H80" t="s">
        <v>738</v>
      </c>
      <c r="I80" t="s">
        <v>739</v>
      </c>
      <c r="J80" t="s">
        <v>739</v>
      </c>
      <c r="K80" s="2">
        <v>45107</v>
      </c>
      <c r="L80">
        <v>44346608.232026502</v>
      </c>
      <c r="M80">
        <v>493425768.342529</v>
      </c>
      <c r="N80">
        <v>106811486.23045</v>
      </c>
      <c r="O80">
        <v>69245111.832686201</v>
      </c>
      <c r="P80">
        <v>-493425768.342529</v>
      </c>
      <c r="Q80">
        <v>-90919017.107388496</v>
      </c>
      <c r="R80">
        <v>3284275.3785842899</v>
      </c>
      <c r="S80">
        <v>6650869.4793118201</v>
      </c>
      <c r="T80">
        <v>78714312.284184903</v>
      </c>
      <c r="U80">
        <v>218063624.15977901</v>
      </c>
      <c r="V80">
        <v>63489122.471522696</v>
      </c>
    </row>
    <row r="81" spans="1:22" x14ac:dyDescent="0.3">
      <c r="A81" t="str">
        <f t="shared" si="2"/>
        <v>VALEPrevisão</v>
      </c>
      <c r="B81" t="str">
        <f t="shared" si="3"/>
        <v>VALEPrevisãoSet-2023</v>
      </c>
      <c r="C81" t="s">
        <v>464</v>
      </c>
      <c r="D81" t="s">
        <v>465</v>
      </c>
      <c r="E81" t="s">
        <v>466</v>
      </c>
      <c r="F81" t="s">
        <v>736</v>
      </c>
      <c r="G81" t="s">
        <v>737</v>
      </c>
      <c r="H81" t="s">
        <v>738</v>
      </c>
      <c r="I81" t="s">
        <v>739</v>
      </c>
      <c r="J81" t="s">
        <v>739</v>
      </c>
      <c r="K81" s="2">
        <v>45199</v>
      </c>
      <c r="L81">
        <v>48926427.449926101</v>
      </c>
      <c r="M81">
        <v>507598182.32025099</v>
      </c>
      <c r="N81">
        <v>117611989.606336</v>
      </c>
      <c r="O81">
        <v>78093416.171538994</v>
      </c>
      <c r="P81">
        <v>-507598182.32025099</v>
      </c>
      <c r="Q81">
        <v>-97116318.250922203</v>
      </c>
      <c r="R81">
        <v>3481980.7558029401</v>
      </c>
      <c r="S81">
        <v>6616426.9333990598</v>
      </c>
      <c r="T81">
        <v>90653474.847126603</v>
      </c>
      <c r="U81">
        <v>224356927.45071599</v>
      </c>
      <c r="V81">
        <v>67549678.072174206</v>
      </c>
    </row>
    <row r="82" spans="1:22" x14ac:dyDescent="0.3">
      <c r="A82" t="str">
        <f t="shared" si="2"/>
        <v>MMXMPrevisão</v>
      </c>
      <c r="B82" t="str">
        <f t="shared" si="3"/>
        <v>MMXMPrevisãoJun-2021</v>
      </c>
      <c r="C82" t="s">
        <v>713</v>
      </c>
      <c r="D82" t="s">
        <v>714</v>
      </c>
      <c r="E82" t="s">
        <v>466</v>
      </c>
      <c r="F82" t="s">
        <v>736</v>
      </c>
      <c r="G82" t="s">
        <v>737</v>
      </c>
      <c r="H82" t="s">
        <v>738</v>
      </c>
      <c r="I82" t="s">
        <v>739</v>
      </c>
      <c r="J82" t="s">
        <v>739</v>
      </c>
      <c r="K82" s="2">
        <v>44377</v>
      </c>
      <c r="L82">
        <v>-318806.57953285502</v>
      </c>
      <c r="M82">
        <v>1685806.3804221</v>
      </c>
      <c r="N82">
        <v>34762.775306085001</v>
      </c>
      <c r="O82">
        <v>12158.095661847499</v>
      </c>
      <c r="P82">
        <v>-1685806.3804221</v>
      </c>
      <c r="Q82">
        <v>-1090449.4827584301</v>
      </c>
      <c r="R82">
        <v>4401.8665183536896</v>
      </c>
      <c r="S82">
        <v>8186.1201334831603</v>
      </c>
      <c r="T82">
        <v>0</v>
      </c>
      <c r="U82">
        <v>-198303.24249080999</v>
      </c>
      <c r="V82">
        <v>-224691.344827647</v>
      </c>
    </row>
    <row r="83" spans="1:22" x14ac:dyDescent="0.3">
      <c r="A83" t="str">
        <f t="shared" si="2"/>
        <v>MMXMPrevisão</v>
      </c>
      <c r="B83" t="str">
        <f t="shared" si="3"/>
        <v>MMXMPrevisãoSet-2021</v>
      </c>
      <c r="C83" t="s">
        <v>713</v>
      </c>
      <c r="D83" t="s">
        <v>714</v>
      </c>
      <c r="E83" t="s">
        <v>466</v>
      </c>
      <c r="F83" t="s">
        <v>736</v>
      </c>
      <c r="G83" t="s">
        <v>737</v>
      </c>
      <c r="H83" t="s">
        <v>738</v>
      </c>
      <c r="I83" t="s">
        <v>739</v>
      </c>
      <c r="J83" t="s">
        <v>739</v>
      </c>
      <c r="K83" s="2">
        <v>44469</v>
      </c>
      <c r="L83">
        <v>-460893.36512797198</v>
      </c>
      <c r="M83">
        <v>2385774.0419904399</v>
      </c>
      <c r="N83">
        <v>48124.179227131302</v>
      </c>
      <c r="O83">
        <v>17579.837736374899</v>
      </c>
      <c r="P83">
        <v>-2385774.0419904399</v>
      </c>
      <c r="Q83">
        <v>-1188995.5834258299</v>
      </c>
      <c r="R83">
        <v>6346.4126807563398</v>
      </c>
      <c r="S83">
        <v>8494.6063681884607</v>
      </c>
      <c r="T83">
        <v>0</v>
      </c>
      <c r="U83">
        <v>14668.1358463172</v>
      </c>
      <c r="V83">
        <v>-335769.05325368902</v>
      </c>
    </row>
    <row r="84" spans="1:22" x14ac:dyDescent="0.3">
      <c r="A84" t="str">
        <f t="shared" si="2"/>
        <v>MMXMPrevisão</v>
      </c>
      <c r="B84" t="str">
        <f t="shared" si="3"/>
        <v>MMXMPrevisãoDez-2021</v>
      </c>
      <c r="C84" t="s">
        <v>713</v>
      </c>
      <c r="D84" t="s">
        <v>714</v>
      </c>
      <c r="E84" t="s">
        <v>466</v>
      </c>
      <c r="F84" t="s">
        <v>736</v>
      </c>
      <c r="G84" t="s">
        <v>737</v>
      </c>
      <c r="H84" t="s">
        <v>738</v>
      </c>
      <c r="I84" t="s">
        <v>739</v>
      </c>
      <c r="J84" t="s">
        <v>739</v>
      </c>
      <c r="K84" s="2">
        <v>44561</v>
      </c>
      <c r="L84">
        <v>-628524.92906265904</v>
      </c>
      <c r="M84">
        <v>3201813.1537559498</v>
      </c>
      <c r="N84">
        <v>62457.618225031802</v>
      </c>
      <c r="O84">
        <v>23872.868250077201</v>
      </c>
      <c r="P84">
        <v>-3201813.1537559498</v>
      </c>
      <c r="Q84">
        <v>-1306069.8407445501</v>
      </c>
      <c r="R84">
        <v>8597.7976539588708</v>
      </c>
      <c r="S84">
        <v>8763.5910354956395</v>
      </c>
      <c r="T84">
        <v>0</v>
      </c>
      <c r="U84">
        <v>254234.43161696001</v>
      </c>
      <c r="V84">
        <v>-467590.04617513297</v>
      </c>
    </row>
    <row r="85" spans="1:22" x14ac:dyDescent="0.3">
      <c r="A85" t="str">
        <f t="shared" si="2"/>
        <v>MMXMPrevisão</v>
      </c>
      <c r="B85" t="str">
        <f t="shared" si="3"/>
        <v>MMXMPrevisãoMar-2022</v>
      </c>
      <c r="C85" t="s">
        <v>713</v>
      </c>
      <c r="D85" t="s">
        <v>714</v>
      </c>
      <c r="E85" t="s">
        <v>466</v>
      </c>
      <c r="F85" t="s">
        <v>736</v>
      </c>
      <c r="G85" t="s">
        <v>737</v>
      </c>
      <c r="H85" t="s">
        <v>738</v>
      </c>
      <c r="I85" t="s">
        <v>739</v>
      </c>
      <c r="J85" t="s">
        <v>739</v>
      </c>
      <c r="K85" s="2">
        <v>44651</v>
      </c>
      <c r="L85">
        <v>-823299.91337010497</v>
      </c>
      <c r="M85">
        <v>4140060.72261729</v>
      </c>
      <c r="N85">
        <v>77629.778863289204</v>
      </c>
      <c r="O85">
        <v>31083.296475437801</v>
      </c>
      <c r="P85">
        <v>-4140060.72261729</v>
      </c>
      <c r="Q85">
        <v>-1443040.79587219</v>
      </c>
      <c r="R85">
        <v>11171.139268676299</v>
      </c>
      <c r="S85">
        <v>8985.8558328344097</v>
      </c>
      <c r="T85">
        <v>0</v>
      </c>
      <c r="U85">
        <v>520878.75152167701</v>
      </c>
      <c r="V85">
        <v>-621481.02211097896</v>
      </c>
    </row>
    <row r="86" spans="1:22" x14ac:dyDescent="0.3">
      <c r="A86" t="str">
        <f t="shared" si="2"/>
        <v>ITSAPrevisão</v>
      </c>
      <c r="B86" t="str">
        <f t="shared" si="3"/>
        <v>ITSAPrevisãoDez-2022</v>
      </c>
      <c r="C86" t="s">
        <v>324</v>
      </c>
      <c r="D86" t="s">
        <v>325</v>
      </c>
      <c r="E86" t="s">
        <v>321</v>
      </c>
      <c r="F86" t="s">
        <v>736</v>
      </c>
      <c r="G86" t="s">
        <v>737</v>
      </c>
      <c r="H86" t="s">
        <v>738</v>
      </c>
      <c r="I86" t="s">
        <v>739</v>
      </c>
      <c r="J86" t="s">
        <v>739</v>
      </c>
      <c r="K86" s="2">
        <v>44925</v>
      </c>
      <c r="L86">
        <v>3572705.9672352802</v>
      </c>
      <c r="M86">
        <v>80589356.336475894</v>
      </c>
      <c r="N86">
        <v>5141467.7022324</v>
      </c>
      <c r="O86">
        <v>893109.24369766598</v>
      </c>
      <c r="P86">
        <v>-80589356.336475894</v>
      </c>
      <c r="Q86">
        <v>-3233047.95857736</v>
      </c>
      <c r="R86">
        <v>51503.013326541703</v>
      </c>
      <c r="S86">
        <v>31198.370257213999</v>
      </c>
      <c r="T86">
        <v>24410640.862405401</v>
      </c>
      <c r="U86">
        <v>69704888.7191232</v>
      </c>
      <c r="V86">
        <v>3655586.0283507402</v>
      </c>
    </row>
    <row r="87" spans="1:22" x14ac:dyDescent="0.3">
      <c r="A87" t="str">
        <f t="shared" si="2"/>
        <v>ITSAPrevisão</v>
      </c>
      <c r="B87" t="str">
        <f t="shared" si="3"/>
        <v>ITSAPrevisãoMar-2023</v>
      </c>
      <c r="C87" t="s">
        <v>324</v>
      </c>
      <c r="D87" t="s">
        <v>325</v>
      </c>
      <c r="E87" t="s">
        <v>321</v>
      </c>
      <c r="F87" t="s">
        <v>736</v>
      </c>
      <c r="G87" t="s">
        <v>737</v>
      </c>
      <c r="H87" t="s">
        <v>738</v>
      </c>
      <c r="I87" t="s">
        <v>739</v>
      </c>
      <c r="J87" t="s">
        <v>739</v>
      </c>
      <c r="K87" s="2">
        <v>45015</v>
      </c>
      <c r="L87">
        <v>3853319.3644369999</v>
      </c>
      <c r="M87">
        <v>83547885.3352997</v>
      </c>
      <c r="N87">
        <v>5445522.78864046</v>
      </c>
      <c r="O87">
        <v>976300.85547755205</v>
      </c>
      <c r="P87">
        <v>-83547885.3352997</v>
      </c>
      <c r="Q87">
        <v>-3631815.4999920102</v>
      </c>
      <c r="R87">
        <v>57792.581733756997</v>
      </c>
      <c r="S87">
        <v>24404.276698421501</v>
      </c>
      <c r="T87">
        <v>26547562.011208899</v>
      </c>
      <c r="U87">
        <v>71683906.833494693</v>
      </c>
      <c r="V87">
        <v>3937017.13937017</v>
      </c>
    </row>
    <row r="88" spans="1:22" x14ac:dyDescent="0.3">
      <c r="A88" t="str">
        <f t="shared" si="2"/>
        <v>ITSAPrevisão</v>
      </c>
      <c r="B88" t="str">
        <f t="shared" si="3"/>
        <v>ITSAPrevisãoJun-2023</v>
      </c>
      <c r="C88" t="s">
        <v>324</v>
      </c>
      <c r="D88" t="s">
        <v>325</v>
      </c>
      <c r="E88" t="s">
        <v>321</v>
      </c>
      <c r="F88" t="s">
        <v>736</v>
      </c>
      <c r="G88" t="s">
        <v>737</v>
      </c>
      <c r="H88" t="s">
        <v>738</v>
      </c>
      <c r="I88" t="s">
        <v>739</v>
      </c>
      <c r="J88" t="s">
        <v>739</v>
      </c>
      <c r="K88" s="2">
        <v>45107</v>
      </c>
      <c r="L88">
        <v>4165024.3814238501</v>
      </c>
      <c r="M88">
        <v>86675347.778081894</v>
      </c>
      <c r="N88">
        <v>5767145.7418176197</v>
      </c>
      <c r="O88">
        <v>1066765.53067911</v>
      </c>
      <c r="P88">
        <v>-86675347.778081894</v>
      </c>
      <c r="Q88">
        <v>-4069298.7760388101</v>
      </c>
      <c r="R88">
        <v>64548.575635261601</v>
      </c>
      <c r="S88">
        <v>16943.785609455299</v>
      </c>
      <c r="T88">
        <v>28873524.322682001</v>
      </c>
      <c r="U88">
        <v>73763838.066042498</v>
      </c>
      <c r="V88">
        <v>4248825.09617515</v>
      </c>
    </row>
    <row r="89" spans="1:22" x14ac:dyDescent="0.3">
      <c r="A89" t="str">
        <f t="shared" si="2"/>
        <v>ITSAPrevisão</v>
      </c>
      <c r="B89" t="str">
        <f t="shared" si="3"/>
        <v>ITSAPrevisãoSet-2023</v>
      </c>
      <c r="C89" t="s">
        <v>324</v>
      </c>
      <c r="D89" t="s">
        <v>325</v>
      </c>
      <c r="E89" t="s">
        <v>321</v>
      </c>
      <c r="F89" t="s">
        <v>736</v>
      </c>
      <c r="G89" t="s">
        <v>737</v>
      </c>
      <c r="H89" t="s">
        <v>738</v>
      </c>
      <c r="I89" t="s">
        <v>739</v>
      </c>
      <c r="J89" t="s">
        <v>739</v>
      </c>
      <c r="K89" s="2">
        <v>45199</v>
      </c>
      <c r="L89">
        <v>4509425.6892246604</v>
      </c>
      <c r="M89">
        <v>89978955.966777802</v>
      </c>
      <c r="N89">
        <v>6106873.9494406004</v>
      </c>
      <c r="O89">
        <v>1164841.0996308799</v>
      </c>
      <c r="P89">
        <v>-89978955.966777802</v>
      </c>
      <c r="Q89">
        <v>-4547054.3329151701</v>
      </c>
      <c r="R89">
        <v>71787.055886125599</v>
      </c>
      <c r="S89">
        <v>8788.8399220108804</v>
      </c>
      <c r="T89">
        <v>31395570.128641099</v>
      </c>
      <c r="U89">
        <v>75949581.177810907</v>
      </c>
      <c r="V89">
        <v>4592564.0689049596</v>
      </c>
    </row>
    <row r="90" spans="1:22" x14ac:dyDescent="0.3">
      <c r="A90" t="str">
        <f t="shared" si="2"/>
        <v>BRGEPrevisão</v>
      </c>
      <c r="B90" t="str">
        <f t="shared" si="3"/>
        <v>BRGEPrevisãoDez-2022</v>
      </c>
      <c r="C90" t="s">
        <v>322</v>
      </c>
      <c r="D90" t="s">
        <v>323</v>
      </c>
      <c r="E90" t="s">
        <v>321</v>
      </c>
      <c r="F90" t="s">
        <v>736</v>
      </c>
      <c r="G90" t="s">
        <v>737</v>
      </c>
      <c r="H90" t="s">
        <v>738</v>
      </c>
      <c r="I90" t="s">
        <v>739</v>
      </c>
      <c r="J90" t="s">
        <v>739</v>
      </c>
      <c r="K90" s="2">
        <v>44925</v>
      </c>
      <c r="L90">
        <v>26730.156438333201</v>
      </c>
      <c r="M90">
        <v>1288862.24870547</v>
      </c>
      <c r="N90">
        <v>134511.26364485</v>
      </c>
      <c r="O90">
        <v>0</v>
      </c>
      <c r="P90">
        <v>-1288862.24870547</v>
      </c>
      <c r="Q90">
        <v>-6132.3034547150301</v>
      </c>
      <c r="R90">
        <v>0.99550123080769004</v>
      </c>
      <c r="S90">
        <v>1490.1691706982899</v>
      </c>
      <c r="T90">
        <v>708914.26822849899</v>
      </c>
      <c r="U90">
        <v>1282701.29742801</v>
      </c>
      <c r="V90">
        <v>29813.612681435101</v>
      </c>
    </row>
    <row r="91" spans="1:22" x14ac:dyDescent="0.3">
      <c r="A91" t="str">
        <f t="shared" si="2"/>
        <v>BRGEPrevisão</v>
      </c>
      <c r="B91" t="str">
        <f t="shared" si="3"/>
        <v>BRGEPrevisãoMar-2023</v>
      </c>
      <c r="C91" t="s">
        <v>322</v>
      </c>
      <c r="D91" t="s">
        <v>323</v>
      </c>
      <c r="E91" t="s">
        <v>321</v>
      </c>
      <c r="F91" t="s">
        <v>736</v>
      </c>
      <c r="G91" t="s">
        <v>737</v>
      </c>
      <c r="H91" t="s">
        <v>738</v>
      </c>
      <c r="I91" t="s">
        <v>739</v>
      </c>
      <c r="J91" t="s">
        <v>739</v>
      </c>
      <c r="K91" s="2">
        <v>45015</v>
      </c>
      <c r="L91">
        <v>29980.463742582</v>
      </c>
      <c r="M91">
        <v>1292742.71266599</v>
      </c>
      <c r="N91">
        <v>147640.495490906</v>
      </c>
      <c r="O91">
        <v>0</v>
      </c>
      <c r="P91">
        <v>-1292742.71266599</v>
      </c>
      <c r="Q91">
        <v>-6603.9957857014097</v>
      </c>
      <c r="R91">
        <v>-1.1074038132863899</v>
      </c>
      <c r="S91">
        <v>1762.4961240840501</v>
      </c>
      <c r="T91">
        <v>708972.47044599697</v>
      </c>
      <c r="U91">
        <v>1286130.3156869099</v>
      </c>
      <c r="V91">
        <v>35156.190978602099</v>
      </c>
    </row>
    <row r="92" spans="1:22" x14ac:dyDescent="0.3">
      <c r="A92" t="str">
        <f t="shared" si="2"/>
        <v>BRGEPrevisão</v>
      </c>
      <c r="B92" t="str">
        <f t="shared" si="3"/>
        <v>BRGEPrevisãoJun-2023</v>
      </c>
      <c r="C92" t="s">
        <v>322</v>
      </c>
      <c r="D92" t="s">
        <v>323</v>
      </c>
      <c r="E92" t="s">
        <v>321</v>
      </c>
      <c r="F92" t="s">
        <v>736</v>
      </c>
      <c r="G92" t="s">
        <v>737</v>
      </c>
      <c r="H92" t="s">
        <v>738</v>
      </c>
      <c r="I92" t="s">
        <v>739</v>
      </c>
      <c r="J92" t="s">
        <v>739</v>
      </c>
      <c r="K92" s="2">
        <v>45107</v>
      </c>
      <c r="L92">
        <v>33590.626629565799</v>
      </c>
      <c r="M92">
        <v>1295303.71262722</v>
      </c>
      <c r="N92">
        <v>161722.93582573801</v>
      </c>
      <c r="O92">
        <v>0</v>
      </c>
      <c r="P92">
        <v>-1295303.71262722</v>
      </c>
      <c r="Q92">
        <v>-7116.2328609012602</v>
      </c>
      <c r="R92">
        <v>-4.0462587552527696</v>
      </c>
      <c r="S92">
        <v>2063.3733196020999</v>
      </c>
      <c r="T92">
        <v>708077.15204448905</v>
      </c>
      <c r="U92">
        <v>1288200.1787145501</v>
      </c>
      <c r="V92">
        <v>41028.882108798403</v>
      </c>
    </row>
    <row r="93" spans="1:22" x14ac:dyDescent="0.3">
      <c r="A93" t="str">
        <f t="shared" si="2"/>
        <v>BRGEPrevisão</v>
      </c>
      <c r="B93" t="str">
        <f t="shared" si="3"/>
        <v>BRGEPrevisãoSet-2023</v>
      </c>
      <c r="C93" t="s">
        <v>322</v>
      </c>
      <c r="D93" t="s">
        <v>323</v>
      </c>
      <c r="E93" t="s">
        <v>321</v>
      </c>
      <c r="F93" t="s">
        <v>736</v>
      </c>
      <c r="G93" t="s">
        <v>737</v>
      </c>
      <c r="H93" t="s">
        <v>738</v>
      </c>
      <c r="I93" t="s">
        <v>739</v>
      </c>
      <c r="J93" t="s">
        <v>739</v>
      </c>
      <c r="K93" s="2">
        <v>45199</v>
      </c>
      <c r="L93">
        <v>37577.176687509498</v>
      </c>
      <c r="M93">
        <v>1296492.81650517</v>
      </c>
      <c r="N93">
        <v>176793.92485059501</v>
      </c>
      <c r="O93">
        <v>0</v>
      </c>
      <c r="P93">
        <v>-1296492.81650517</v>
      </c>
      <c r="Q93">
        <v>-7670.5608049102202</v>
      </c>
      <c r="R93">
        <v>-7.9101287801311102</v>
      </c>
      <c r="S93">
        <v>2394.0595161954102</v>
      </c>
      <c r="T93">
        <v>706186.99600700801</v>
      </c>
      <c r="U93">
        <v>1288856.8815506899</v>
      </c>
      <c r="V93">
        <v>47454.6596014651</v>
      </c>
    </row>
    <row r="94" spans="1:22" x14ac:dyDescent="0.3">
      <c r="A94" t="str">
        <f t="shared" si="2"/>
        <v>RPADPrevisão</v>
      </c>
      <c r="B94" t="str">
        <f t="shared" si="3"/>
        <v>RPADPrevisãoDez-2022</v>
      </c>
      <c r="C94" t="s">
        <v>319</v>
      </c>
      <c r="D94" t="s">
        <v>320</v>
      </c>
      <c r="E94" t="s">
        <v>321</v>
      </c>
      <c r="F94" t="s">
        <v>736</v>
      </c>
      <c r="G94" t="s">
        <v>737</v>
      </c>
      <c r="H94" t="s">
        <v>738</v>
      </c>
      <c r="I94" t="s">
        <v>739</v>
      </c>
      <c r="J94" t="s">
        <v>739</v>
      </c>
      <c r="K94" s="2">
        <v>44925</v>
      </c>
      <c r="L94">
        <v>21420.257703087402</v>
      </c>
      <c r="M94">
        <v>1067508.93591376</v>
      </c>
      <c r="N94">
        <v>67969.228758179597</v>
      </c>
      <c r="O94">
        <v>0</v>
      </c>
      <c r="P94">
        <v>-1067508.93591376</v>
      </c>
      <c r="Q94">
        <v>-2237.4222901285302</v>
      </c>
      <c r="R94">
        <v>7.1883541295445301</v>
      </c>
      <c r="S94">
        <v>667.30701977763795</v>
      </c>
      <c r="T94">
        <v>563830.14786519494</v>
      </c>
      <c r="U94">
        <v>1065315.2198455699</v>
      </c>
      <c r="V94">
        <v>25050.266106448998</v>
      </c>
    </row>
    <row r="95" spans="1:22" x14ac:dyDescent="0.3">
      <c r="A95" t="str">
        <f t="shared" si="2"/>
        <v>RPADPrevisão</v>
      </c>
      <c r="B95" t="str">
        <f t="shared" si="3"/>
        <v>RPADPrevisãoMar-2023</v>
      </c>
      <c r="C95" t="s">
        <v>319</v>
      </c>
      <c r="D95" t="s">
        <v>320</v>
      </c>
      <c r="E95" t="s">
        <v>321</v>
      </c>
      <c r="F95" t="s">
        <v>736</v>
      </c>
      <c r="G95" t="s">
        <v>737</v>
      </c>
      <c r="H95" t="s">
        <v>738</v>
      </c>
      <c r="I95" t="s">
        <v>739</v>
      </c>
      <c r="J95" t="s">
        <v>739</v>
      </c>
      <c r="K95" s="2">
        <v>45015</v>
      </c>
      <c r="L95">
        <v>23914.847225383601</v>
      </c>
      <c r="M95">
        <v>1068695.4598334101</v>
      </c>
      <c r="N95">
        <v>78028.8479572129</v>
      </c>
      <c r="O95">
        <v>0</v>
      </c>
      <c r="P95">
        <v>-1068695.4598334101</v>
      </c>
      <c r="Q95">
        <v>-1169.5044379752601</v>
      </c>
      <c r="R95">
        <v>5.4874614874710996</v>
      </c>
      <c r="S95">
        <v>780.22429381255802</v>
      </c>
      <c r="T95">
        <v>562810.03388643498</v>
      </c>
      <c r="U95">
        <v>1067642.2175606301</v>
      </c>
      <c r="V95">
        <v>29483.9086229163</v>
      </c>
    </row>
    <row r="96" spans="1:22" x14ac:dyDescent="0.3">
      <c r="A96" t="str">
        <f t="shared" si="2"/>
        <v>RPADPrevisão</v>
      </c>
      <c r="B96" t="str">
        <f t="shared" si="3"/>
        <v>RPADPrevisãoJun-2023</v>
      </c>
      <c r="C96" t="s">
        <v>319</v>
      </c>
      <c r="D96" t="s">
        <v>320</v>
      </c>
      <c r="E96" t="s">
        <v>321</v>
      </c>
      <c r="F96" t="s">
        <v>736</v>
      </c>
      <c r="G96" t="s">
        <v>737</v>
      </c>
      <c r="H96" t="s">
        <v>738</v>
      </c>
      <c r="I96" t="s">
        <v>739</v>
      </c>
      <c r="J96" t="s">
        <v>739</v>
      </c>
      <c r="K96" s="2">
        <v>45107</v>
      </c>
      <c r="L96">
        <v>26683.2213323531</v>
      </c>
      <c r="M96">
        <v>1068692.73634852</v>
      </c>
      <c r="N96">
        <v>89061.802724898007</v>
      </c>
      <c r="O96">
        <v>0</v>
      </c>
      <c r="P96">
        <v>-1068692.73634852</v>
      </c>
      <c r="Q96">
        <v>29.899041094003199</v>
      </c>
      <c r="R96">
        <v>3.3263255213761602</v>
      </c>
      <c r="S96">
        <v>904.65412181514</v>
      </c>
      <c r="T96">
        <v>561010.87803684606</v>
      </c>
      <c r="U96">
        <v>1068918.4835678299</v>
      </c>
      <c r="V96">
        <v>34353.679118313499</v>
      </c>
    </row>
    <row r="97" spans="1:22" x14ac:dyDescent="0.3">
      <c r="A97" t="str">
        <f t="shared" si="2"/>
        <v>RPADPrevisão</v>
      </c>
      <c r="B97" t="str">
        <f t="shared" si="3"/>
        <v>RPADPrevisãoSet-2023</v>
      </c>
      <c r="C97" t="s">
        <v>319</v>
      </c>
      <c r="D97" t="s">
        <v>320</v>
      </c>
      <c r="E97" t="s">
        <v>321</v>
      </c>
      <c r="F97" t="s">
        <v>736</v>
      </c>
      <c r="G97" t="s">
        <v>737</v>
      </c>
      <c r="H97" t="s">
        <v>738</v>
      </c>
      <c r="I97" t="s">
        <v>739</v>
      </c>
      <c r="J97" t="s">
        <v>739</v>
      </c>
      <c r="K97" s="2">
        <v>45199</v>
      </c>
      <c r="L97">
        <v>29737.853579475599</v>
      </c>
      <c r="M97">
        <v>1067455.1533894299</v>
      </c>
      <c r="N97">
        <v>101110.50181864599</v>
      </c>
      <c r="O97">
        <v>0</v>
      </c>
      <c r="P97">
        <v>-1067455.1533894299</v>
      </c>
      <c r="Q97">
        <v>1366.7439926821701</v>
      </c>
      <c r="R97">
        <v>0.66251468108842404</v>
      </c>
      <c r="S97">
        <v>1041.0782493383299</v>
      </c>
      <c r="T97">
        <v>558399.83940277202</v>
      </c>
      <c r="U97">
        <v>1069104.60904234</v>
      </c>
      <c r="V97">
        <v>39678.375847909498</v>
      </c>
    </row>
    <row r="98" spans="1:22" x14ac:dyDescent="0.3">
      <c r="A98" t="str">
        <f t="shared" si="2"/>
        <v>PDTCPrevisão</v>
      </c>
      <c r="B98" t="str">
        <f t="shared" si="3"/>
        <v>PDTCPrevisãoDez-2022</v>
      </c>
      <c r="C98" t="s">
        <v>406</v>
      </c>
      <c r="D98" t="s">
        <v>407</v>
      </c>
      <c r="E98" t="s">
        <v>405</v>
      </c>
      <c r="F98" t="s">
        <v>736</v>
      </c>
      <c r="G98" t="s">
        <v>737</v>
      </c>
      <c r="H98" t="s">
        <v>738</v>
      </c>
      <c r="I98" t="s">
        <v>739</v>
      </c>
      <c r="J98" t="s">
        <v>739</v>
      </c>
      <c r="K98" s="2">
        <v>44925</v>
      </c>
      <c r="L98">
        <v>1287.3645700591801</v>
      </c>
      <c r="M98">
        <v>243044.992869857</v>
      </c>
      <c r="N98">
        <v>2729.9623970807802</v>
      </c>
      <c r="O98">
        <v>1098.7875392569499</v>
      </c>
      <c r="P98">
        <v>-243044.992869857</v>
      </c>
      <c r="Q98">
        <v>789.02521007652194</v>
      </c>
      <c r="R98">
        <v>292.10389610386397</v>
      </c>
      <c r="S98">
        <v>88.155759273339299</v>
      </c>
      <c r="T98">
        <v>0</v>
      </c>
      <c r="U98">
        <v>220756.412868229</v>
      </c>
      <c r="V98">
        <v>6958.0830999075597</v>
      </c>
    </row>
    <row r="99" spans="1:22" x14ac:dyDescent="0.3">
      <c r="A99" t="str">
        <f t="shared" si="2"/>
        <v>PDTCPrevisão</v>
      </c>
      <c r="B99" t="str">
        <f t="shared" si="3"/>
        <v>PDTCPrevisãoMar-2023</v>
      </c>
      <c r="C99" t="s">
        <v>406</v>
      </c>
      <c r="D99" t="s">
        <v>407</v>
      </c>
      <c r="E99" t="s">
        <v>405</v>
      </c>
      <c r="F99" t="s">
        <v>736</v>
      </c>
      <c r="G99" t="s">
        <v>737</v>
      </c>
      <c r="H99" t="s">
        <v>738</v>
      </c>
      <c r="I99" t="s">
        <v>739</v>
      </c>
      <c r="J99" t="s">
        <v>739</v>
      </c>
      <c r="K99" s="2">
        <v>45015</v>
      </c>
      <c r="L99">
        <v>-830.19029267433996</v>
      </c>
      <c r="M99">
        <v>276444.67630194698</v>
      </c>
      <c r="N99">
        <v>2812.2586276125498</v>
      </c>
      <c r="O99">
        <v>1461.82530276532</v>
      </c>
      <c r="P99">
        <v>-276444.67630194698</v>
      </c>
      <c r="Q99">
        <v>1520.55242636804</v>
      </c>
      <c r="R99">
        <v>308.77821595464599</v>
      </c>
      <c r="S99">
        <v>110.416057004222</v>
      </c>
      <c r="T99">
        <v>0</v>
      </c>
      <c r="U99">
        <v>255895.17619075801</v>
      </c>
      <c r="V99">
        <v>7700.9834708675698</v>
      </c>
    </row>
    <row r="100" spans="1:22" x14ac:dyDescent="0.3">
      <c r="A100" t="str">
        <f t="shared" si="2"/>
        <v>PDTCPrevisão</v>
      </c>
      <c r="B100" t="str">
        <f t="shared" si="3"/>
        <v>PDTCPrevisãoJun-2023</v>
      </c>
      <c r="C100" t="s">
        <v>406</v>
      </c>
      <c r="D100" t="s">
        <v>407</v>
      </c>
      <c r="E100" t="s">
        <v>405</v>
      </c>
      <c r="F100" t="s">
        <v>736</v>
      </c>
      <c r="G100" t="s">
        <v>737</v>
      </c>
      <c r="H100" t="s">
        <v>738</v>
      </c>
      <c r="I100" t="s">
        <v>739</v>
      </c>
      <c r="J100" t="s">
        <v>739</v>
      </c>
      <c r="K100" s="2">
        <v>45107</v>
      </c>
      <c r="L100">
        <v>-3395.4299973003999</v>
      </c>
      <c r="M100">
        <v>312865.95235085802</v>
      </c>
      <c r="N100">
        <v>2910.0540722875298</v>
      </c>
      <c r="O100">
        <v>1895.5682535082999</v>
      </c>
      <c r="P100">
        <v>-312865.95235085802</v>
      </c>
      <c r="Q100">
        <v>2385.2723581526802</v>
      </c>
      <c r="R100">
        <v>327.608162261362</v>
      </c>
      <c r="S100">
        <v>136.70542256293601</v>
      </c>
      <c r="T100">
        <v>0</v>
      </c>
      <c r="U100">
        <v>294121.44322813099</v>
      </c>
      <c r="V100">
        <v>8499.2096523795299</v>
      </c>
    </row>
    <row r="101" spans="1:22" x14ac:dyDescent="0.3">
      <c r="A101" t="str">
        <f t="shared" si="2"/>
        <v>PDTCPrevisão</v>
      </c>
      <c r="B101" t="str">
        <f t="shared" si="3"/>
        <v>PDTCPrevisãoSet-2023</v>
      </c>
      <c r="C101" t="s">
        <v>406</v>
      </c>
      <c r="D101" t="s">
        <v>407</v>
      </c>
      <c r="E101" t="s">
        <v>405</v>
      </c>
      <c r="F101" t="s">
        <v>736</v>
      </c>
      <c r="G101" t="s">
        <v>737</v>
      </c>
      <c r="H101" t="s">
        <v>738</v>
      </c>
      <c r="I101" t="s">
        <v>739</v>
      </c>
      <c r="J101" t="s">
        <v>739</v>
      </c>
      <c r="K101" s="2">
        <v>45199</v>
      </c>
      <c r="L101">
        <v>-6435.3740045319</v>
      </c>
      <c r="M101">
        <v>352411.479207895</v>
      </c>
      <c r="N101">
        <v>3023.2864914645302</v>
      </c>
      <c r="O101">
        <v>2404.1616439500299</v>
      </c>
      <c r="P101">
        <v>-352411.479207895</v>
      </c>
      <c r="Q101">
        <v>3392.32667579801</v>
      </c>
      <c r="R101">
        <v>348.69518677562002</v>
      </c>
      <c r="S101">
        <v>167.243737352024</v>
      </c>
      <c r="T101">
        <v>0</v>
      </c>
      <c r="U101">
        <v>335534.24098097801</v>
      </c>
      <c r="V101">
        <v>9355.0387338691398</v>
      </c>
    </row>
    <row r="102" spans="1:22" x14ac:dyDescent="0.3">
      <c r="A102" t="str">
        <f t="shared" si="2"/>
        <v>IGTIPrevisão</v>
      </c>
      <c r="B102" t="str">
        <f t="shared" si="3"/>
        <v>IGTIPrevisãoDez-2016</v>
      </c>
      <c r="C102" t="s">
        <v>717</v>
      </c>
      <c r="D102" t="s">
        <v>404</v>
      </c>
      <c r="E102" t="s">
        <v>405</v>
      </c>
      <c r="F102" t="s">
        <v>736</v>
      </c>
      <c r="G102" t="s">
        <v>737</v>
      </c>
      <c r="H102" t="s">
        <v>738</v>
      </c>
      <c r="I102" t="s">
        <v>739</v>
      </c>
      <c r="J102" t="s">
        <v>739</v>
      </c>
      <c r="K102" s="2">
        <v>42734</v>
      </c>
      <c r="L102">
        <v>-59772.453781522803</v>
      </c>
      <c r="M102">
        <v>1141110.10635755</v>
      </c>
      <c r="N102">
        <v>-158366.89805618301</v>
      </c>
      <c r="O102">
        <v>0.719887955180045</v>
      </c>
      <c r="P102">
        <v>-1141110.10635755</v>
      </c>
      <c r="Q102">
        <v>37276.332399638901</v>
      </c>
      <c r="R102">
        <v>1420.82717935764</v>
      </c>
      <c r="S102">
        <v>-49.331890331854503</v>
      </c>
      <c r="T102">
        <v>492532.82870716002</v>
      </c>
      <c r="U102">
        <v>1132680.9024698699</v>
      </c>
      <c r="V102">
        <v>396.44359562001802</v>
      </c>
    </row>
    <row r="103" spans="1:22" x14ac:dyDescent="0.3">
      <c r="A103" t="str">
        <f t="shared" si="2"/>
        <v>IGTIPrevisão</v>
      </c>
      <c r="B103" t="str">
        <f t="shared" si="3"/>
        <v>IGTIPrevisãoMar-2017</v>
      </c>
      <c r="C103" t="s">
        <v>717</v>
      </c>
      <c r="D103" t="s">
        <v>404</v>
      </c>
      <c r="E103" t="s">
        <v>405</v>
      </c>
      <c r="F103" t="s">
        <v>736</v>
      </c>
      <c r="G103" t="s">
        <v>737</v>
      </c>
      <c r="H103" t="s">
        <v>738</v>
      </c>
      <c r="I103" t="s">
        <v>739</v>
      </c>
      <c r="J103" t="s">
        <v>739</v>
      </c>
      <c r="K103" s="2">
        <v>42824</v>
      </c>
      <c r="L103">
        <v>-69174.012945725801</v>
      </c>
      <c r="M103">
        <v>996663.06249631103</v>
      </c>
      <c r="N103">
        <v>-234328.74477226401</v>
      </c>
      <c r="O103">
        <v>-3.1092436974815798</v>
      </c>
      <c r="P103">
        <v>-996663.06249631103</v>
      </c>
      <c r="Q103">
        <v>57293.374189331102</v>
      </c>
      <c r="R103">
        <v>1584.4069837612201</v>
      </c>
      <c r="S103">
        <v>-110.802691920288</v>
      </c>
      <c r="T103">
        <v>416288.37592357403</v>
      </c>
      <c r="U103">
        <v>1038713.20962274</v>
      </c>
      <c r="V103">
        <v>356.46209540323298</v>
      </c>
    </row>
    <row r="104" spans="1:22" x14ac:dyDescent="0.3">
      <c r="A104" t="str">
        <f t="shared" si="2"/>
        <v>IGTIPrevisão</v>
      </c>
      <c r="B104" t="str">
        <f t="shared" si="3"/>
        <v>IGTIPrevisãoJun-2017</v>
      </c>
      <c r="C104" t="s">
        <v>717</v>
      </c>
      <c r="D104" t="s">
        <v>404</v>
      </c>
      <c r="E104" t="s">
        <v>405</v>
      </c>
      <c r="F104" t="s">
        <v>736</v>
      </c>
      <c r="G104" t="s">
        <v>737</v>
      </c>
      <c r="H104" t="s">
        <v>738</v>
      </c>
      <c r="I104" t="s">
        <v>739</v>
      </c>
      <c r="J104" t="s">
        <v>739</v>
      </c>
      <c r="K104" s="2">
        <v>42916</v>
      </c>
      <c r="L104">
        <v>-78757.357881989403</v>
      </c>
      <c r="M104">
        <v>843142.92451300495</v>
      </c>
      <c r="N104">
        <v>-317983.91521173</v>
      </c>
      <c r="O104">
        <v>-7.3946551593642997</v>
      </c>
      <c r="P104">
        <v>-843142.92451300495</v>
      </c>
      <c r="Q104">
        <v>79302.843821284507</v>
      </c>
      <c r="R104">
        <v>1785.03321221744</v>
      </c>
      <c r="S104">
        <v>-177.69263574210399</v>
      </c>
      <c r="T104">
        <v>331078.199878952</v>
      </c>
      <c r="U104">
        <v>941086.82460581802</v>
      </c>
      <c r="V104">
        <v>314.318352971575</v>
      </c>
    </row>
    <row r="105" spans="1:22" x14ac:dyDescent="0.3">
      <c r="A105" t="str">
        <f t="shared" si="2"/>
        <v>IGTIPrevisão</v>
      </c>
      <c r="B105" t="str">
        <f t="shared" si="3"/>
        <v>IGTIPrevisãoSet-2017</v>
      </c>
      <c r="C105" t="s">
        <v>717</v>
      </c>
      <c r="D105" t="s">
        <v>404</v>
      </c>
      <c r="E105" t="s">
        <v>405</v>
      </c>
      <c r="F105" t="s">
        <v>736</v>
      </c>
      <c r="G105" t="s">
        <v>737</v>
      </c>
      <c r="H105" t="s">
        <v>738</v>
      </c>
      <c r="I105" t="s">
        <v>739</v>
      </c>
      <c r="J105" t="s">
        <v>739</v>
      </c>
      <c r="K105" s="2">
        <v>43008</v>
      </c>
      <c r="L105">
        <v>-88502.592840789497</v>
      </c>
      <c r="M105">
        <v>680435.53599649295</v>
      </c>
      <c r="N105">
        <v>-409641.35994475899</v>
      </c>
      <c r="O105">
        <v>-12.156237481318801</v>
      </c>
      <c r="P105">
        <v>-680435.53599649295</v>
      </c>
      <c r="Q105">
        <v>103388.548828681</v>
      </c>
      <c r="R105">
        <v>2025.03859335007</v>
      </c>
      <c r="S105">
        <v>-250.182355200844</v>
      </c>
      <c r="T105">
        <v>236515.15589367901</v>
      </c>
      <c r="U105">
        <v>839916.77880815696</v>
      </c>
      <c r="V105">
        <v>269.99601561519501</v>
      </c>
    </row>
    <row r="106" spans="1:22" x14ac:dyDescent="0.3">
      <c r="A106" t="str">
        <f t="shared" si="2"/>
        <v>MNPRPrevisão</v>
      </c>
      <c r="B106" t="str">
        <f t="shared" si="3"/>
        <v>MNPRPrevisãoDez-2022</v>
      </c>
      <c r="C106" t="s">
        <v>241</v>
      </c>
      <c r="D106" t="s">
        <v>242</v>
      </c>
      <c r="E106" t="s">
        <v>238</v>
      </c>
      <c r="F106" t="s">
        <v>736</v>
      </c>
      <c r="G106" t="s">
        <v>737</v>
      </c>
      <c r="H106" t="s">
        <v>738</v>
      </c>
      <c r="I106" t="s">
        <v>739</v>
      </c>
      <c r="J106" t="s">
        <v>739</v>
      </c>
      <c r="K106" s="2">
        <v>44925</v>
      </c>
      <c r="L106">
        <v>11093.246583484901</v>
      </c>
      <c r="M106">
        <v>25356.4349375852</v>
      </c>
      <c r="N106">
        <v>5230.7978100299397</v>
      </c>
      <c r="O106">
        <v>3.2000679059557502</v>
      </c>
      <c r="P106">
        <v>-25356.4349375852</v>
      </c>
      <c r="Q106">
        <v>-1971.70418470409</v>
      </c>
      <c r="R106">
        <v>190.70291146757199</v>
      </c>
      <c r="S106">
        <v>181.492233256823</v>
      </c>
      <c r="T106">
        <v>6667.9693574404901</v>
      </c>
      <c r="U106">
        <v>-354005.96061443602</v>
      </c>
      <c r="V106">
        <v>13016.004159238801</v>
      </c>
    </row>
    <row r="107" spans="1:22" x14ac:dyDescent="0.3">
      <c r="A107" t="str">
        <f t="shared" si="2"/>
        <v>MNPRPrevisão</v>
      </c>
      <c r="B107" t="str">
        <f t="shared" si="3"/>
        <v>MNPRPrevisãoMar-2023</v>
      </c>
      <c r="C107" t="s">
        <v>241</v>
      </c>
      <c r="D107" t="s">
        <v>242</v>
      </c>
      <c r="E107" t="s">
        <v>238</v>
      </c>
      <c r="F107" t="s">
        <v>736</v>
      </c>
      <c r="G107" t="s">
        <v>737</v>
      </c>
      <c r="H107" t="s">
        <v>738</v>
      </c>
      <c r="I107" t="s">
        <v>739</v>
      </c>
      <c r="J107" t="s">
        <v>739</v>
      </c>
      <c r="K107" s="2">
        <v>45015</v>
      </c>
      <c r="L107">
        <v>12291.4981062075</v>
      </c>
      <c r="M107">
        <v>28159.2478888066</v>
      </c>
      <c r="N107">
        <v>7356.0417965673096</v>
      </c>
      <c r="O107">
        <v>4.7368300309542599</v>
      </c>
      <c r="P107">
        <v>-28159.2478888066</v>
      </c>
      <c r="Q107">
        <v>-2281.7997049760902</v>
      </c>
      <c r="R107">
        <v>205.74653874648999</v>
      </c>
      <c r="S107">
        <v>239.63749234323001</v>
      </c>
      <c r="T107">
        <v>7792.4599871077498</v>
      </c>
      <c r="U107">
        <v>-355260.23431212001</v>
      </c>
      <c r="V107">
        <v>14369.656125185</v>
      </c>
    </row>
    <row r="108" spans="1:22" x14ac:dyDescent="0.3">
      <c r="A108" t="str">
        <f t="shared" si="2"/>
        <v>MNPRPrevisão</v>
      </c>
      <c r="B108" t="str">
        <f t="shared" si="3"/>
        <v>MNPRPrevisãoJun-2023</v>
      </c>
      <c r="C108" t="s">
        <v>241</v>
      </c>
      <c r="D108" t="s">
        <v>242</v>
      </c>
      <c r="E108" t="s">
        <v>238</v>
      </c>
      <c r="F108" t="s">
        <v>736</v>
      </c>
      <c r="G108" t="s">
        <v>737</v>
      </c>
      <c r="H108" t="s">
        <v>738</v>
      </c>
      <c r="I108" t="s">
        <v>739</v>
      </c>
      <c r="J108" t="s">
        <v>739</v>
      </c>
      <c r="K108" s="2">
        <v>45107</v>
      </c>
      <c r="L108">
        <v>13566.179184174</v>
      </c>
      <c r="M108">
        <v>31363.0559796329</v>
      </c>
      <c r="N108">
        <v>9794.0336485768603</v>
      </c>
      <c r="O108">
        <v>6.5395700070700604</v>
      </c>
      <c r="P108">
        <v>-31363.0559796329</v>
      </c>
      <c r="Q108">
        <v>-2626.3763398716201</v>
      </c>
      <c r="R108">
        <v>223.10364519956801</v>
      </c>
      <c r="S108">
        <v>305.78596223160599</v>
      </c>
      <c r="T108">
        <v>9023.9064834615492</v>
      </c>
      <c r="U108">
        <v>-356705.05698630598</v>
      </c>
      <c r="V108">
        <v>15806.6825907565</v>
      </c>
    </row>
    <row r="109" spans="1:22" x14ac:dyDescent="0.3">
      <c r="A109" t="str">
        <f t="shared" si="2"/>
        <v>MNPRPrevisão</v>
      </c>
      <c r="B109" t="str">
        <f t="shared" si="3"/>
        <v>MNPRPrevisãoSet-2023</v>
      </c>
      <c r="C109" t="s">
        <v>241</v>
      </c>
      <c r="D109" t="s">
        <v>242</v>
      </c>
      <c r="E109" t="s">
        <v>238</v>
      </c>
      <c r="F109" t="s">
        <v>736</v>
      </c>
      <c r="G109" t="s">
        <v>737</v>
      </c>
      <c r="H109" t="s">
        <v>738</v>
      </c>
      <c r="I109" t="s">
        <v>739</v>
      </c>
      <c r="J109" t="s">
        <v>739</v>
      </c>
      <c r="K109" s="2">
        <v>45199</v>
      </c>
      <c r="L109">
        <v>14920.390449484999</v>
      </c>
      <c r="M109">
        <v>34988.277116593403</v>
      </c>
      <c r="N109">
        <v>12559.653856499501</v>
      </c>
      <c r="O109">
        <v>8.6231631309121806</v>
      </c>
      <c r="P109">
        <v>-34988.277116593403</v>
      </c>
      <c r="Q109">
        <v>-3006.9536869288499</v>
      </c>
      <c r="R109">
        <v>242.898992341661</v>
      </c>
      <c r="S109">
        <v>380.23100183760101</v>
      </c>
      <c r="T109">
        <v>10366.8105404494</v>
      </c>
      <c r="U109">
        <v>-358396.796942127</v>
      </c>
      <c r="V109">
        <v>17330.2972946222</v>
      </c>
    </row>
    <row r="110" spans="1:22" x14ac:dyDescent="0.3">
      <c r="A110" t="str">
        <f t="shared" si="2"/>
        <v>JOPAPrevisão</v>
      </c>
      <c r="B110" t="str">
        <f t="shared" si="3"/>
        <v>JOPAPrevisãoDez-2022</v>
      </c>
      <c r="C110" t="s">
        <v>236</v>
      </c>
      <c r="D110" t="s">
        <v>237</v>
      </c>
      <c r="E110" t="s">
        <v>238</v>
      </c>
      <c r="F110" t="s">
        <v>736</v>
      </c>
      <c r="G110" t="s">
        <v>737</v>
      </c>
      <c r="H110" t="s">
        <v>738</v>
      </c>
      <c r="I110" t="s">
        <v>739</v>
      </c>
      <c r="J110" t="s">
        <v>739</v>
      </c>
      <c r="K110" s="2">
        <v>44925</v>
      </c>
      <c r="L110">
        <v>12495.095662505901</v>
      </c>
      <c r="M110">
        <v>2257541.3099906002</v>
      </c>
      <c r="N110">
        <v>1717199.3762837399</v>
      </c>
      <c r="O110">
        <v>461017.64663436101</v>
      </c>
      <c r="P110">
        <v>-2257541.3099906002</v>
      </c>
      <c r="Q110">
        <v>-871192.13649105595</v>
      </c>
      <c r="R110">
        <v>16384.747389864599</v>
      </c>
      <c r="S110">
        <v>15987.1589848031</v>
      </c>
      <c r="T110">
        <v>281843.30345470202</v>
      </c>
      <c r="U110">
        <v>565963.60716407397</v>
      </c>
      <c r="V110">
        <v>680569.05797463295</v>
      </c>
    </row>
    <row r="111" spans="1:22" x14ac:dyDescent="0.3">
      <c r="A111" t="str">
        <f t="shared" si="2"/>
        <v>JOPAPrevisão</v>
      </c>
      <c r="B111" t="str">
        <f t="shared" si="3"/>
        <v>JOPAPrevisãoMar-2023</v>
      </c>
      <c r="C111" t="s">
        <v>236</v>
      </c>
      <c r="D111" t="s">
        <v>237</v>
      </c>
      <c r="E111" t="s">
        <v>238</v>
      </c>
      <c r="F111" t="s">
        <v>736</v>
      </c>
      <c r="G111" t="s">
        <v>737</v>
      </c>
      <c r="H111" t="s">
        <v>738</v>
      </c>
      <c r="I111" t="s">
        <v>739</v>
      </c>
      <c r="J111" t="s">
        <v>739</v>
      </c>
      <c r="K111" s="2">
        <v>45015</v>
      </c>
      <c r="L111">
        <v>13368.5608618529</v>
      </c>
      <c r="M111">
        <v>2347526.6633860301</v>
      </c>
      <c r="N111">
        <v>1817296.4111842001</v>
      </c>
      <c r="O111">
        <v>475001.73916080699</v>
      </c>
      <c r="P111">
        <v>-2347526.6633860301</v>
      </c>
      <c r="Q111">
        <v>-910827.36638942605</v>
      </c>
      <c r="R111">
        <v>16666.444249443899</v>
      </c>
      <c r="S111">
        <v>17440.1121296971</v>
      </c>
      <c r="T111">
        <v>290787.33714385203</v>
      </c>
      <c r="U111">
        <v>569763.41631623602</v>
      </c>
      <c r="V111">
        <v>744189.89409875905</v>
      </c>
    </row>
    <row r="112" spans="1:22" x14ac:dyDescent="0.3">
      <c r="A112" t="str">
        <f t="shared" si="2"/>
        <v>JOPAPrevisão</v>
      </c>
      <c r="B112" t="str">
        <f t="shared" si="3"/>
        <v>JOPAPrevisãoJun-2023</v>
      </c>
      <c r="C112" t="s">
        <v>236</v>
      </c>
      <c r="D112" t="s">
        <v>237</v>
      </c>
      <c r="E112" t="s">
        <v>238</v>
      </c>
      <c r="F112" t="s">
        <v>736</v>
      </c>
      <c r="G112" t="s">
        <v>737</v>
      </c>
      <c r="H112" t="s">
        <v>738</v>
      </c>
      <c r="I112" t="s">
        <v>739</v>
      </c>
      <c r="J112" t="s">
        <v>739</v>
      </c>
      <c r="K112" s="2">
        <v>45107</v>
      </c>
      <c r="L112">
        <v>14317.282491406701</v>
      </c>
      <c r="M112">
        <v>2443965.22928409</v>
      </c>
      <c r="N112">
        <v>1925989.20082524</v>
      </c>
      <c r="O112">
        <v>490049.575719252</v>
      </c>
      <c r="P112">
        <v>-2443965.22928409</v>
      </c>
      <c r="Q112">
        <v>-953804.55001878005</v>
      </c>
      <c r="R112">
        <v>16940.838618079801</v>
      </c>
      <c r="S112">
        <v>19062.5818551015</v>
      </c>
      <c r="T112">
        <v>299899.51314824901</v>
      </c>
      <c r="U112">
        <v>573127.29661497404</v>
      </c>
      <c r="V112">
        <v>813629.97013071994</v>
      </c>
    </row>
    <row r="113" spans="1:22" x14ac:dyDescent="0.3">
      <c r="A113" t="str">
        <f t="shared" si="2"/>
        <v>JOPAPrevisão</v>
      </c>
      <c r="B113" t="str">
        <f t="shared" si="3"/>
        <v>JOPAPrevisãoSet-2023</v>
      </c>
      <c r="C113" t="s">
        <v>236</v>
      </c>
      <c r="D113" t="s">
        <v>237</v>
      </c>
      <c r="E113" t="s">
        <v>238</v>
      </c>
      <c r="F113" t="s">
        <v>736</v>
      </c>
      <c r="G113" t="s">
        <v>737</v>
      </c>
      <c r="H113" t="s">
        <v>738</v>
      </c>
      <c r="I113" t="s">
        <v>739</v>
      </c>
      <c r="J113" t="s">
        <v>739</v>
      </c>
      <c r="K113" s="2">
        <v>45199</v>
      </c>
      <c r="L113">
        <v>15344.535002132199</v>
      </c>
      <c r="M113">
        <v>2547164.0100369998</v>
      </c>
      <c r="N113">
        <v>2043691.0051221901</v>
      </c>
      <c r="O113">
        <v>506223.81215959601</v>
      </c>
      <c r="P113">
        <v>-2547164.0100369998</v>
      </c>
      <c r="Q113">
        <v>-1000294.1081943701</v>
      </c>
      <c r="R113">
        <v>17207.500069199501</v>
      </c>
      <c r="S113">
        <v>20863.076018697499</v>
      </c>
      <c r="T113">
        <v>309178.37221583398</v>
      </c>
      <c r="U113">
        <v>576030.88062591106</v>
      </c>
      <c r="V113">
        <v>889141.358788062</v>
      </c>
    </row>
    <row r="114" spans="1:22" x14ac:dyDescent="0.3">
      <c r="A114" t="str">
        <f t="shared" si="2"/>
        <v>BRFSPrevisão</v>
      </c>
      <c r="B114" t="str">
        <f t="shared" si="3"/>
        <v>BRFSPrevisãoDez-2022</v>
      </c>
      <c r="C114" t="s">
        <v>239</v>
      </c>
      <c r="D114" t="s">
        <v>240</v>
      </c>
      <c r="E114" t="s">
        <v>238</v>
      </c>
      <c r="F114" t="s">
        <v>736</v>
      </c>
      <c r="G114" t="s">
        <v>737</v>
      </c>
      <c r="H114" t="s">
        <v>738</v>
      </c>
      <c r="I114" t="s">
        <v>739</v>
      </c>
      <c r="J114" t="s">
        <v>739</v>
      </c>
      <c r="K114" s="2">
        <v>44925</v>
      </c>
      <c r="L114">
        <v>-387057.274764437</v>
      </c>
      <c r="M114">
        <v>66662793.454383202</v>
      </c>
      <c r="N114">
        <v>22777824.310839701</v>
      </c>
      <c r="O114">
        <v>5879791.0445617596</v>
      </c>
      <c r="P114">
        <v>-66662793.454383202</v>
      </c>
      <c r="Q114">
        <v>-31174294.0659534</v>
      </c>
      <c r="R114">
        <v>291152.65317035199</v>
      </c>
      <c r="S114">
        <v>249279.94100664501</v>
      </c>
      <c r="T114">
        <v>673534.88804073399</v>
      </c>
      <c r="U114">
        <v>13478075.727706401</v>
      </c>
      <c r="V114">
        <v>13833891.021392699</v>
      </c>
    </row>
    <row r="115" spans="1:22" x14ac:dyDescent="0.3">
      <c r="A115" t="str">
        <f t="shared" si="2"/>
        <v>BRFSPrevisão</v>
      </c>
      <c r="B115" t="str">
        <f t="shared" si="3"/>
        <v>BRFSPrevisãoMar-2023</v>
      </c>
      <c r="C115" t="s">
        <v>239</v>
      </c>
      <c r="D115" t="s">
        <v>240</v>
      </c>
      <c r="E115" t="s">
        <v>238</v>
      </c>
      <c r="F115" t="s">
        <v>736</v>
      </c>
      <c r="G115" t="s">
        <v>737</v>
      </c>
      <c r="H115" t="s">
        <v>738</v>
      </c>
      <c r="I115" t="s">
        <v>739</v>
      </c>
      <c r="J115" t="s">
        <v>739</v>
      </c>
      <c r="K115" s="2">
        <v>45015</v>
      </c>
      <c r="L115">
        <v>-373816.48371975002</v>
      </c>
      <c r="M115">
        <v>69664809.071353793</v>
      </c>
      <c r="N115">
        <v>23568360.1552369</v>
      </c>
      <c r="O115">
        <v>5719301.0809694501</v>
      </c>
      <c r="P115">
        <v>-69664809.071353793</v>
      </c>
      <c r="Q115">
        <v>-32658791.687162101</v>
      </c>
      <c r="R115">
        <v>287957.91671655403</v>
      </c>
      <c r="S115">
        <v>249190.258310962</v>
      </c>
      <c r="T115">
        <v>1059892.9749789599</v>
      </c>
      <c r="U115">
        <v>15043470.6222839</v>
      </c>
      <c r="V115">
        <v>15127726.5647831</v>
      </c>
    </row>
    <row r="116" spans="1:22" x14ac:dyDescent="0.3">
      <c r="A116" t="str">
        <f t="shared" si="2"/>
        <v>BRFSPrevisão</v>
      </c>
      <c r="B116" t="str">
        <f t="shared" si="3"/>
        <v>BRFSPrevisãoJun-2023</v>
      </c>
      <c r="C116" t="s">
        <v>239</v>
      </c>
      <c r="D116" t="s">
        <v>240</v>
      </c>
      <c r="E116" t="s">
        <v>238</v>
      </c>
      <c r="F116" t="s">
        <v>736</v>
      </c>
      <c r="G116" t="s">
        <v>737</v>
      </c>
      <c r="H116" t="s">
        <v>738</v>
      </c>
      <c r="I116" t="s">
        <v>739</v>
      </c>
      <c r="J116" t="s">
        <v>739</v>
      </c>
      <c r="K116" s="2">
        <v>45107</v>
      </c>
      <c r="L116">
        <v>-354784.05598686798</v>
      </c>
      <c r="M116">
        <v>72897028.367982104</v>
      </c>
      <c r="N116">
        <v>24425774.000439301</v>
      </c>
      <c r="O116">
        <v>5547145.7863678997</v>
      </c>
      <c r="P116">
        <v>-72897028.367982104</v>
      </c>
      <c r="Q116">
        <v>-34204225.7424822</v>
      </c>
      <c r="R116">
        <v>283041.77642906399</v>
      </c>
      <c r="S116">
        <v>249236.62475713901</v>
      </c>
      <c r="T116">
        <v>1521401.4966882099</v>
      </c>
      <c r="U116">
        <v>16836116.734383099</v>
      </c>
      <c r="V116">
        <v>16561525.9614398</v>
      </c>
    </row>
    <row r="117" spans="1:22" x14ac:dyDescent="0.3">
      <c r="A117" t="str">
        <f t="shared" si="2"/>
        <v>BRFSPrevisão</v>
      </c>
      <c r="B117" t="str">
        <f t="shared" si="3"/>
        <v>BRFSPrevisãoSet-2023</v>
      </c>
      <c r="C117" t="s">
        <v>239</v>
      </c>
      <c r="D117" t="s">
        <v>240</v>
      </c>
      <c r="E117" t="s">
        <v>238</v>
      </c>
      <c r="F117" t="s">
        <v>736</v>
      </c>
      <c r="G117" t="s">
        <v>737</v>
      </c>
      <c r="H117" t="s">
        <v>738</v>
      </c>
      <c r="I117" t="s">
        <v>739</v>
      </c>
      <c r="J117" t="s">
        <v>739</v>
      </c>
      <c r="K117" s="2">
        <v>45199</v>
      </c>
      <c r="L117">
        <v>-329640.76445153798</v>
      </c>
      <c r="M117">
        <v>76370596.285315096</v>
      </c>
      <c r="N117">
        <v>25354375.215969801</v>
      </c>
      <c r="O117">
        <v>5363751.9398839502</v>
      </c>
      <c r="P117">
        <v>-76370596.285315096</v>
      </c>
      <c r="Q117">
        <v>-35812294.126781903</v>
      </c>
      <c r="R117">
        <v>276306.69874903699</v>
      </c>
      <c r="S117">
        <v>249455.20253302099</v>
      </c>
      <c r="T117">
        <v>2062385.14989918</v>
      </c>
      <c r="U117">
        <v>18867409.236967601</v>
      </c>
      <c r="V117">
        <v>18142232.2924929</v>
      </c>
    </row>
    <row r="118" spans="1:22" x14ac:dyDescent="0.3">
      <c r="A118" t="str">
        <f t="shared" si="2"/>
        <v>SEERPrevisão</v>
      </c>
      <c r="B118" t="str">
        <f t="shared" si="3"/>
        <v>SEERPrevisãoDez-2022</v>
      </c>
      <c r="C118" t="s">
        <v>234</v>
      </c>
      <c r="D118" t="s">
        <v>235</v>
      </c>
      <c r="E118" t="s">
        <v>231</v>
      </c>
      <c r="F118" t="s">
        <v>736</v>
      </c>
      <c r="G118" t="s">
        <v>737</v>
      </c>
      <c r="H118" t="s">
        <v>738</v>
      </c>
      <c r="I118" t="s">
        <v>739</v>
      </c>
      <c r="J118" t="s">
        <v>739</v>
      </c>
      <c r="K118" s="2">
        <v>44925</v>
      </c>
      <c r="L118">
        <v>-53037.289290287503</v>
      </c>
      <c r="M118">
        <v>2484189.9661739399</v>
      </c>
      <c r="N118">
        <v>31142.686480788299</v>
      </c>
      <c r="O118">
        <v>236952.426819949</v>
      </c>
      <c r="P118">
        <v>-2484189.9661739399</v>
      </c>
      <c r="Q118">
        <v>-275926.15540959901</v>
      </c>
      <c r="R118">
        <v>65369.677394631603</v>
      </c>
      <c r="S118">
        <v>6278.93804050374</v>
      </c>
      <c r="T118">
        <v>506875.81627417199</v>
      </c>
      <c r="U118">
        <v>1291043.36026283</v>
      </c>
      <c r="V118">
        <v>176712.212661917</v>
      </c>
    </row>
    <row r="119" spans="1:22" x14ac:dyDescent="0.3">
      <c r="A119" t="str">
        <f t="shared" si="2"/>
        <v>SEERPrevisão</v>
      </c>
      <c r="B119" t="str">
        <f t="shared" si="3"/>
        <v>SEERPrevisãoMar-2023</v>
      </c>
      <c r="C119" t="s">
        <v>234</v>
      </c>
      <c r="D119" t="s">
        <v>235</v>
      </c>
      <c r="E119" t="s">
        <v>231</v>
      </c>
      <c r="F119" t="s">
        <v>736</v>
      </c>
      <c r="G119" t="s">
        <v>737</v>
      </c>
      <c r="H119" t="s">
        <v>738</v>
      </c>
      <c r="I119" t="s">
        <v>739</v>
      </c>
      <c r="J119" t="s">
        <v>739</v>
      </c>
      <c r="K119" s="2">
        <v>45015</v>
      </c>
      <c r="L119">
        <v>-66414.854539154694</v>
      </c>
      <c r="M119">
        <v>2514020.2027860298</v>
      </c>
      <c r="N119">
        <v>-92424.229669402295</v>
      </c>
      <c r="O119">
        <v>265878.78647883201</v>
      </c>
      <c r="P119">
        <v>-2514020.2027860298</v>
      </c>
      <c r="Q119">
        <v>-268418.31269194197</v>
      </c>
      <c r="R119">
        <v>69234.575429484597</v>
      </c>
      <c r="S119">
        <v>6879.7310909831403</v>
      </c>
      <c r="T119">
        <v>543852.25667529099</v>
      </c>
      <c r="U119">
        <v>1235877.9590233699</v>
      </c>
      <c r="V119">
        <v>186207.93401015201</v>
      </c>
    </row>
    <row r="120" spans="1:22" x14ac:dyDescent="0.3">
      <c r="A120" t="str">
        <f t="shared" si="2"/>
        <v>SEERPrevisão</v>
      </c>
      <c r="B120" t="str">
        <f t="shared" si="3"/>
        <v>SEERPrevisãoJun-2023</v>
      </c>
      <c r="C120" t="s">
        <v>234</v>
      </c>
      <c r="D120" t="s">
        <v>235</v>
      </c>
      <c r="E120" t="s">
        <v>231</v>
      </c>
      <c r="F120" t="s">
        <v>736</v>
      </c>
      <c r="G120" t="s">
        <v>737</v>
      </c>
      <c r="H120" t="s">
        <v>738</v>
      </c>
      <c r="I120" t="s">
        <v>739</v>
      </c>
      <c r="J120" t="s">
        <v>739</v>
      </c>
      <c r="K120" s="2">
        <v>45107</v>
      </c>
      <c r="L120">
        <v>-80600.686252524203</v>
      </c>
      <c r="M120">
        <v>2544421.0717475498</v>
      </c>
      <c r="N120">
        <v>-228862.72685539801</v>
      </c>
      <c r="O120">
        <v>299327.01956188999</v>
      </c>
      <c r="P120">
        <v>-2544421.0717475498</v>
      </c>
      <c r="Q120">
        <v>-259065.71066279101</v>
      </c>
      <c r="R120">
        <v>73516.274724997493</v>
      </c>
      <c r="S120">
        <v>7567.7698973288498</v>
      </c>
      <c r="T120">
        <v>587491.73097429995</v>
      </c>
      <c r="U120">
        <v>1172560.80377151</v>
      </c>
      <c r="V120">
        <v>196646.320831046</v>
      </c>
    </row>
    <row r="121" spans="1:22" x14ac:dyDescent="0.3">
      <c r="A121" t="str">
        <f t="shared" si="2"/>
        <v>SEERPrevisão</v>
      </c>
      <c r="B121" t="str">
        <f t="shared" si="3"/>
        <v>SEERPrevisãoSet-2023</v>
      </c>
      <c r="C121" t="s">
        <v>234</v>
      </c>
      <c r="D121" t="s">
        <v>235</v>
      </c>
      <c r="E121" t="s">
        <v>231</v>
      </c>
      <c r="F121" t="s">
        <v>736</v>
      </c>
      <c r="G121" t="s">
        <v>737</v>
      </c>
      <c r="H121" t="s">
        <v>738</v>
      </c>
      <c r="I121" t="s">
        <v>739</v>
      </c>
      <c r="J121" t="s">
        <v>739</v>
      </c>
      <c r="K121" s="2">
        <v>45199</v>
      </c>
      <c r="L121">
        <v>-95606.874594176596</v>
      </c>
      <c r="M121">
        <v>2575703.1879757601</v>
      </c>
      <c r="N121">
        <v>-378639.62944995798</v>
      </c>
      <c r="O121">
        <v>337592.73153703997</v>
      </c>
      <c r="P121">
        <v>-2575703.1879757601</v>
      </c>
      <c r="Q121">
        <v>-247773.486696073</v>
      </c>
      <c r="R121">
        <v>78240.724523313693</v>
      </c>
      <c r="S121">
        <v>8347.9942523521895</v>
      </c>
      <c r="T121">
        <v>638310.74192865996</v>
      </c>
      <c r="U121">
        <v>1100900.79723167</v>
      </c>
      <c r="V121">
        <v>208081.666958844</v>
      </c>
    </row>
    <row r="122" spans="1:22" x14ac:dyDescent="0.3">
      <c r="A122" t="str">
        <f t="shared" si="2"/>
        <v>CSEDPrevisão</v>
      </c>
      <c r="B122" t="str">
        <f t="shared" si="3"/>
        <v>CSEDPrevisãoDez-2022</v>
      </c>
      <c r="C122" t="s">
        <v>232</v>
      </c>
      <c r="D122" t="s">
        <v>233</v>
      </c>
      <c r="E122" t="s">
        <v>231</v>
      </c>
      <c r="F122" t="s">
        <v>736</v>
      </c>
      <c r="G122" t="s">
        <v>737</v>
      </c>
      <c r="H122" t="s">
        <v>738</v>
      </c>
      <c r="I122" t="s">
        <v>739</v>
      </c>
      <c r="J122" t="s">
        <v>739</v>
      </c>
      <c r="K122" s="2">
        <v>44925</v>
      </c>
      <c r="L122">
        <v>-16701.761904761701</v>
      </c>
      <c r="M122">
        <v>1419938.15873015</v>
      </c>
      <c r="N122">
        <v>176340.23015873501</v>
      </c>
      <c r="O122">
        <v>53926.809523809803</v>
      </c>
      <c r="P122">
        <v>-1419938.15873015</v>
      </c>
      <c r="Q122">
        <v>-151210.32539682399</v>
      </c>
      <c r="R122">
        <v>65461.142857142499</v>
      </c>
      <c r="S122">
        <v>9451.6349206349205</v>
      </c>
      <c r="T122">
        <v>98548.809523808799</v>
      </c>
      <c r="U122">
        <v>941667.05555554596</v>
      </c>
      <c r="V122">
        <v>124308.936507937</v>
      </c>
    </row>
    <row r="123" spans="1:22" x14ac:dyDescent="0.3">
      <c r="A123" t="str">
        <f t="shared" si="2"/>
        <v>CSEDPrevisão</v>
      </c>
      <c r="B123" t="str">
        <f t="shared" si="3"/>
        <v>CSEDPrevisãoMar-2023</v>
      </c>
      <c r="C123" t="s">
        <v>232</v>
      </c>
      <c r="D123" t="s">
        <v>233</v>
      </c>
      <c r="E123" t="s">
        <v>231</v>
      </c>
      <c r="F123" t="s">
        <v>736</v>
      </c>
      <c r="G123" t="s">
        <v>737</v>
      </c>
      <c r="H123" t="s">
        <v>738</v>
      </c>
      <c r="I123" t="s">
        <v>739</v>
      </c>
      <c r="J123" t="s">
        <v>739</v>
      </c>
      <c r="K123" s="2">
        <v>45015</v>
      </c>
      <c r="L123">
        <v>-41042.119047619097</v>
      </c>
      <c r="M123">
        <v>711266.42063491605</v>
      </c>
      <c r="N123">
        <v>-374137.86507936002</v>
      </c>
      <c r="O123">
        <v>53355.428571429104</v>
      </c>
      <c r="P123">
        <v>-711266.42063491605</v>
      </c>
      <c r="Q123">
        <v>-178525.25396825199</v>
      </c>
      <c r="R123">
        <v>82266.261904761093</v>
      </c>
      <c r="S123">
        <v>6744.1825396825598</v>
      </c>
      <c r="T123">
        <v>148739.59523809401</v>
      </c>
      <c r="U123">
        <v>305451.722222207</v>
      </c>
      <c r="V123">
        <v>123629.698412699</v>
      </c>
    </row>
    <row r="124" spans="1:22" x14ac:dyDescent="0.3">
      <c r="A124" t="str">
        <f t="shared" si="2"/>
        <v>CSEDPrevisão</v>
      </c>
      <c r="B124" t="str">
        <f t="shared" si="3"/>
        <v>CSEDPrevisãoJun-2023</v>
      </c>
      <c r="C124" t="s">
        <v>232</v>
      </c>
      <c r="D124" t="s">
        <v>233</v>
      </c>
      <c r="E124" t="s">
        <v>231</v>
      </c>
      <c r="F124" t="s">
        <v>736</v>
      </c>
      <c r="G124" t="s">
        <v>737</v>
      </c>
      <c r="H124" t="s">
        <v>738</v>
      </c>
      <c r="I124" t="s">
        <v>739</v>
      </c>
      <c r="J124" t="s">
        <v>739</v>
      </c>
      <c r="K124" s="2">
        <v>45107</v>
      </c>
      <c r="L124">
        <v>-72859.238095238499</v>
      </c>
      <c r="M124">
        <v>-299793.481962491</v>
      </c>
      <c r="N124">
        <v>-1118417.34126983</v>
      </c>
      <c r="O124">
        <v>50546.645021645898</v>
      </c>
      <c r="P124">
        <v>299793.481962491</v>
      </c>
      <c r="Q124">
        <v>-222512.457431455</v>
      </c>
      <c r="R124">
        <v>110954.14502164299</v>
      </c>
      <c r="S124">
        <v>2093.95093795102</v>
      </c>
      <c r="T124">
        <v>218673.73593073501</v>
      </c>
      <c r="U124">
        <v>-602334.50505052798</v>
      </c>
      <c r="V124">
        <v>119335.82611832699</v>
      </c>
    </row>
    <row r="125" spans="1:22" x14ac:dyDescent="0.3">
      <c r="A125" t="str">
        <f t="shared" si="2"/>
        <v>CSEDPrevisão</v>
      </c>
      <c r="B125" t="str">
        <f t="shared" si="3"/>
        <v>CSEDPrevisãoSet-2023</v>
      </c>
      <c r="C125" t="s">
        <v>232</v>
      </c>
      <c r="D125" t="s">
        <v>233</v>
      </c>
      <c r="E125" t="s">
        <v>231</v>
      </c>
      <c r="F125" t="s">
        <v>736</v>
      </c>
      <c r="G125" t="s">
        <v>737</v>
      </c>
      <c r="H125" t="s">
        <v>738</v>
      </c>
      <c r="I125" t="s">
        <v>739</v>
      </c>
      <c r="J125" t="s">
        <v>739</v>
      </c>
      <c r="K125" s="2">
        <v>45199</v>
      </c>
      <c r="L125">
        <v>-112772.01298701399</v>
      </c>
      <c r="M125">
        <v>-1652751.79653681</v>
      </c>
      <c r="N125">
        <v>-2077828.68831168</v>
      </c>
      <c r="O125">
        <v>45023.761904763101</v>
      </c>
      <c r="P125">
        <v>1652751.79653681</v>
      </c>
      <c r="Q125">
        <v>-286470.99134198797</v>
      </c>
      <c r="R125">
        <v>153986.51948051699</v>
      </c>
      <c r="S125">
        <v>-4854.6103896102504</v>
      </c>
      <c r="T125">
        <v>310570.39826839801</v>
      </c>
      <c r="U125">
        <v>-1817553.5757575999</v>
      </c>
      <c r="V125">
        <v>110654.294372296</v>
      </c>
    </row>
    <row r="126" spans="1:22" x14ac:dyDescent="0.3">
      <c r="A126" t="str">
        <f t="shared" si="2"/>
        <v>ANIMPrevisão</v>
      </c>
      <c r="B126" t="str">
        <f t="shared" si="3"/>
        <v>ANIMPrevisãoDez-2022</v>
      </c>
      <c r="C126" t="s">
        <v>229</v>
      </c>
      <c r="D126" t="s">
        <v>230</v>
      </c>
      <c r="E126" t="s">
        <v>231</v>
      </c>
      <c r="F126" t="s">
        <v>736</v>
      </c>
      <c r="G126" t="s">
        <v>737</v>
      </c>
      <c r="H126" t="s">
        <v>738</v>
      </c>
      <c r="I126" t="s">
        <v>739</v>
      </c>
      <c r="J126" t="s">
        <v>739</v>
      </c>
      <c r="K126" s="2">
        <v>44925</v>
      </c>
      <c r="L126">
        <v>-69160.776062762394</v>
      </c>
      <c r="M126">
        <v>6195761.85546479</v>
      </c>
      <c r="N126">
        <v>397210.35799985402</v>
      </c>
      <c r="O126">
        <v>208323.825725242</v>
      </c>
      <c r="P126">
        <v>-6195761.85546479</v>
      </c>
      <c r="Q126">
        <v>-977804.38347005297</v>
      </c>
      <c r="R126">
        <v>38281.063783981001</v>
      </c>
      <c r="S126">
        <v>4761.6241196861802</v>
      </c>
      <c r="T126">
        <v>-45719.131326290502</v>
      </c>
      <c r="U126">
        <v>3603518.5124247</v>
      </c>
      <c r="V126">
        <v>10901.448567780801</v>
      </c>
    </row>
    <row r="127" spans="1:22" x14ac:dyDescent="0.3">
      <c r="A127" t="str">
        <f t="shared" si="2"/>
        <v>ANIMPrevisão</v>
      </c>
      <c r="B127" t="str">
        <f t="shared" si="3"/>
        <v>ANIMPrevisãoMar-2023</v>
      </c>
      <c r="C127" t="s">
        <v>229</v>
      </c>
      <c r="D127" t="s">
        <v>230</v>
      </c>
      <c r="E127" t="s">
        <v>231</v>
      </c>
      <c r="F127" t="s">
        <v>736</v>
      </c>
      <c r="G127" t="s">
        <v>737</v>
      </c>
      <c r="H127" t="s">
        <v>738</v>
      </c>
      <c r="I127" t="s">
        <v>739</v>
      </c>
      <c r="J127" t="s">
        <v>739</v>
      </c>
      <c r="K127" s="2">
        <v>45015</v>
      </c>
      <c r="L127">
        <v>-82205.819903361393</v>
      </c>
      <c r="M127">
        <v>6868665.0789053598</v>
      </c>
      <c r="N127">
        <v>334296.535163127</v>
      </c>
      <c r="O127">
        <v>224638.41616965301</v>
      </c>
      <c r="P127">
        <v>-6868665.0789053598</v>
      </c>
      <c r="Q127">
        <v>-1147934.18457179</v>
      </c>
      <c r="R127">
        <v>40860.813788395099</v>
      </c>
      <c r="S127">
        <v>5275.6113365232404</v>
      </c>
      <c r="T127">
        <v>-94137.200150543096</v>
      </c>
      <c r="U127">
        <v>4002207.6048554401</v>
      </c>
      <c r="V127">
        <v>12072.1314076207</v>
      </c>
    </row>
    <row r="128" spans="1:22" x14ac:dyDescent="0.3">
      <c r="A128" t="str">
        <f t="shared" si="2"/>
        <v>ANIMPrevisão</v>
      </c>
      <c r="B128" t="str">
        <f t="shared" si="3"/>
        <v>ANIMPrevisãoJun-2023</v>
      </c>
      <c r="C128" t="s">
        <v>229</v>
      </c>
      <c r="D128" t="s">
        <v>230</v>
      </c>
      <c r="E128" t="s">
        <v>231</v>
      </c>
      <c r="F128" t="s">
        <v>736</v>
      </c>
      <c r="G128" t="s">
        <v>737</v>
      </c>
      <c r="H128" t="s">
        <v>738</v>
      </c>
      <c r="I128" t="s">
        <v>739</v>
      </c>
      <c r="J128" t="s">
        <v>739</v>
      </c>
      <c r="K128" s="2">
        <v>45107</v>
      </c>
      <c r="L128">
        <v>-96409.350656226205</v>
      </c>
      <c r="M128">
        <v>7596814.1423445204</v>
      </c>
      <c r="N128">
        <v>257427.22460414501</v>
      </c>
      <c r="O128">
        <v>241940.53871984201</v>
      </c>
      <c r="P128">
        <v>-7596814.1423445204</v>
      </c>
      <c r="Q128">
        <v>-1337200.1892462701</v>
      </c>
      <c r="R128">
        <v>43559.767138237097</v>
      </c>
      <c r="S128">
        <v>5831.4685367633701</v>
      </c>
      <c r="T128">
        <v>-146712.029718654</v>
      </c>
      <c r="U128">
        <v>4436674.5161192799</v>
      </c>
      <c r="V128">
        <v>13352.7366987733</v>
      </c>
    </row>
    <row r="129" spans="1:22" x14ac:dyDescent="0.3">
      <c r="A129" t="str">
        <f t="shared" si="2"/>
        <v>ANIMPrevisão</v>
      </c>
      <c r="B129" t="str">
        <f t="shared" si="3"/>
        <v>ANIMPrevisãoSet-2023</v>
      </c>
      <c r="C129" t="s">
        <v>229</v>
      </c>
      <c r="D129" t="s">
        <v>230</v>
      </c>
      <c r="E129" t="s">
        <v>231</v>
      </c>
      <c r="F129" t="s">
        <v>736</v>
      </c>
      <c r="G129" t="s">
        <v>737</v>
      </c>
      <c r="H129" t="s">
        <v>738</v>
      </c>
      <c r="I129" t="s">
        <v>739</v>
      </c>
      <c r="J129" t="s">
        <v>739</v>
      </c>
      <c r="K129" s="2">
        <v>45199</v>
      </c>
      <c r="L129">
        <v>-111819.57628765301</v>
      </c>
      <c r="M129">
        <v>8382499.6139434902</v>
      </c>
      <c r="N129">
        <v>165708.546759291</v>
      </c>
      <c r="O129">
        <v>260265.376671504</v>
      </c>
      <c r="P129">
        <v>-8382499.6139434902</v>
      </c>
      <c r="Q129">
        <v>-1546575.6612939199</v>
      </c>
      <c r="R129">
        <v>46380.358065051201</v>
      </c>
      <c r="S129">
        <v>6430.8121863264396</v>
      </c>
      <c r="T129">
        <v>-203542.34073507399</v>
      </c>
      <c r="U129">
        <v>4908559.6324773096</v>
      </c>
      <c r="V129">
        <v>14748.839668389601</v>
      </c>
    </row>
    <row r="130" spans="1:22" x14ac:dyDescent="0.3">
      <c r="A130" t="str">
        <f t="shared" ref="A130:A193" si="4">_xlfn.CONCAT(D130,F130)</f>
        <v>YDUQPrevisão</v>
      </c>
      <c r="B130" t="str">
        <f t="shared" ref="B130:B193" si="5">_xlfn.CONCAT(D130,F130,PROPER(TEXT(K130,"mmm-aaaa")))</f>
        <v>YDUQPrevisãoDez-2022</v>
      </c>
      <c r="C130" t="s">
        <v>285</v>
      </c>
      <c r="D130" t="s">
        <v>286</v>
      </c>
      <c r="E130" t="s">
        <v>287</v>
      </c>
      <c r="F130" t="s">
        <v>736</v>
      </c>
      <c r="G130" t="s">
        <v>737</v>
      </c>
      <c r="H130" t="s">
        <v>738</v>
      </c>
      <c r="I130" t="s">
        <v>739</v>
      </c>
      <c r="J130" t="s">
        <v>739</v>
      </c>
      <c r="K130" s="2">
        <v>44925</v>
      </c>
      <c r="L130">
        <v>-61403.020796181299</v>
      </c>
      <c r="M130">
        <v>8537161.7361874096</v>
      </c>
      <c r="N130">
        <v>440078.71751107997</v>
      </c>
      <c r="O130">
        <v>-4313.7327052048504</v>
      </c>
      <c r="P130">
        <v>-8537161.7361874096</v>
      </c>
      <c r="Q130">
        <v>-912183.19115527696</v>
      </c>
      <c r="R130">
        <v>542.23631270685496</v>
      </c>
      <c r="S130">
        <v>4501.1878448314101</v>
      </c>
      <c r="T130">
        <v>1459898.00237663</v>
      </c>
      <c r="U130">
        <v>3053976.4321356802</v>
      </c>
      <c r="V130">
        <v>94046.581614533294</v>
      </c>
    </row>
    <row r="131" spans="1:22" x14ac:dyDescent="0.3">
      <c r="A131" t="str">
        <f t="shared" si="4"/>
        <v>YDUQPrevisão</v>
      </c>
      <c r="B131" t="str">
        <f t="shared" si="5"/>
        <v>YDUQPrevisãoMar-2023</v>
      </c>
      <c r="C131" t="s">
        <v>285</v>
      </c>
      <c r="D131" t="s">
        <v>286</v>
      </c>
      <c r="E131" t="s">
        <v>287</v>
      </c>
      <c r="F131" t="s">
        <v>736</v>
      </c>
      <c r="G131" t="s">
        <v>737</v>
      </c>
      <c r="H131" t="s">
        <v>738</v>
      </c>
      <c r="I131" t="s">
        <v>739</v>
      </c>
      <c r="J131" t="s">
        <v>739</v>
      </c>
      <c r="K131" s="2">
        <v>45015</v>
      </c>
      <c r="L131">
        <v>-98414.332105959693</v>
      </c>
      <c r="M131">
        <v>9026117.4641624503</v>
      </c>
      <c r="N131">
        <v>423418.36758435902</v>
      </c>
      <c r="O131">
        <v>-6236.48551836972</v>
      </c>
      <c r="P131">
        <v>-9026117.4641624503</v>
      </c>
      <c r="Q131">
        <v>-957782.27412213001</v>
      </c>
      <c r="R131">
        <v>473.794747382911</v>
      </c>
      <c r="S131">
        <v>5509.1489870277201</v>
      </c>
      <c r="T131">
        <v>1493044.13449729</v>
      </c>
      <c r="U131">
        <v>2994216.5396587602</v>
      </c>
      <c r="V131">
        <v>80599.468936550693</v>
      </c>
    </row>
    <row r="132" spans="1:22" x14ac:dyDescent="0.3">
      <c r="A132" t="str">
        <f t="shared" si="4"/>
        <v>YDUQPrevisão</v>
      </c>
      <c r="B132" t="str">
        <f t="shared" si="5"/>
        <v>YDUQPrevisãoJun-2023</v>
      </c>
      <c r="C132" t="s">
        <v>285</v>
      </c>
      <c r="D132" t="s">
        <v>286</v>
      </c>
      <c r="E132" t="s">
        <v>287</v>
      </c>
      <c r="F132" t="s">
        <v>736</v>
      </c>
      <c r="G132" t="s">
        <v>737</v>
      </c>
      <c r="H132" t="s">
        <v>738</v>
      </c>
      <c r="I132" t="s">
        <v>739</v>
      </c>
      <c r="J132" t="s">
        <v>739</v>
      </c>
      <c r="K132" s="2">
        <v>45107</v>
      </c>
      <c r="L132">
        <v>-138884.38294630899</v>
      </c>
      <c r="M132">
        <v>9546544.6900896505</v>
      </c>
      <c r="N132">
        <v>405286.02437771799</v>
      </c>
      <c r="O132">
        <v>-8492.9767167373393</v>
      </c>
      <c r="P132">
        <v>-9546544.6900896505</v>
      </c>
      <c r="Q132">
        <v>-1004514.86806942</v>
      </c>
      <c r="R132">
        <v>392.87342108694298</v>
      </c>
      <c r="S132">
        <v>6644.1343265144897</v>
      </c>
      <c r="T132">
        <v>1525312.9132841299</v>
      </c>
      <c r="U132">
        <v>2926273.9223179501</v>
      </c>
      <c r="V132">
        <v>65907.480890860999</v>
      </c>
    </row>
    <row r="133" spans="1:22" x14ac:dyDescent="0.3">
      <c r="A133" t="str">
        <f t="shared" si="4"/>
        <v>YDUQPrevisão</v>
      </c>
      <c r="B133" t="str">
        <f t="shared" si="5"/>
        <v>YDUQPrevisãoSet-2023</v>
      </c>
      <c r="C133" t="s">
        <v>285</v>
      </c>
      <c r="D133" t="s">
        <v>286</v>
      </c>
      <c r="E133" t="s">
        <v>287</v>
      </c>
      <c r="F133" t="s">
        <v>736</v>
      </c>
      <c r="G133" t="s">
        <v>737</v>
      </c>
      <c r="H133" t="s">
        <v>738</v>
      </c>
      <c r="I133" t="s">
        <v>739</v>
      </c>
      <c r="J133" t="s">
        <v>739</v>
      </c>
      <c r="K133" s="2">
        <v>45199</v>
      </c>
      <c r="L133">
        <v>-182937.475478862</v>
      </c>
      <c r="M133">
        <v>10099819.045856699</v>
      </c>
      <c r="N133">
        <v>385672.92682529998</v>
      </c>
      <c r="O133">
        <v>-11105.1457663493</v>
      </c>
      <c r="P133">
        <v>-10099819.045856699</v>
      </c>
      <c r="Q133">
        <v>-1052384.1300318099</v>
      </c>
      <c r="R133">
        <v>298.80919691122898</v>
      </c>
      <c r="S133">
        <v>7912.5211325049004</v>
      </c>
      <c r="T133">
        <v>1556662.3174652799</v>
      </c>
      <c r="U133">
        <v>2850089.2475944301</v>
      </c>
      <c r="V133">
        <v>49940.624570140099</v>
      </c>
    </row>
    <row r="134" spans="1:22" x14ac:dyDescent="0.3">
      <c r="A134" t="str">
        <f t="shared" si="4"/>
        <v>COGNPrevisão</v>
      </c>
      <c r="B134" t="str">
        <f t="shared" si="5"/>
        <v>COGNPrevisãoDez-2022</v>
      </c>
      <c r="C134" t="s">
        <v>290</v>
      </c>
      <c r="D134" t="s">
        <v>291</v>
      </c>
      <c r="E134" t="s">
        <v>287</v>
      </c>
      <c r="F134" t="s">
        <v>736</v>
      </c>
      <c r="G134" t="s">
        <v>737</v>
      </c>
      <c r="H134" t="s">
        <v>738</v>
      </c>
      <c r="I134" t="s">
        <v>739</v>
      </c>
      <c r="J134" t="s">
        <v>739</v>
      </c>
      <c r="K134" s="2">
        <v>44925</v>
      </c>
      <c r="L134">
        <v>-417880.28571428399</v>
      </c>
      <c r="M134">
        <v>16405528.5039468</v>
      </c>
      <c r="N134">
        <v>4460205.1207028003</v>
      </c>
      <c r="O134">
        <v>0</v>
      </c>
      <c r="P134">
        <v>-16405528.5039468</v>
      </c>
      <c r="Q134">
        <v>-3473872.1684916401</v>
      </c>
      <c r="R134">
        <v>-21429.7157287017</v>
      </c>
      <c r="S134">
        <v>12829.565911211301</v>
      </c>
      <c r="T134">
        <v>-3003411.8891437501</v>
      </c>
      <c r="U134">
        <v>8632537.5457947906</v>
      </c>
      <c r="V134">
        <v>-350390.00848845002</v>
      </c>
    </row>
    <row r="135" spans="1:22" x14ac:dyDescent="0.3">
      <c r="A135" t="str">
        <f t="shared" si="4"/>
        <v>COGNPrevisão</v>
      </c>
      <c r="B135" t="str">
        <f t="shared" si="5"/>
        <v>COGNPrevisãoMar-2023</v>
      </c>
      <c r="C135" t="s">
        <v>290</v>
      </c>
      <c r="D135" t="s">
        <v>291</v>
      </c>
      <c r="E135" t="s">
        <v>287</v>
      </c>
      <c r="F135" t="s">
        <v>736</v>
      </c>
      <c r="G135" t="s">
        <v>737</v>
      </c>
      <c r="H135" t="s">
        <v>738</v>
      </c>
      <c r="I135" t="s">
        <v>739</v>
      </c>
      <c r="J135" t="s">
        <v>739</v>
      </c>
      <c r="K135" s="2">
        <v>45015</v>
      </c>
      <c r="L135">
        <v>-460570.06949803198</v>
      </c>
      <c r="M135">
        <v>14895438.869372601</v>
      </c>
      <c r="N135">
        <v>4948056.6319519999</v>
      </c>
      <c r="O135">
        <v>0</v>
      </c>
      <c r="P135">
        <v>-14895438.869372601</v>
      </c>
      <c r="Q135">
        <v>-3808788.9886004901</v>
      </c>
      <c r="R135">
        <v>-26914.079661002099</v>
      </c>
      <c r="S135">
        <v>14780.273032388999</v>
      </c>
      <c r="T135">
        <v>-4392451.4823069498</v>
      </c>
      <c r="U135">
        <v>6766598.0399415698</v>
      </c>
      <c r="V135">
        <v>-385173.94174331398</v>
      </c>
    </row>
    <row r="136" spans="1:22" x14ac:dyDescent="0.3">
      <c r="A136" t="str">
        <f t="shared" si="4"/>
        <v>COGNPrevisão</v>
      </c>
      <c r="B136" t="str">
        <f t="shared" si="5"/>
        <v>COGNPrevisãoJun-2023</v>
      </c>
      <c r="C136" t="s">
        <v>290</v>
      </c>
      <c r="D136" t="s">
        <v>291</v>
      </c>
      <c r="E136" t="s">
        <v>287</v>
      </c>
      <c r="F136" t="s">
        <v>736</v>
      </c>
      <c r="G136" t="s">
        <v>737</v>
      </c>
      <c r="H136" t="s">
        <v>738</v>
      </c>
      <c r="I136" t="s">
        <v>739</v>
      </c>
      <c r="J136" t="s">
        <v>739</v>
      </c>
      <c r="K136" s="2">
        <v>45107</v>
      </c>
      <c r="L136">
        <v>-501621.58795630001</v>
      </c>
      <c r="M136">
        <v>13153671.833474301</v>
      </c>
      <c r="N136">
        <v>5468199.3217785098</v>
      </c>
      <c r="O136">
        <v>0</v>
      </c>
      <c r="P136">
        <v>-13153671.833474301</v>
      </c>
      <c r="Q136">
        <v>-4162078.9483969701</v>
      </c>
      <c r="R136">
        <v>-32568.760775185499</v>
      </c>
      <c r="S136">
        <v>16912.417315267001</v>
      </c>
      <c r="T136">
        <v>-5937865.6869620401</v>
      </c>
      <c r="U136">
        <v>4677767.9544295901</v>
      </c>
      <c r="V136">
        <v>-417859.69951538398</v>
      </c>
    </row>
    <row r="137" spans="1:22" x14ac:dyDescent="0.3">
      <c r="A137" t="str">
        <f t="shared" si="4"/>
        <v>COGNPrevisão</v>
      </c>
      <c r="B137" t="str">
        <f t="shared" si="5"/>
        <v>COGNPrevisãoSet-2023</v>
      </c>
      <c r="C137" t="s">
        <v>290</v>
      </c>
      <c r="D137" t="s">
        <v>291</v>
      </c>
      <c r="E137" t="s">
        <v>287</v>
      </c>
      <c r="F137" t="s">
        <v>736</v>
      </c>
      <c r="G137" t="s">
        <v>737</v>
      </c>
      <c r="H137" t="s">
        <v>738</v>
      </c>
      <c r="I137" t="s">
        <v>739</v>
      </c>
      <c r="J137" t="s">
        <v>739</v>
      </c>
      <c r="K137" s="2">
        <v>45199</v>
      </c>
      <c r="L137">
        <v>-540752.60670895595</v>
      </c>
      <c r="M137">
        <v>11170274.910521399</v>
      </c>
      <c r="N137">
        <v>6021615.63813229</v>
      </c>
      <c r="O137">
        <v>0</v>
      </c>
      <c r="P137">
        <v>-11170274.910521399</v>
      </c>
      <c r="Q137">
        <v>-4534153.5222252002</v>
      </c>
      <c r="R137">
        <v>-38383.881952842501</v>
      </c>
      <c r="S137">
        <v>19233.615838375801</v>
      </c>
      <c r="T137">
        <v>-7646476.8679496599</v>
      </c>
      <c r="U137">
        <v>2357461.0382776698</v>
      </c>
      <c r="V137">
        <v>-448155.20688016398</v>
      </c>
    </row>
    <row r="138" spans="1:22" x14ac:dyDescent="0.3">
      <c r="A138" t="str">
        <f t="shared" si="4"/>
        <v>BAHIPrevisão</v>
      </c>
      <c r="B138" t="str">
        <f t="shared" si="5"/>
        <v>BAHIPrevisãoDez-2022</v>
      </c>
      <c r="C138" t="s">
        <v>288</v>
      </c>
      <c r="D138" t="s">
        <v>289</v>
      </c>
      <c r="E138" t="s">
        <v>287</v>
      </c>
      <c r="F138" t="s">
        <v>736</v>
      </c>
      <c r="G138" t="s">
        <v>737</v>
      </c>
      <c r="H138" t="s">
        <v>738</v>
      </c>
      <c r="I138" t="s">
        <v>739</v>
      </c>
      <c r="J138" t="s">
        <v>739</v>
      </c>
      <c r="K138" s="2">
        <v>44925</v>
      </c>
      <c r="L138">
        <v>-31391.2572786698</v>
      </c>
      <c r="M138">
        <v>237392.79874379499</v>
      </c>
      <c r="N138">
        <v>13485.773788299201</v>
      </c>
      <c r="O138">
        <v>68.4233936007426</v>
      </c>
      <c r="P138">
        <v>-237392.79874379499</v>
      </c>
      <c r="Q138">
        <v>-6489.31049995591</v>
      </c>
      <c r="R138">
        <v>1590.7448433920599</v>
      </c>
      <c r="S138">
        <v>153.62566844992</v>
      </c>
      <c r="T138">
        <v>-4687.1145913054197</v>
      </c>
      <c r="U138">
        <v>166689.58220865901</v>
      </c>
      <c r="V138">
        <v>-30084.2453951313</v>
      </c>
    </row>
    <row r="139" spans="1:22" x14ac:dyDescent="0.3">
      <c r="A139" t="str">
        <f t="shared" si="4"/>
        <v>BAHIPrevisão</v>
      </c>
      <c r="B139" t="str">
        <f t="shared" si="5"/>
        <v>BAHIPrevisãoMar-2023</v>
      </c>
      <c r="C139" t="s">
        <v>288</v>
      </c>
      <c r="D139" t="s">
        <v>289</v>
      </c>
      <c r="E139" t="s">
        <v>287</v>
      </c>
      <c r="F139" t="s">
        <v>736</v>
      </c>
      <c r="G139" t="s">
        <v>737</v>
      </c>
      <c r="H139" t="s">
        <v>738</v>
      </c>
      <c r="I139" t="s">
        <v>739</v>
      </c>
      <c r="J139" t="s">
        <v>739</v>
      </c>
      <c r="K139" s="2">
        <v>45015</v>
      </c>
      <c r="L139">
        <v>-36043.432627433802</v>
      </c>
      <c r="M139">
        <v>254537.11298546501</v>
      </c>
      <c r="N139">
        <v>10440.9944642841</v>
      </c>
      <c r="O139">
        <v>10.817429347906399</v>
      </c>
      <c r="P139">
        <v>-254537.11298546501</v>
      </c>
      <c r="Q139">
        <v>-7770.1631142203996</v>
      </c>
      <c r="R139">
        <v>1864.66087860226</v>
      </c>
      <c r="S139">
        <v>202.12906489464899</v>
      </c>
      <c r="T139">
        <v>-6545.90715010029</v>
      </c>
      <c r="U139">
        <v>176561.882245135</v>
      </c>
      <c r="V139">
        <v>-34562.209304037198</v>
      </c>
    </row>
    <row r="140" spans="1:22" x14ac:dyDescent="0.3">
      <c r="A140" t="str">
        <f t="shared" si="4"/>
        <v>BAHIPrevisão</v>
      </c>
      <c r="B140" t="str">
        <f t="shared" si="5"/>
        <v>BAHIPrevisãoJun-2023</v>
      </c>
      <c r="C140" t="s">
        <v>288</v>
      </c>
      <c r="D140" t="s">
        <v>289</v>
      </c>
      <c r="E140" t="s">
        <v>287</v>
      </c>
      <c r="F140" t="s">
        <v>736</v>
      </c>
      <c r="G140" t="s">
        <v>737</v>
      </c>
      <c r="H140" t="s">
        <v>738</v>
      </c>
      <c r="I140" t="s">
        <v>739</v>
      </c>
      <c r="J140" t="s">
        <v>739</v>
      </c>
      <c r="K140" s="2">
        <v>45107</v>
      </c>
      <c r="L140">
        <v>-41103.852217383101</v>
      </c>
      <c r="M140">
        <v>272335.68034221698</v>
      </c>
      <c r="N140">
        <v>7007.2986848727796</v>
      </c>
      <c r="O140">
        <v>-60.593817007401803</v>
      </c>
      <c r="P140">
        <v>-272335.68034221698</v>
      </c>
      <c r="Q140">
        <v>-9206.4521950669205</v>
      </c>
      <c r="R140">
        <v>2165.1508816124401</v>
      </c>
      <c r="S140">
        <v>262.85044233756599</v>
      </c>
      <c r="T140">
        <v>-8688.4261166187498</v>
      </c>
      <c r="U140">
        <v>186626.88128848601</v>
      </c>
      <c r="V140">
        <v>-39441.594879915901</v>
      </c>
    </row>
    <row r="141" spans="1:22" x14ac:dyDescent="0.3">
      <c r="A141" t="str">
        <f t="shared" si="4"/>
        <v>BAHIPrevisão</v>
      </c>
      <c r="B141" t="str">
        <f t="shared" si="5"/>
        <v>BAHIPrevisãoSet-2023</v>
      </c>
      <c r="C141" t="s">
        <v>288</v>
      </c>
      <c r="D141" t="s">
        <v>289</v>
      </c>
      <c r="E141" t="s">
        <v>287</v>
      </c>
      <c r="F141" t="s">
        <v>736</v>
      </c>
      <c r="G141" t="s">
        <v>737</v>
      </c>
      <c r="H141" t="s">
        <v>738</v>
      </c>
      <c r="I141" t="s">
        <v>739</v>
      </c>
      <c r="J141" t="s">
        <v>739</v>
      </c>
      <c r="K141" s="2">
        <v>45199</v>
      </c>
      <c r="L141">
        <v>-46588.7691384305</v>
      </c>
      <c r="M141">
        <v>290783.62471222598</v>
      </c>
      <c r="N141">
        <v>3165.3385961598601</v>
      </c>
      <c r="O141">
        <v>-146.815883944398</v>
      </c>
      <c r="P141">
        <v>-290783.62471222598</v>
      </c>
      <c r="Q141">
        <v>-10805.796073810299</v>
      </c>
      <c r="R141">
        <v>2493.3511878747199</v>
      </c>
      <c r="S141">
        <v>336.53359902710901</v>
      </c>
      <c r="T141">
        <v>-11134.010298372799</v>
      </c>
      <c r="U141">
        <v>196868.44425168799</v>
      </c>
      <c r="V141">
        <v>-44738.741912599398</v>
      </c>
    </row>
    <row r="142" spans="1:22" x14ac:dyDescent="0.3">
      <c r="A142" t="str">
        <f t="shared" si="4"/>
        <v>SHOWPrevisão</v>
      </c>
      <c r="B142" t="str">
        <f t="shared" si="5"/>
        <v>SHOWPrevisãoDez-2022</v>
      </c>
      <c r="C142" t="s">
        <v>96</v>
      </c>
      <c r="D142" t="s">
        <v>97</v>
      </c>
      <c r="E142" t="s">
        <v>93</v>
      </c>
      <c r="F142" t="s">
        <v>736</v>
      </c>
      <c r="G142" t="s">
        <v>737</v>
      </c>
      <c r="H142" t="s">
        <v>738</v>
      </c>
      <c r="I142" t="s">
        <v>739</v>
      </c>
      <c r="J142" t="s">
        <v>739</v>
      </c>
      <c r="K142" s="2">
        <v>44925</v>
      </c>
      <c r="L142">
        <v>-6988.62066038997</v>
      </c>
      <c r="M142">
        <v>545051.55513105297</v>
      </c>
      <c r="N142">
        <v>242711.514132877</v>
      </c>
      <c r="O142">
        <v>77266.944741521802</v>
      </c>
      <c r="P142">
        <v>-545051.55513105297</v>
      </c>
      <c r="Q142">
        <v>-230198.51684918001</v>
      </c>
      <c r="R142">
        <v>1476.07546048625</v>
      </c>
      <c r="S142">
        <v>3436.76988371076</v>
      </c>
      <c r="T142">
        <v>-78496.3212800326</v>
      </c>
      <c r="U142">
        <v>106811.24692295599</v>
      </c>
      <c r="V142">
        <v>26798.2426788884</v>
      </c>
    </row>
    <row r="143" spans="1:22" x14ac:dyDescent="0.3">
      <c r="A143" t="str">
        <f t="shared" si="4"/>
        <v>SHOWPrevisão</v>
      </c>
      <c r="B143" t="str">
        <f t="shared" si="5"/>
        <v>SHOWPrevisãoMar-2023</v>
      </c>
      <c r="C143" t="s">
        <v>96</v>
      </c>
      <c r="D143" t="s">
        <v>97</v>
      </c>
      <c r="E143" t="s">
        <v>93</v>
      </c>
      <c r="F143" t="s">
        <v>736</v>
      </c>
      <c r="G143" t="s">
        <v>737</v>
      </c>
      <c r="H143" t="s">
        <v>738</v>
      </c>
      <c r="I143" t="s">
        <v>739</v>
      </c>
      <c r="J143" t="s">
        <v>739</v>
      </c>
      <c r="K143" s="2">
        <v>45015</v>
      </c>
      <c r="L143">
        <v>-6141.8191545301197</v>
      </c>
      <c r="M143">
        <v>530780.21567927697</v>
      </c>
      <c r="N143">
        <v>232715.75999139599</v>
      </c>
      <c r="O143">
        <v>80820.880487808201</v>
      </c>
      <c r="P143">
        <v>-530780.21567927697</v>
      </c>
      <c r="Q143">
        <v>-230661.49808786801</v>
      </c>
      <c r="R143">
        <v>1040.4390211436501</v>
      </c>
      <c r="S143">
        <v>3658.3276989743999</v>
      </c>
      <c r="T143">
        <v>-86650.142868621493</v>
      </c>
      <c r="U143">
        <v>84279.196413300699</v>
      </c>
      <c r="V143">
        <v>25928.841334074601</v>
      </c>
    </row>
    <row r="144" spans="1:22" x14ac:dyDescent="0.3">
      <c r="A144" t="str">
        <f t="shared" si="4"/>
        <v>SHOWPrevisão</v>
      </c>
      <c r="B144" t="str">
        <f t="shared" si="5"/>
        <v>SHOWPrevisãoJun-2023</v>
      </c>
      <c r="C144" t="s">
        <v>96</v>
      </c>
      <c r="D144" t="s">
        <v>97</v>
      </c>
      <c r="E144" t="s">
        <v>93</v>
      </c>
      <c r="F144" t="s">
        <v>736</v>
      </c>
      <c r="G144" t="s">
        <v>737</v>
      </c>
      <c r="H144" t="s">
        <v>738</v>
      </c>
      <c r="I144" t="s">
        <v>739</v>
      </c>
      <c r="J144" t="s">
        <v>739</v>
      </c>
      <c r="K144" s="2">
        <v>45107</v>
      </c>
      <c r="L144">
        <v>-5112.7054702621599</v>
      </c>
      <c r="M144">
        <v>514116.57684013498</v>
      </c>
      <c r="N144">
        <v>220597.23417654401</v>
      </c>
      <c r="O144">
        <v>84899.348387936101</v>
      </c>
      <c r="P144">
        <v>-514116.57684013498</v>
      </c>
      <c r="Q144">
        <v>-230541.37659139701</v>
      </c>
      <c r="R144">
        <v>559.47049634819996</v>
      </c>
      <c r="S144">
        <v>3929.0095184239699</v>
      </c>
      <c r="T144">
        <v>-95098.334913993094</v>
      </c>
      <c r="U144">
        <v>60316.226759779602</v>
      </c>
      <c r="V144">
        <v>25528.103803370399</v>
      </c>
    </row>
    <row r="145" spans="1:22" x14ac:dyDescent="0.3">
      <c r="A145" t="str">
        <f t="shared" si="4"/>
        <v>SHOWPrevisão</v>
      </c>
      <c r="B145" t="str">
        <f t="shared" si="5"/>
        <v>SHOWPrevisãoSet-2023</v>
      </c>
      <c r="C145" t="s">
        <v>96</v>
      </c>
      <c r="D145" t="s">
        <v>97</v>
      </c>
      <c r="E145" t="s">
        <v>93</v>
      </c>
      <c r="F145" t="s">
        <v>736</v>
      </c>
      <c r="G145" t="s">
        <v>737</v>
      </c>
      <c r="H145" t="s">
        <v>738</v>
      </c>
      <c r="I145" t="s">
        <v>739</v>
      </c>
      <c r="J145" t="s">
        <v>739</v>
      </c>
      <c r="K145" s="2">
        <v>45199</v>
      </c>
      <c r="L145">
        <v>-3891.70350042174</v>
      </c>
      <c r="M145">
        <v>494925.64198657102</v>
      </c>
      <c r="N145">
        <v>206224.95628602401</v>
      </c>
      <c r="O145">
        <v>89530.704085648002</v>
      </c>
      <c r="P145">
        <v>-494925.64198657102</v>
      </c>
      <c r="Q145">
        <v>-229794.30320811999</v>
      </c>
      <c r="R145">
        <v>30.945853714851101</v>
      </c>
      <c r="S145">
        <v>4251.4497454121201</v>
      </c>
      <c r="T145">
        <v>-103847.628733231</v>
      </c>
      <c r="U145">
        <v>34886.262505936502</v>
      </c>
      <c r="V145">
        <v>25632.464743715002</v>
      </c>
    </row>
    <row r="146" spans="1:22" x14ac:dyDescent="0.3">
      <c r="A146" t="str">
        <f t="shared" si="4"/>
        <v>SMFTPrevisão</v>
      </c>
      <c r="B146" t="str">
        <f t="shared" si="5"/>
        <v>SMFTPrevisãoDez-2022</v>
      </c>
      <c r="C146" t="s">
        <v>94</v>
      </c>
      <c r="D146" t="s">
        <v>95</v>
      </c>
      <c r="E146" t="s">
        <v>93</v>
      </c>
      <c r="F146" t="s">
        <v>736</v>
      </c>
      <c r="G146" t="s">
        <v>737</v>
      </c>
      <c r="H146" t="s">
        <v>738</v>
      </c>
      <c r="I146" t="s">
        <v>739</v>
      </c>
      <c r="J146" t="s">
        <v>739</v>
      </c>
      <c r="K146" s="2">
        <v>44925</v>
      </c>
      <c r="L146">
        <v>143109.99999998801</v>
      </c>
      <c r="M146">
        <v>7963707.8790853499</v>
      </c>
      <c r="N146">
        <v>3655697.6879085</v>
      </c>
      <c r="O146">
        <v>120635.612745094</v>
      </c>
      <c r="P146">
        <v>-7963707.8790853499</v>
      </c>
      <c r="Q146">
        <v>-594658.467320294</v>
      </c>
      <c r="R146">
        <v>46260.934640522399</v>
      </c>
      <c r="S146">
        <v>23102.289215686102</v>
      </c>
      <c r="T146">
        <v>154384.91339854299</v>
      </c>
      <c r="U146">
        <v>4822783.8447712399</v>
      </c>
      <c r="V146">
        <v>342454.51143792202</v>
      </c>
    </row>
    <row r="147" spans="1:22" x14ac:dyDescent="0.3">
      <c r="A147" t="str">
        <f t="shared" si="4"/>
        <v>SMFTPrevisão</v>
      </c>
      <c r="B147" t="str">
        <f t="shared" si="5"/>
        <v>SMFTPrevisãoMar-2023</v>
      </c>
      <c r="C147" t="s">
        <v>94</v>
      </c>
      <c r="D147" t="s">
        <v>95</v>
      </c>
      <c r="E147" t="s">
        <v>93</v>
      </c>
      <c r="F147" t="s">
        <v>736</v>
      </c>
      <c r="G147" t="s">
        <v>737</v>
      </c>
      <c r="H147" t="s">
        <v>738</v>
      </c>
      <c r="I147" t="s">
        <v>739</v>
      </c>
      <c r="J147" t="s">
        <v>739</v>
      </c>
      <c r="K147" s="2">
        <v>45015</v>
      </c>
      <c r="L147">
        <v>294372.59520122001</v>
      </c>
      <c r="M147">
        <v>8374537.1530792201</v>
      </c>
      <c r="N147">
        <v>4324891.4557103598</v>
      </c>
      <c r="O147">
        <v>125835.26805985</v>
      </c>
      <c r="P147">
        <v>-8374537.1530792201</v>
      </c>
      <c r="Q147">
        <v>-647493.91314072604</v>
      </c>
      <c r="R147">
        <v>48703.254815960798</v>
      </c>
      <c r="S147">
        <v>26523.939112486802</v>
      </c>
      <c r="T147">
        <v>439402.349157013</v>
      </c>
      <c r="U147">
        <v>5173635.5968352295</v>
      </c>
      <c r="V147">
        <v>411930.74518405402</v>
      </c>
    </row>
    <row r="148" spans="1:22" x14ac:dyDescent="0.3">
      <c r="A148" t="str">
        <f t="shared" si="4"/>
        <v>SMFTPrevisão</v>
      </c>
      <c r="B148" t="str">
        <f t="shared" si="5"/>
        <v>SMFTPrevisãoJun-2023</v>
      </c>
      <c r="C148" t="s">
        <v>94</v>
      </c>
      <c r="D148" t="s">
        <v>95</v>
      </c>
      <c r="E148" t="s">
        <v>93</v>
      </c>
      <c r="F148" t="s">
        <v>736</v>
      </c>
      <c r="G148" t="s">
        <v>737</v>
      </c>
      <c r="H148" t="s">
        <v>738</v>
      </c>
      <c r="I148" t="s">
        <v>739</v>
      </c>
      <c r="J148" t="s">
        <v>739</v>
      </c>
      <c r="K148" s="2">
        <v>45107</v>
      </c>
      <c r="L148">
        <v>482416.99484001601</v>
      </c>
      <c r="M148">
        <v>8794716.8022020906</v>
      </c>
      <c r="N148">
        <v>5089785.3558651498</v>
      </c>
      <c r="O148">
        <v>131882.93962847599</v>
      </c>
      <c r="P148">
        <v>-8794716.8022020906</v>
      </c>
      <c r="Q148">
        <v>-720301.89508087002</v>
      </c>
      <c r="R148">
        <v>51191.0471276221</v>
      </c>
      <c r="S148">
        <v>30633.529927760199</v>
      </c>
      <c r="T148">
        <v>805152.05761929101</v>
      </c>
      <c r="U148">
        <v>5517480.8409012798</v>
      </c>
      <c r="V148">
        <v>495218.92139664502</v>
      </c>
    </row>
    <row r="149" spans="1:22" x14ac:dyDescent="0.3">
      <c r="A149" t="str">
        <f t="shared" si="4"/>
        <v>SMFTPrevisão</v>
      </c>
      <c r="B149" t="str">
        <f t="shared" si="5"/>
        <v>SMFTPrevisãoSet-2023</v>
      </c>
      <c r="C149" t="s">
        <v>94</v>
      </c>
      <c r="D149" t="s">
        <v>95</v>
      </c>
      <c r="E149" t="s">
        <v>93</v>
      </c>
      <c r="F149" t="s">
        <v>736</v>
      </c>
      <c r="G149" t="s">
        <v>737</v>
      </c>
      <c r="H149" t="s">
        <v>738</v>
      </c>
      <c r="I149" t="s">
        <v>739</v>
      </c>
      <c r="J149" t="s">
        <v>739</v>
      </c>
      <c r="K149" s="2">
        <v>45199</v>
      </c>
      <c r="L149">
        <v>710532.63622287603</v>
      </c>
      <c r="M149">
        <v>9225593.9060893208</v>
      </c>
      <c r="N149">
        <v>5957207.9086687202</v>
      </c>
      <c r="O149">
        <v>138898.53095974299</v>
      </c>
      <c r="P149">
        <v>-9225593.9060893208</v>
      </c>
      <c r="Q149">
        <v>-815660.91228072904</v>
      </c>
      <c r="R149">
        <v>53724.491744064901</v>
      </c>
      <c r="S149">
        <v>35486.641898864298</v>
      </c>
      <c r="T149">
        <v>1259571.1341586099</v>
      </c>
      <c r="U149">
        <v>5851590.19091848</v>
      </c>
      <c r="V149">
        <v>593545.79824563104</v>
      </c>
    </row>
    <row r="150" spans="1:22" x14ac:dyDescent="0.3">
      <c r="A150" t="str">
        <f t="shared" si="4"/>
        <v>ESTRPrevisão</v>
      </c>
      <c r="B150" t="str">
        <f t="shared" si="5"/>
        <v>ESTRPrevisãoDez-2022</v>
      </c>
      <c r="C150" t="s">
        <v>98</v>
      </c>
      <c r="D150" t="s">
        <v>99</v>
      </c>
      <c r="E150" t="s">
        <v>93</v>
      </c>
      <c r="F150" t="s">
        <v>736</v>
      </c>
      <c r="G150" t="s">
        <v>737</v>
      </c>
      <c r="H150" t="s">
        <v>738</v>
      </c>
      <c r="I150" t="s">
        <v>739</v>
      </c>
      <c r="J150" t="s">
        <v>739</v>
      </c>
      <c r="K150" s="2">
        <v>44925</v>
      </c>
      <c r="L150">
        <v>-6710.6390798742104</v>
      </c>
      <c r="M150">
        <v>163812.45641285801</v>
      </c>
      <c r="N150">
        <v>37199.965198199301</v>
      </c>
      <c r="O150">
        <v>129638.426024931</v>
      </c>
      <c r="P150">
        <v>-163812.45641285801</v>
      </c>
      <c r="Q150">
        <v>-543694.12596549198</v>
      </c>
      <c r="R150">
        <v>51145.151345406703</v>
      </c>
      <c r="S150">
        <v>280661.88116460398</v>
      </c>
      <c r="T150">
        <v>33375.700534762298</v>
      </c>
      <c r="U150">
        <v>-487331.615906947</v>
      </c>
      <c r="V150">
        <v>7617.0492318127599</v>
      </c>
    </row>
    <row r="151" spans="1:22" x14ac:dyDescent="0.3">
      <c r="A151" t="str">
        <f t="shared" si="4"/>
        <v>ESTRPrevisão</v>
      </c>
      <c r="B151" t="str">
        <f t="shared" si="5"/>
        <v>ESTRPrevisãoMar-2023</v>
      </c>
      <c r="C151" t="s">
        <v>98</v>
      </c>
      <c r="D151" t="s">
        <v>99</v>
      </c>
      <c r="E151" t="s">
        <v>93</v>
      </c>
      <c r="F151" t="s">
        <v>736</v>
      </c>
      <c r="G151" t="s">
        <v>737</v>
      </c>
      <c r="H151" t="s">
        <v>738</v>
      </c>
      <c r="I151" t="s">
        <v>739</v>
      </c>
      <c r="J151" t="s">
        <v>739</v>
      </c>
      <c r="K151" s="2">
        <v>45015</v>
      </c>
      <c r="L151">
        <v>-6946.5255828785603</v>
      </c>
      <c r="M151">
        <v>169792.03051178699</v>
      </c>
      <c r="N151">
        <v>39325.381952616401</v>
      </c>
      <c r="O151">
        <v>136004.849228117</v>
      </c>
      <c r="P151">
        <v>-169792.03051178699</v>
      </c>
      <c r="Q151">
        <v>-548088.55776474695</v>
      </c>
      <c r="R151">
        <v>51091.513171711602</v>
      </c>
      <c r="S151">
        <v>279924.02113804402</v>
      </c>
      <c r="T151">
        <v>38658.357442243403</v>
      </c>
      <c r="U151">
        <v>-479188.61299570801</v>
      </c>
      <c r="V151">
        <v>8187.7882664926001</v>
      </c>
    </row>
    <row r="152" spans="1:22" x14ac:dyDescent="0.3">
      <c r="A152" t="str">
        <f t="shared" si="4"/>
        <v>ESTRPrevisão</v>
      </c>
      <c r="B152" t="str">
        <f t="shared" si="5"/>
        <v>ESTRPrevisãoJun-2023</v>
      </c>
      <c r="C152" t="s">
        <v>98</v>
      </c>
      <c r="D152" t="s">
        <v>99</v>
      </c>
      <c r="E152" t="s">
        <v>93</v>
      </c>
      <c r="F152" t="s">
        <v>736</v>
      </c>
      <c r="G152" t="s">
        <v>737</v>
      </c>
      <c r="H152" t="s">
        <v>738</v>
      </c>
      <c r="I152" t="s">
        <v>739</v>
      </c>
      <c r="J152" t="s">
        <v>739</v>
      </c>
      <c r="K152" s="2">
        <v>45107</v>
      </c>
      <c r="L152">
        <v>-7228.8265463005</v>
      </c>
      <c r="M152">
        <v>177414.25141525501</v>
      </c>
      <c r="N152">
        <v>41792.671661569097</v>
      </c>
      <c r="O152">
        <v>142986.37209113399</v>
      </c>
      <c r="P152">
        <v>-177414.25141525501</v>
      </c>
      <c r="Q152">
        <v>-553107.89448963595</v>
      </c>
      <c r="R152">
        <v>50777.661853506303</v>
      </c>
      <c r="S152">
        <v>279023.128323921</v>
      </c>
      <c r="T152">
        <v>44424.456324005703</v>
      </c>
      <c r="U152">
        <v>-469100.58008643502</v>
      </c>
      <c r="V152">
        <v>8868.0146215110999</v>
      </c>
    </row>
    <row r="153" spans="1:22" x14ac:dyDescent="0.3">
      <c r="A153" t="str">
        <f t="shared" si="4"/>
        <v>ESTRPrevisão</v>
      </c>
      <c r="B153" t="str">
        <f t="shared" si="5"/>
        <v>ESTRPrevisãoSet-2023</v>
      </c>
      <c r="C153" t="s">
        <v>98</v>
      </c>
      <c r="D153" t="s">
        <v>99</v>
      </c>
      <c r="E153" t="s">
        <v>93</v>
      </c>
      <c r="F153" t="s">
        <v>736</v>
      </c>
      <c r="G153" t="s">
        <v>737</v>
      </c>
      <c r="H153" t="s">
        <v>738</v>
      </c>
      <c r="I153" t="s">
        <v>739</v>
      </c>
      <c r="J153" t="s">
        <v>739</v>
      </c>
      <c r="K153" s="2">
        <v>45199</v>
      </c>
      <c r="L153">
        <v>-7560.0398848639597</v>
      </c>
      <c r="M153">
        <v>186775.04720345599</v>
      </c>
      <c r="N153">
        <v>44619.058303284401</v>
      </c>
      <c r="O153">
        <v>150612.33494071101</v>
      </c>
      <c r="P153">
        <v>-186775.04720345599</v>
      </c>
      <c r="Q153">
        <v>-558810.67077085096</v>
      </c>
      <c r="R153">
        <v>50186.481068618697</v>
      </c>
      <c r="S153">
        <v>277970.79121239198</v>
      </c>
      <c r="T153">
        <v>50693.829756113701</v>
      </c>
      <c r="U153">
        <v>-456987.517921347</v>
      </c>
      <c r="V153">
        <v>9663.2805407270098</v>
      </c>
    </row>
    <row r="154" spans="1:22" x14ac:dyDescent="0.3">
      <c r="A154" t="str">
        <f t="shared" si="4"/>
        <v>BMKSPrevisão</v>
      </c>
      <c r="B154" t="str">
        <f t="shared" si="5"/>
        <v>BMKSPrevisãoDez-2022</v>
      </c>
      <c r="C154" t="s">
        <v>91</v>
      </c>
      <c r="D154" t="s">
        <v>92</v>
      </c>
      <c r="E154" t="s">
        <v>93</v>
      </c>
      <c r="F154" t="s">
        <v>736</v>
      </c>
      <c r="G154" t="s">
        <v>737</v>
      </c>
      <c r="H154" t="s">
        <v>738</v>
      </c>
      <c r="I154" t="s">
        <v>739</v>
      </c>
      <c r="J154" t="s">
        <v>739</v>
      </c>
      <c r="K154" s="2">
        <v>44925</v>
      </c>
      <c r="L154">
        <v>6698.2979373580802</v>
      </c>
      <c r="M154">
        <v>270982.55657396198</v>
      </c>
      <c r="N154">
        <v>154970.38901625999</v>
      </c>
      <c r="O154">
        <v>9560.1501570328892</v>
      </c>
      <c r="P154">
        <v>-206108.94779736199</v>
      </c>
      <c r="Q154">
        <v>-1819.0621339633601</v>
      </c>
      <c r="R154">
        <v>761.75103980994095</v>
      </c>
      <c r="S154">
        <v>632.21118750492701</v>
      </c>
      <c r="T154">
        <v>14262.5323826731</v>
      </c>
      <c r="U154">
        <v>187174.366182853</v>
      </c>
      <c r="V154">
        <v>7199.5631949747603</v>
      </c>
    </row>
    <row r="155" spans="1:22" x14ac:dyDescent="0.3">
      <c r="A155" t="str">
        <f t="shared" si="4"/>
        <v>BMKSPrevisão</v>
      </c>
      <c r="B155" t="str">
        <f t="shared" si="5"/>
        <v>BMKSPrevisãoMar-2023</v>
      </c>
      <c r="C155" t="s">
        <v>91</v>
      </c>
      <c r="D155" t="s">
        <v>92</v>
      </c>
      <c r="E155" t="s">
        <v>93</v>
      </c>
      <c r="F155" t="s">
        <v>736</v>
      </c>
      <c r="G155" t="s">
        <v>737</v>
      </c>
      <c r="H155" t="s">
        <v>738</v>
      </c>
      <c r="I155" t="s">
        <v>739</v>
      </c>
      <c r="J155" t="s">
        <v>739</v>
      </c>
      <c r="K155" s="2">
        <v>45015</v>
      </c>
      <c r="L155">
        <v>7698.45232933646</v>
      </c>
      <c r="M155">
        <v>292011.03778854501</v>
      </c>
      <c r="N155">
        <v>146731.270047795</v>
      </c>
      <c r="O155">
        <v>10903.2083955616</v>
      </c>
      <c r="P155">
        <v>-200032.88779007699</v>
      </c>
      <c r="Q155">
        <v>-223.252321097639</v>
      </c>
      <c r="R155">
        <v>770.97516385759195</v>
      </c>
      <c r="S155">
        <v>617.58750117518696</v>
      </c>
      <c r="T155">
        <v>8736.6752191743508</v>
      </c>
      <c r="U155">
        <v>183626.95840991999</v>
      </c>
      <c r="V155">
        <v>7995.6435740550396</v>
      </c>
    </row>
    <row r="156" spans="1:22" x14ac:dyDescent="0.3">
      <c r="A156" t="str">
        <f t="shared" si="4"/>
        <v>BMKSPrevisão</v>
      </c>
      <c r="B156" t="str">
        <f t="shared" si="5"/>
        <v>BMKSPrevisãoJun-2023</v>
      </c>
      <c r="C156" t="s">
        <v>91</v>
      </c>
      <c r="D156" t="s">
        <v>92</v>
      </c>
      <c r="E156" t="s">
        <v>93</v>
      </c>
      <c r="F156" t="s">
        <v>736</v>
      </c>
      <c r="G156" t="s">
        <v>737</v>
      </c>
      <c r="H156" t="s">
        <v>738</v>
      </c>
      <c r="I156" t="s">
        <v>739</v>
      </c>
      <c r="J156" t="s">
        <v>739</v>
      </c>
      <c r="K156" s="2">
        <v>45107</v>
      </c>
      <c r="L156">
        <v>8799.2525405892102</v>
      </c>
      <c r="M156">
        <v>316181.42560950498</v>
      </c>
      <c r="N156">
        <v>136814.57573542101</v>
      </c>
      <c r="O156">
        <v>12405.112549283</v>
      </c>
      <c r="P156">
        <v>-192689.223517395</v>
      </c>
      <c r="Q156">
        <v>1636.6533655757701</v>
      </c>
      <c r="R156">
        <v>779.34313973020699</v>
      </c>
      <c r="S156">
        <v>608.830356470477</v>
      </c>
      <c r="T156">
        <v>2326.0566721626601</v>
      </c>
      <c r="U156">
        <v>179259.689106445</v>
      </c>
      <c r="V156">
        <v>8886.2447775261098</v>
      </c>
    </row>
    <row r="157" spans="1:22" x14ac:dyDescent="0.3">
      <c r="A157" t="str">
        <f t="shared" si="4"/>
        <v>BMKSPrevisão</v>
      </c>
      <c r="B157" t="str">
        <f t="shared" si="5"/>
        <v>BMKSPrevisãoSet-2023</v>
      </c>
      <c r="C157" t="s">
        <v>91</v>
      </c>
      <c r="D157" t="s">
        <v>92</v>
      </c>
      <c r="E157" t="s">
        <v>93</v>
      </c>
      <c r="F157" t="s">
        <v>736</v>
      </c>
      <c r="G157" t="s">
        <v>737</v>
      </c>
      <c r="H157" t="s">
        <v>738</v>
      </c>
      <c r="I157" t="s">
        <v>739</v>
      </c>
      <c r="J157" t="s">
        <v>739</v>
      </c>
      <c r="K157" s="2">
        <v>45199</v>
      </c>
      <c r="L157">
        <v>10004.5431934563</v>
      </c>
      <c r="M157">
        <v>343679.86550229701</v>
      </c>
      <c r="N157">
        <v>125110.68014919601</v>
      </c>
      <c r="O157">
        <v>14072.619420659699</v>
      </c>
      <c r="P157">
        <v>-183992.34557034599</v>
      </c>
      <c r="Q157">
        <v>3777.49153861171</v>
      </c>
      <c r="R157">
        <v>786.77223657725403</v>
      </c>
      <c r="S157">
        <v>606.00449574036998</v>
      </c>
      <c r="T157">
        <v>-5023.9482355007203</v>
      </c>
      <c r="U157">
        <v>174015.08155953299</v>
      </c>
      <c r="V157">
        <v>9875.2752735781596</v>
      </c>
    </row>
    <row r="158" spans="1:22" x14ac:dyDescent="0.3">
      <c r="A158" t="str">
        <f t="shared" si="4"/>
        <v>TKNOPrevisão</v>
      </c>
      <c r="B158" t="str">
        <f t="shared" si="5"/>
        <v>TKNOPrevisãoDez-2022</v>
      </c>
      <c r="C158" t="s">
        <v>340</v>
      </c>
      <c r="D158" t="s">
        <v>341</v>
      </c>
      <c r="E158" t="s">
        <v>337</v>
      </c>
      <c r="F158" t="s">
        <v>736</v>
      </c>
      <c r="G158" t="s">
        <v>737</v>
      </c>
      <c r="H158" t="s">
        <v>738</v>
      </c>
      <c r="I158" t="s">
        <v>739</v>
      </c>
      <c r="J158" t="s">
        <v>739</v>
      </c>
      <c r="K158" s="2">
        <v>44925</v>
      </c>
      <c r="L158">
        <v>23972.419064594302</v>
      </c>
      <c r="M158">
        <v>421505.782531209</v>
      </c>
      <c r="N158">
        <v>269532.49978782202</v>
      </c>
      <c r="O158">
        <v>95646.230880225397</v>
      </c>
      <c r="P158">
        <v>-421505.782531209</v>
      </c>
      <c r="Q158">
        <v>-112895.856294033</v>
      </c>
      <c r="R158">
        <v>10854.9807316889</v>
      </c>
      <c r="S158">
        <v>3752.9455054748701</v>
      </c>
      <c r="T158">
        <v>69019.380358206603</v>
      </c>
      <c r="U158">
        <v>294398.23453020101</v>
      </c>
      <c r="V158">
        <v>109313.95968082501</v>
      </c>
    </row>
    <row r="159" spans="1:22" x14ac:dyDescent="0.3">
      <c r="A159" t="str">
        <f t="shared" si="4"/>
        <v>TKNOPrevisão</v>
      </c>
      <c r="B159" t="str">
        <f t="shared" si="5"/>
        <v>TKNOPrevisãoMar-2023</v>
      </c>
      <c r="C159" t="s">
        <v>340</v>
      </c>
      <c r="D159" t="s">
        <v>341</v>
      </c>
      <c r="E159" t="s">
        <v>337</v>
      </c>
      <c r="F159" t="s">
        <v>736</v>
      </c>
      <c r="G159" t="s">
        <v>737</v>
      </c>
      <c r="H159" t="s">
        <v>738</v>
      </c>
      <c r="I159" t="s">
        <v>739</v>
      </c>
      <c r="J159" t="s">
        <v>739</v>
      </c>
      <c r="K159" s="2">
        <v>45015</v>
      </c>
      <c r="L159">
        <v>27613.810030808301</v>
      </c>
      <c r="M159">
        <v>458363.29637507902</v>
      </c>
      <c r="N159">
        <v>296452.54923069599</v>
      </c>
      <c r="O159">
        <v>104804.87855157899</v>
      </c>
      <c r="P159">
        <v>-458363.29637507902</v>
      </c>
      <c r="Q159">
        <v>-125964.694235106</v>
      </c>
      <c r="R159">
        <v>11606.987958166999</v>
      </c>
      <c r="S159">
        <v>4096.1105100514897</v>
      </c>
      <c r="T159">
        <v>82436.615611031099</v>
      </c>
      <c r="U159">
        <v>317733.67352840898</v>
      </c>
      <c r="V159">
        <v>121518.581625917</v>
      </c>
    </row>
    <row r="160" spans="1:22" x14ac:dyDescent="0.3">
      <c r="A160" t="str">
        <f t="shared" si="4"/>
        <v>TKNOPrevisão</v>
      </c>
      <c r="B160" t="str">
        <f t="shared" si="5"/>
        <v>TKNOPrevisãoJun-2023</v>
      </c>
      <c r="C160" t="s">
        <v>340</v>
      </c>
      <c r="D160" t="s">
        <v>341</v>
      </c>
      <c r="E160" t="s">
        <v>337</v>
      </c>
      <c r="F160" t="s">
        <v>736</v>
      </c>
      <c r="G160" t="s">
        <v>737</v>
      </c>
      <c r="H160" t="s">
        <v>738</v>
      </c>
      <c r="I160" t="s">
        <v>739</v>
      </c>
      <c r="J160" t="s">
        <v>739</v>
      </c>
      <c r="K160" s="2">
        <v>45107</v>
      </c>
      <c r="L160">
        <v>31547.843530150902</v>
      </c>
      <c r="M160">
        <v>498840.83509397099</v>
      </c>
      <c r="N160">
        <v>325577.63516673999</v>
      </c>
      <c r="O160">
        <v>114740.431776671</v>
      </c>
      <c r="P160">
        <v>-498840.83509397099</v>
      </c>
      <c r="Q160">
        <v>-140115.973322404</v>
      </c>
      <c r="R160">
        <v>12421.4223162116</v>
      </c>
      <c r="S160">
        <v>4461.8589619731501</v>
      </c>
      <c r="T160">
        <v>97281.080586159704</v>
      </c>
      <c r="U160">
        <v>343615.33150338498</v>
      </c>
      <c r="V160">
        <v>134830.222824953</v>
      </c>
    </row>
    <row r="161" spans="1:22" x14ac:dyDescent="0.3">
      <c r="A161" t="str">
        <f t="shared" si="4"/>
        <v>TKNOPrevisão</v>
      </c>
      <c r="B161" t="str">
        <f t="shared" si="5"/>
        <v>TKNOPrevisãoSet-2023</v>
      </c>
      <c r="C161" t="s">
        <v>340</v>
      </c>
      <c r="D161" t="s">
        <v>341</v>
      </c>
      <c r="E161" t="s">
        <v>337</v>
      </c>
      <c r="F161" t="s">
        <v>736</v>
      </c>
      <c r="G161" t="s">
        <v>737</v>
      </c>
      <c r="H161" t="s">
        <v>738</v>
      </c>
      <c r="I161" t="s">
        <v>739</v>
      </c>
      <c r="J161" t="s">
        <v>739</v>
      </c>
      <c r="K161" s="2">
        <v>45199</v>
      </c>
      <c r="L161">
        <v>35784.001649311504</v>
      </c>
      <c r="M161">
        <v>543087.84489275597</v>
      </c>
      <c r="N161">
        <v>356976.870128565</v>
      </c>
      <c r="O161">
        <v>125484.21221984499</v>
      </c>
      <c r="P161">
        <v>-543087.84489275597</v>
      </c>
      <c r="Q161">
        <v>-155391.21534006801</v>
      </c>
      <c r="R161">
        <v>13300.899649707801</v>
      </c>
      <c r="S161">
        <v>4850.55688848512</v>
      </c>
      <c r="T161">
        <v>113609.352017636</v>
      </c>
      <c r="U161">
        <v>372153.56154941698</v>
      </c>
      <c r="V161">
        <v>149293.96170566601</v>
      </c>
    </row>
    <row r="162" spans="1:22" x14ac:dyDescent="0.3">
      <c r="A162" t="str">
        <f t="shared" si="4"/>
        <v>GOAUPrevisão</v>
      </c>
      <c r="B162" t="str">
        <f t="shared" si="5"/>
        <v>GOAUPrevisãoDez-2022</v>
      </c>
      <c r="C162" t="s">
        <v>338</v>
      </c>
      <c r="D162" t="s">
        <v>339</v>
      </c>
      <c r="E162" t="s">
        <v>337</v>
      </c>
      <c r="F162" t="s">
        <v>736</v>
      </c>
      <c r="G162" t="s">
        <v>737</v>
      </c>
      <c r="H162" t="s">
        <v>738</v>
      </c>
      <c r="I162" t="s">
        <v>739</v>
      </c>
      <c r="J162" t="s">
        <v>739</v>
      </c>
      <c r="K162" s="2">
        <v>44925</v>
      </c>
      <c r="L162">
        <v>1671274.7428059899</v>
      </c>
      <c r="M162">
        <v>20046182.361425899</v>
      </c>
      <c r="N162">
        <v>1292407.64604019</v>
      </c>
      <c r="O162">
        <v>359.87046939859198</v>
      </c>
      <c r="P162">
        <v>-20046182.361425899</v>
      </c>
      <c r="Q162">
        <v>-310862.25328900898</v>
      </c>
      <c r="R162">
        <v>-230.71606824566101</v>
      </c>
      <c r="S162">
        <v>23607.052796877499</v>
      </c>
      <c r="T162">
        <v>6398757.34572729</v>
      </c>
      <c r="U162">
        <v>19319028.224172998</v>
      </c>
      <c r="V162">
        <v>1667856.06094558</v>
      </c>
    </row>
    <row r="163" spans="1:22" x14ac:dyDescent="0.3">
      <c r="A163" t="str">
        <f t="shared" si="4"/>
        <v>GOAUPrevisão</v>
      </c>
      <c r="B163" t="str">
        <f t="shared" si="5"/>
        <v>GOAUPrevisãoMar-2023</v>
      </c>
      <c r="C163" t="s">
        <v>338</v>
      </c>
      <c r="D163" t="s">
        <v>339</v>
      </c>
      <c r="E163" t="s">
        <v>337</v>
      </c>
      <c r="F163" t="s">
        <v>736</v>
      </c>
      <c r="G163" t="s">
        <v>737</v>
      </c>
      <c r="H163" t="s">
        <v>738</v>
      </c>
      <c r="I163" t="s">
        <v>739</v>
      </c>
      <c r="J163" t="s">
        <v>739</v>
      </c>
      <c r="K163" s="2">
        <v>45015</v>
      </c>
      <c r="L163">
        <v>1882017.58641122</v>
      </c>
      <c r="M163">
        <v>22202836.949840002</v>
      </c>
      <c r="N163">
        <v>1442885.89016438</v>
      </c>
      <c r="O163">
        <v>638.46991605687197</v>
      </c>
      <c r="P163">
        <v>-22202836.949840002</v>
      </c>
      <c r="Q163">
        <v>-434617.43271903199</v>
      </c>
      <c r="R163">
        <v>-346.22690452124402</v>
      </c>
      <c r="S163">
        <v>27421.947806478802</v>
      </c>
      <c r="T163">
        <v>7770085.8918772601</v>
      </c>
      <c r="U163">
        <v>21126665.815085601</v>
      </c>
      <c r="V163">
        <v>1883059.50580066</v>
      </c>
    </row>
    <row r="164" spans="1:22" x14ac:dyDescent="0.3">
      <c r="A164" t="str">
        <f t="shared" si="4"/>
        <v>GOAUPrevisão</v>
      </c>
      <c r="B164" t="str">
        <f t="shared" si="5"/>
        <v>GOAUPrevisãoJun-2023</v>
      </c>
      <c r="C164" t="s">
        <v>338</v>
      </c>
      <c r="D164" t="s">
        <v>339</v>
      </c>
      <c r="E164" t="s">
        <v>337</v>
      </c>
      <c r="F164" t="s">
        <v>736</v>
      </c>
      <c r="G164" t="s">
        <v>737</v>
      </c>
      <c r="H164" t="s">
        <v>738</v>
      </c>
      <c r="I164" t="s">
        <v>739</v>
      </c>
      <c r="J164" t="s">
        <v>739</v>
      </c>
      <c r="K164" s="2">
        <v>45107</v>
      </c>
      <c r="L164">
        <v>2108223.6707631899</v>
      </c>
      <c r="M164">
        <v>24622632.097366299</v>
      </c>
      <c r="N164">
        <v>1605654.77470954</v>
      </c>
      <c r="O164">
        <v>978.19752384641595</v>
      </c>
      <c r="P164">
        <v>-24622632.097366299</v>
      </c>
      <c r="Q164">
        <v>-580912.616208205</v>
      </c>
      <c r="R164">
        <v>-475.852758431974</v>
      </c>
      <c r="S164">
        <v>31610.853500400401</v>
      </c>
      <c r="T164">
        <v>9312893.3550325409</v>
      </c>
      <c r="U164">
        <v>23133270.006405901</v>
      </c>
      <c r="V164">
        <v>2114959.8678522599</v>
      </c>
    </row>
    <row r="165" spans="1:22" x14ac:dyDescent="0.3">
      <c r="A165" t="str">
        <f t="shared" si="4"/>
        <v>GOAUPrevisão</v>
      </c>
      <c r="B165" t="str">
        <f t="shared" si="5"/>
        <v>GOAUPrevisãoSet-2023</v>
      </c>
      <c r="C165" t="s">
        <v>338</v>
      </c>
      <c r="D165" t="s">
        <v>339</v>
      </c>
      <c r="E165" t="s">
        <v>337</v>
      </c>
      <c r="F165" t="s">
        <v>736</v>
      </c>
      <c r="G165" t="s">
        <v>737</v>
      </c>
      <c r="H165" t="s">
        <v>738</v>
      </c>
      <c r="I165" t="s">
        <v>739</v>
      </c>
      <c r="J165" t="s">
        <v>739</v>
      </c>
      <c r="K165" s="2">
        <v>45199</v>
      </c>
      <c r="L165">
        <v>2350385.0557498201</v>
      </c>
      <c r="M165">
        <v>27318381.0330327</v>
      </c>
      <c r="N165">
        <v>1781197.27960616</v>
      </c>
      <c r="O165">
        <v>1382.52879182169</v>
      </c>
      <c r="P165">
        <v>-27318381.0330327</v>
      </c>
      <c r="Q165">
        <v>-751034.32904936199</v>
      </c>
      <c r="R165">
        <v>-620.25727966317095</v>
      </c>
      <c r="S165">
        <v>36189.786996455201</v>
      </c>
      <c r="T165">
        <v>11035479.484479601</v>
      </c>
      <c r="U165">
        <v>25348281.110598899</v>
      </c>
      <c r="V165">
        <v>2364124.2549335998</v>
      </c>
    </row>
    <row r="166" spans="1:22" x14ac:dyDescent="0.3">
      <c r="A166" t="str">
        <f t="shared" si="4"/>
        <v>MGELPrevisão</v>
      </c>
      <c r="B166" t="str">
        <f t="shared" si="5"/>
        <v>MGELPrevisãoDez-2022</v>
      </c>
      <c r="C166" t="s">
        <v>342</v>
      </c>
      <c r="D166" t="s">
        <v>343</v>
      </c>
      <c r="E166" t="s">
        <v>337</v>
      </c>
      <c r="F166" t="s">
        <v>736</v>
      </c>
      <c r="G166" t="s">
        <v>737</v>
      </c>
      <c r="H166" t="s">
        <v>738</v>
      </c>
      <c r="I166" t="s">
        <v>739</v>
      </c>
      <c r="J166" t="s">
        <v>739</v>
      </c>
      <c r="K166" s="2">
        <v>44925</v>
      </c>
      <c r="L166">
        <v>29825.076648821199</v>
      </c>
      <c r="M166">
        <v>854192.44945245702</v>
      </c>
      <c r="N166">
        <v>486780.23580340401</v>
      </c>
      <c r="O166">
        <v>151841.53204317199</v>
      </c>
      <c r="P166">
        <v>-854192.44945245702</v>
      </c>
      <c r="Q166">
        <v>-392367.67549416999</v>
      </c>
      <c r="R166">
        <v>23897.710635773001</v>
      </c>
      <c r="S166">
        <v>11917.617180203801</v>
      </c>
      <c r="T166">
        <v>-4844.5798319224596</v>
      </c>
      <c r="U166">
        <v>-122208.65011452899</v>
      </c>
      <c r="V166">
        <v>302762.44546299201</v>
      </c>
    </row>
    <row r="167" spans="1:22" x14ac:dyDescent="0.3">
      <c r="A167" t="str">
        <f t="shared" si="4"/>
        <v>MGELPrevisão</v>
      </c>
      <c r="B167" t="str">
        <f t="shared" si="5"/>
        <v>MGELPrevisãoMar-2023</v>
      </c>
      <c r="C167" t="s">
        <v>342</v>
      </c>
      <c r="D167" t="s">
        <v>343</v>
      </c>
      <c r="E167" t="s">
        <v>337</v>
      </c>
      <c r="F167" t="s">
        <v>736</v>
      </c>
      <c r="G167" t="s">
        <v>737</v>
      </c>
      <c r="H167" t="s">
        <v>738</v>
      </c>
      <c r="I167" t="s">
        <v>739</v>
      </c>
      <c r="J167" t="s">
        <v>739</v>
      </c>
      <c r="K167" s="2">
        <v>45015</v>
      </c>
      <c r="L167">
        <v>33589.308185167203</v>
      </c>
      <c r="M167">
        <v>946591.18822559505</v>
      </c>
      <c r="N167">
        <v>542165.437724952</v>
      </c>
      <c r="O167">
        <v>169187.39374904</v>
      </c>
      <c r="P167">
        <v>-946591.18822559505</v>
      </c>
      <c r="Q167">
        <v>-477790.44488003699</v>
      </c>
      <c r="R167">
        <v>25975.878276294301</v>
      </c>
      <c r="S167">
        <v>13117.359628534299</v>
      </c>
      <c r="T167">
        <v>-6888.9573018288102</v>
      </c>
      <c r="U167">
        <v>-66842.894348836402</v>
      </c>
      <c r="V167">
        <v>336981.89934773801</v>
      </c>
    </row>
    <row r="168" spans="1:22" x14ac:dyDescent="0.3">
      <c r="A168" t="str">
        <f t="shared" si="4"/>
        <v>MGELPrevisão</v>
      </c>
      <c r="B168" t="str">
        <f t="shared" si="5"/>
        <v>MGELPrevisãoJun-2023</v>
      </c>
      <c r="C168" t="s">
        <v>342</v>
      </c>
      <c r="D168" t="s">
        <v>343</v>
      </c>
      <c r="E168" t="s">
        <v>337</v>
      </c>
      <c r="F168" t="s">
        <v>736</v>
      </c>
      <c r="G168" t="s">
        <v>737</v>
      </c>
      <c r="H168" t="s">
        <v>738</v>
      </c>
      <c r="I168" t="s">
        <v>739</v>
      </c>
      <c r="J168" t="s">
        <v>739</v>
      </c>
      <c r="K168" s="2">
        <v>45107</v>
      </c>
      <c r="L168">
        <v>37410.152174382398</v>
      </c>
      <c r="M168">
        <v>1048781.1400458</v>
      </c>
      <c r="N168">
        <v>602897.59490210598</v>
      </c>
      <c r="O168">
        <v>188296.921923074</v>
      </c>
      <c r="P168">
        <v>-1048781.1400458</v>
      </c>
      <c r="Q168">
        <v>-574891.82280850795</v>
      </c>
      <c r="R168">
        <v>28325.506894016398</v>
      </c>
      <c r="S168">
        <v>14432.4027092088</v>
      </c>
      <c r="T168">
        <v>-9269.1055500322891</v>
      </c>
      <c r="U168">
        <v>-5701.6555063244296</v>
      </c>
      <c r="V168">
        <v>374796.64770439098</v>
      </c>
    </row>
    <row r="169" spans="1:22" x14ac:dyDescent="0.3">
      <c r="A169" t="str">
        <f t="shared" si="4"/>
        <v>MGELPrevisão</v>
      </c>
      <c r="B169" t="str">
        <f t="shared" si="5"/>
        <v>MGELPrevisãoSet-2023</v>
      </c>
      <c r="C169" t="s">
        <v>342</v>
      </c>
      <c r="D169" t="s">
        <v>343</v>
      </c>
      <c r="E169" t="s">
        <v>337</v>
      </c>
      <c r="F169" t="s">
        <v>736</v>
      </c>
      <c r="G169" t="s">
        <v>737</v>
      </c>
      <c r="H169" t="s">
        <v>738</v>
      </c>
      <c r="I169" t="s">
        <v>739</v>
      </c>
      <c r="J169" t="s">
        <v>739</v>
      </c>
      <c r="K169" s="2">
        <v>45199</v>
      </c>
      <c r="L169">
        <v>41279.386384622201</v>
      </c>
      <c r="M169">
        <v>1161184.83742237</v>
      </c>
      <c r="N169">
        <v>669198.44549665402</v>
      </c>
      <c r="O169">
        <v>209250.96853768401</v>
      </c>
      <c r="P169">
        <v>-1161184.83742237</v>
      </c>
      <c r="Q169">
        <v>-684266.95305378595</v>
      </c>
      <c r="R169">
        <v>30961.523161417401</v>
      </c>
      <c r="S169">
        <v>15867.987828196199</v>
      </c>
      <c r="T169">
        <v>-12005.906787870201</v>
      </c>
      <c r="U169">
        <v>61387.708879261801</v>
      </c>
      <c r="V169">
        <v>416376.61900694401</v>
      </c>
    </row>
    <row r="170" spans="1:22" x14ac:dyDescent="0.3">
      <c r="A170" t="str">
        <f t="shared" si="4"/>
        <v>KEPLPrevisão</v>
      </c>
      <c r="B170" t="str">
        <f t="shared" si="5"/>
        <v>KEPLPrevisãoDez-2022</v>
      </c>
      <c r="C170" t="s">
        <v>335</v>
      </c>
      <c r="D170" t="s">
        <v>336</v>
      </c>
      <c r="E170" t="s">
        <v>337</v>
      </c>
      <c r="F170" t="s">
        <v>736</v>
      </c>
      <c r="G170" t="s">
        <v>737</v>
      </c>
      <c r="H170" t="s">
        <v>738</v>
      </c>
      <c r="I170" t="s">
        <v>739</v>
      </c>
      <c r="J170" t="s">
        <v>739</v>
      </c>
      <c r="K170" s="2">
        <v>44925</v>
      </c>
      <c r="L170">
        <v>116788.275273755</v>
      </c>
      <c r="M170">
        <v>724519.66870387399</v>
      </c>
      <c r="N170">
        <v>107870.807826152</v>
      </c>
      <c r="O170">
        <v>62.578304048766697</v>
      </c>
      <c r="P170">
        <v>-724519.66870387399</v>
      </c>
      <c r="Q170">
        <v>-45043.148629148302</v>
      </c>
      <c r="R170">
        <v>3194.78898225998</v>
      </c>
      <c r="S170">
        <v>1560.2858840503</v>
      </c>
      <c r="T170">
        <v>227961.807826203</v>
      </c>
      <c r="U170">
        <v>660216.28096101002</v>
      </c>
      <c r="V170">
        <v>117424.67243868401</v>
      </c>
    </row>
    <row r="171" spans="1:22" x14ac:dyDescent="0.3">
      <c r="A171" t="str">
        <f t="shared" si="4"/>
        <v>KEPLPrevisão</v>
      </c>
      <c r="B171" t="str">
        <f t="shared" si="5"/>
        <v>KEPLPrevisãoMar-2023</v>
      </c>
      <c r="C171" t="s">
        <v>335</v>
      </c>
      <c r="D171" t="s">
        <v>336</v>
      </c>
      <c r="E171" t="s">
        <v>337</v>
      </c>
      <c r="F171" t="s">
        <v>736</v>
      </c>
      <c r="G171" t="s">
        <v>737</v>
      </c>
      <c r="H171" t="s">
        <v>738</v>
      </c>
      <c r="I171" t="s">
        <v>739</v>
      </c>
      <c r="J171" t="s">
        <v>739</v>
      </c>
      <c r="K171" s="2">
        <v>45015</v>
      </c>
      <c r="L171">
        <v>138039.43730515501</v>
      </c>
      <c r="M171">
        <v>767448.41151009698</v>
      </c>
      <c r="N171">
        <v>115585.149617904</v>
      </c>
      <c r="O171">
        <v>80.616267145509696</v>
      </c>
      <c r="P171">
        <v>-767448.41151009698</v>
      </c>
      <c r="Q171">
        <v>-51827.023012316698</v>
      </c>
      <c r="R171">
        <v>3624.2310293492501</v>
      </c>
      <c r="S171">
        <v>1679.63047692431</v>
      </c>
      <c r="T171">
        <v>242274.94415199899</v>
      </c>
      <c r="U171">
        <v>692928.43953748897</v>
      </c>
      <c r="V171">
        <v>138610.57400029499</v>
      </c>
    </row>
    <row r="172" spans="1:22" x14ac:dyDescent="0.3">
      <c r="A172" t="str">
        <f t="shared" si="4"/>
        <v>KEPLPrevisão</v>
      </c>
      <c r="B172" t="str">
        <f t="shared" si="5"/>
        <v>KEPLPrevisãoJun-2023</v>
      </c>
      <c r="C172" t="s">
        <v>335</v>
      </c>
      <c r="D172" t="s">
        <v>336</v>
      </c>
      <c r="E172" t="s">
        <v>337</v>
      </c>
      <c r="F172" t="s">
        <v>736</v>
      </c>
      <c r="G172" t="s">
        <v>737</v>
      </c>
      <c r="H172" t="s">
        <v>738</v>
      </c>
      <c r="I172" t="s">
        <v>739</v>
      </c>
      <c r="J172" t="s">
        <v>739</v>
      </c>
      <c r="K172" s="2">
        <v>45107</v>
      </c>
      <c r="L172">
        <v>161445.44771020001</v>
      </c>
      <c r="M172">
        <v>814734.37878774805</v>
      </c>
      <c r="N172">
        <v>123639.20616482</v>
      </c>
      <c r="O172">
        <v>100.179556420823</v>
      </c>
      <c r="P172">
        <v>-814734.37878774805</v>
      </c>
      <c r="Q172">
        <v>-59233.940571063999</v>
      </c>
      <c r="R172">
        <v>4098.5968485078201</v>
      </c>
      <c r="S172">
        <v>1812.6810191637201</v>
      </c>
      <c r="T172">
        <v>258063.52411000099</v>
      </c>
      <c r="U172">
        <v>729106.02049779496</v>
      </c>
      <c r="V172">
        <v>161935.373067268</v>
      </c>
    </row>
    <row r="173" spans="1:22" x14ac:dyDescent="0.3">
      <c r="A173" t="str">
        <f t="shared" si="4"/>
        <v>KEPLPrevisão</v>
      </c>
      <c r="B173" t="str">
        <f t="shared" si="5"/>
        <v>KEPLPrevisãoSet-2023</v>
      </c>
      <c r="C173" t="s">
        <v>335</v>
      </c>
      <c r="D173" t="s">
        <v>336</v>
      </c>
      <c r="E173" t="s">
        <v>337</v>
      </c>
      <c r="F173" t="s">
        <v>736</v>
      </c>
      <c r="G173" t="s">
        <v>737</v>
      </c>
      <c r="H173" t="s">
        <v>738</v>
      </c>
      <c r="I173" t="s">
        <v>739</v>
      </c>
      <c r="J173" t="s">
        <v>739</v>
      </c>
      <c r="K173" s="2">
        <v>45199</v>
      </c>
      <c r="L173">
        <v>187100.376431832</v>
      </c>
      <c r="M173">
        <v>866580.07316907798</v>
      </c>
      <c r="N173">
        <v>132038.45447171299</v>
      </c>
      <c r="O173">
        <v>121.26971820442699</v>
      </c>
      <c r="P173">
        <v>-866580.07316907798</v>
      </c>
      <c r="Q173">
        <v>-67287.273024160997</v>
      </c>
      <c r="R173">
        <v>4620.0041883487902</v>
      </c>
      <c r="S173">
        <v>1960.1617351769501</v>
      </c>
      <c r="T173">
        <v>275415.16786008701</v>
      </c>
      <c r="U173">
        <v>768935.34740921296</v>
      </c>
      <c r="V173">
        <v>187491.80876889001</v>
      </c>
    </row>
    <row r="174" spans="1:22" x14ac:dyDescent="0.3">
      <c r="A174" t="str">
        <f t="shared" si="4"/>
        <v>QUSWPrevisão</v>
      </c>
      <c r="B174" t="str">
        <f t="shared" si="5"/>
        <v>QUSWPrevisãoDez-2022</v>
      </c>
      <c r="C174" t="s">
        <v>256</v>
      </c>
      <c r="D174" t="s">
        <v>257</v>
      </c>
      <c r="E174" t="s">
        <v>258</v>
      </c>
      <c r="F174" t="s">
        <v>736</v>
      </c>
      <c r="G174" t="s">
        <v>737</v>
      </c>
      <c r="H174" t="s">
        <v>738</v>
      </c>
      <c r="I174" t="s">
        <v>739</v>
      </c>
      <c r="J174" t="s">
        <v>739</v>
      </c>
      <c r="K174" s="2">
        <v>44925</v>
      </c>
      <c r="L174">
        <v>3035475.9013467599</v>
      </c>
      <c r="M174">
        <v>199356166.12709299</v>
      </c>
      <c r="N174">
        <v>32260415.011640899</v>
      </c>
      <c r="O174">
        <v>10979024.631271601</v>
      </c>
      <c r="P174">
        <v>-199356166.12709299</v>
      </c>
      <c r="Q174">
        <v>-74511901.341143906</v>
      </c>
      <c r="R174">
        <v>4550224.3765375298</v>
      </c>
      <c r="S174">
        <v>1128079.3851481499</v>
      </c>
      <c r="T174">
        <v>27983472.222115502</v>
      </c>
      <c r="U174">
        <v>64831818.156723201</v>
      </c>
      <c r="V174">
        <v>14270073.6172131</v>
      </c>
    </row>
    <row r="175" spans="1:22" x14ac:dyDescent="0.3">
      <c r="A175" t="str">
        <f t="shared" si="4"/>
        <v>QUSWPrevisão</v>
      </c>
      <c r="B175" t="str">
        <f t="shared" si="5"/>
        <v>QUSWPrevisãoMar-2023</v>
      </c>
      <c r="C175" t="s">
        <v>256</v>
      </c>
      <c r="D175" t="s">
        <v>257</v>
      </c>
      <c r="E175" t="s">
        <v>258</v>
      </c>
      <c r="F175" t="s">
        <v>736</v>
      </c>
      <c r="G175" t="s">
        <v>737</v>
      </c>
      <c r="H175" t="s">
        <v>738</v>
      </c>
      <c r="I175" t="s">
        <v>739</v>
      </c>
      <c r="J175" t="s">
        <v>739</v>
      </c>
      <c r="K175" s="2">
        <v>45015</v>
      </c>
      <c r="L175">
        <v>3381010.4284483399</v>
      </c>
      <c r="M175">
        <v>215669867.20241499</v>
      </c>
      <c r="N175">
        <v>32681060.334151</v>
      </c>
      <c r="O175">
        <v>9797983.7952280305</v>
      </c>
      <c r="P175">
        <v>-215669867.20241499</v>
      </c>
      <c r="Q175">
        <v>-82520673.932471305</v>
      </c>
      <c r="R175">
        <v>4423034.4613054805</v>
      </c>
      <c r="S175">
        <v>1026431.12537089</v>
      </c>
      <c r="T175">
        <v>32657828.351571798</v>
      </c>
      <c r="U175">
        <v>66952150.642624602</v>
      </c>
      <c r="V175">
        <v>14117334.326303599</v>
      </c>
    </row>
    <row r="176" spans="1:22" x14ac:dyDescent="0.3">
      <c r="A176" t="str">
        <f t="shared" si="4"/>
        <v>QUSWPrevisão</v>
      </c>
      <c r="B176" t="str">
        <f t="shared" si="5"/>
        <v>QUSWPrevisãoJun-2023</v>
      </c>
      <c r="C176" t="s">
        <v>256</v>
      </c>
      <c r="D176" t="s">
        <v>257</v>
      </c>
      <c r="E176" t="s">
        <v>258</v>
      </c>
      <c r="F176" t="s">
        <v>736</v>
      </c>
      <c r="G176" t="s">
        <v>737</v>
      </c>
      <c r="H176" t="s">
        <v>738</v>
      </c>
      <c r="I176" t="s">
        <v>739</v>
      </c>
      <c r="J176" t="s">
        <v>739</v>
      </c>
      <c r="K176" s="2">
        <v>45107</v>
      </c>
      <c r="L176">
        <v>3760112.5191285</v>
      </c>
      <c r="M176">
        <v>233290857.79176</v>
      </c>
      <c r="N176">
        <v>33064929.6347805</v>
      </c>
      <c r="O176">
        <v>8403437.5654179994</v>
      </c>
      <c r="P176">
        <v>-233290857.79176</v>
      </c>
      <c r="Q176">
        <v>-91294433.525601894</v>
      </c>
      <c r="R176">
        <v>4289446.2956474796</v>
      </c>
      <c r="S176">
        <v>917458.06128285604</v>
      </c>
      <c r="T176">
        <v>37850830.1825286</v>
      </c>
      <c r="U176">
        <v>69096425.875292599</v>
      </c>
      <c r="V176">
        <v>13929110.578691799</v>
      </c>
    </row>
    <row r="177" spans="1:22" x14ac:dyDescent="0.3">
      <c r="A177" t="str">
        <f t="shared" si="4"/>
        <v>QUSWPrevisão</v>
      </c>
      <c r="B177" t="str">
        <f t="shared" si="5"/>
        <v>QUSWPrevisãoSet-2023</v>
      </c>
      <c r="C177" t="s">
        <v>256</v>
      </c>
      <c r="D177" t="s">
        <v>257</v>
      </c>
      <c r="E177" t="s">
        <v>258</v>
      </c>
      <c r="F177" t="s">
        <v>736</v>
      </c>
      <c r="G177" t="s">
        <v>737</v>
      </c>
      <c r="H177" t="s">
        <v>738</v>
      </c>
      <c r="I177" t="s">
        <v>739</v>
      </c>
      <c r="J177" t="s">
        <v>739</v>
      </c>
      <c r="K177" s="2">
        <v>45199</v>
      </c>
      <c r="L177">
        <v>4174422.4593998999</v>
      </c>
      <c r="M177">
        <v>252283394.038344</v>
      </c>
      <c r="N177">
        <v>33411196.2013558</v>
      </c>
      <c r="O177">
        <v>6783975.6212065602</v>
      </c>
      <c r="P177">
        <v>-252283394.038344</v>
      </c>
      <c r="Q177">
        <v>-100871986.17711399</v>
      </c>
      <c r="R177">
        <v>4150316.4122068901</v>
      </c>
      <c r="S177">
        <v>801276.46067408298</v>
      </c>
      <c r="T177">
        <v>43588405.627837799</v>
      </c>
      <c r="U177">
        <v>71267531.121167302</v>
      </c>
      <c r="V177">
        <v>13704401.9356684</v>
      </c>
    </row>
    <row r="178" spans="1:22" x14ac:dyDescent="0.3">
      <c r="A178" t="str">
        <f t="shared" si="4"/>
        <v>ELMDPrevisão</v>
      </c>
      <c r="B178" t="str">
        <f t="shared" si="5"/>
        <v>ELMDPrevisãoDez-2022</v>
      </c>
      <c r="C178" t="s">
        <v>259</v>
      </c>
      <c r="D178" t="s">
        <v>260</v>
      </c>
      <c r="E178" t="s">
        <v>258</v>
      </c>
      <c r="F178" t="s">
        <v>736</v>
      </c>
      <c r="G178" t="s">
        <v>737</v>
      </c>
      <c r="H178" t="s">
        <v>738</v>
      </c>
      <c r="I178" t="s">
        <v>739</v>
      </c>
      <c r="J178" t="s">
        <v>739</v>
      </c>
      <c r="K178" s="2">
        <v>44925</v>
      </c>
      <c r="L178">
        <v>-9055.2301587303591</v>
      </c>
      <c r="M178">
        <v>1235969.7777777701</v>
      </c>
      <c r="N178">
        <v>-311972.99206348998</v>
      </c>
      <c r="O178">
        <v>88090.825396822896</v>
      </c>
      <c r="P178">
        <v>-1235969.7777777701</v>
      </c>
      <c r="Q178">
        <v>-476515.48412698199</v>
      </c>
      <c r="R178">
        <v>20681.0555555557</v>
      </c>
      <c r="S178">
        <v>3575.4206349204101</v>
      </c>
      <c r="T178">
        <v>-23921.6269841264</v>
      </c>
      <c r="U178">
        <v>422259.27777778299</v>
      </c>
      <c r="V178">
        <v>60178.809523806798</v>
      </c>
    </row>
    <row r="179" spans="1:22" x14ac:dyDescent="0.3">
      <c r="A179" t="str">
        <f t="shared" si="4"/>
        <v>ELMDPrevisão</v>
      </c>
      <c r="B179" t="str">
        <f t="shared" si="5"/>
        <v>ELMDPrevisãoMar-2023</v>
      </c>
      <c r="C179" t="s">
        <v>259</v>
      </c>
      <c r="D179" t="s">
        <v>260</v>
      </c>
      <c r="E179" t="s">
        <v>258</v>
      </c>
      <c r="F179" t="s">
        <v>736</v>
      </c>
      <c r="G179" t="s">
        <v>737</v>
      </c>
      <c r="H179" t="s">
        <v>738</v>
      </c>
      <c r="I179" t="s">
        <v>739</v>
      </c>
      <c r="J179" t="s">
        <v>739</v>
      </c>
      <c r="K179" s="2">
        <v>45015</v>
      </c>
      <c r="L179">
        <v>-22186.301587301899</v>
      </c>
      <c r="M179">
        <v>920596.27777777798</v>
      </c>
      <c r="N179">
        <v>-845844.92063491896</v>
      </c>
      <c r="O179">
        <v>81194.753968250603</v>
      </c>
      <c r="P179">
        <v>-920596.27777777798</v>
      </c>
      <c r="Q179">
        <v>-630788.34126983595</v>
      </c>
      <c r="R179">
        <v>29712.0555555557</v>
      </c>
      <c r="S179">
        <v>5801.53968253933</v>
      </c>
      <c r="T179">
        <v>-48785.269841268499</v>
      </c>
      <c r="U179">
        <v>15277.444444452</v>
      </c>
      <c r="V179">
        <v>7087.92857142499</v>
      </c>
    </row>
    <row r="180" spans="1:22" x14ac:dyDescent="0.3">
      <c r="A180" t="str">
        <f t="shared" si="4"/>
        <v>ELMDPrevisão</v>
      </c>
      <c r="B180" t="str">
        <f t="shared" si="5"/>
        <v>ELMDPrevisãoJun-2023</v>
      </c>
      <c r="C180" t="s">
        <v>259</v>
      </c>
      <c r="D180" t="s">
        <v>260</v>
      </c>
      <c r="E180" t="s">
        <v>258</v>
      </c>
      <c r="F180" t="s">
        <v>736</v>
      </c>
      <c r="G180" t="s">
        <v>737</v>
      </c>
      <c r="H180" t="s">
        <v>738</v>
      </c>
      <c r="I180" t="s">
        <v>739</v>
      </c>
      <c r="J180" t="s">
        <v>739</v>
      </c>
      <c r="K180" s="2">
        <v>45107</v>
      </c>
      <c r="L180">
        <v>-43767.9920634925</v>
      </c>
      <c r="M180">
        <v>470645.14141414099</v>
      </c>
      <c r="N180">
        <v>-1547623.10894661</v>
      </c>
      <c r="O180">
        <v>60859.321067816702</v>
      </c>
      <c r="P180">
        <v>-470645.14141414099</v>
      </c>
      <c r="Q180">
        <v>-843088.18759017996</v>
      </c>
      <c r="R180">
        <v>42722.328282828399</v>
      </c>
      <c r="S180">
        <v>9557.30158730107</v>
      </c>
      <c r="T180">
        <v>-87895.302308799495</v>
      </c>
      <c r="U180">
        <v>-566737.13131312199</v>
      </c>
      <c r="V180">
        <v>-80155.779220783603</v>
      </c>
    </row>
    <row r="181" spans="1:22" x14ac:dyDescent="0.3">
      <c r="A181" t="str">
        <f t="shared" si="4"/>
        <v>ELMDPrevisão</v>
      </c>
      <c r="B181" t="str">
        <f t="shared" si="5"/>
        <v>ELMDPrevisãoSet-2023</v>
      </c>
      <c r="C181" t="s">
        <v>259</v>
      </c>
      <c r="D181" t="s">
        <v>260</v>
      </c>
      <c r="E181" t="s">
        <v>258</v>
      </c>
      <c r="F181" t="s">
        <v>736</v>
      </c>
      <c r="G181" t="s">
        <v>737</v>
      </c>
      <c r="H181" t="s">
        <v>738</v>
      </c>
      <c r="I181" t="s">
        <v>739</v>
      </c>
      <c r="J181" t="s">
        <v>739</v>
      </c>
      <c r="K181" s="2">
        <v>45199</v>
      </c>
      <c r="L181">
        <v>-75367.8571428578</v>
      </c>
      <c r="M181">
        <v>-131996.69696969999</v>
      </c>
      <c r="N181">
        <v>-2437005.1428571399</v>
      </c>
      <c r="O181">
        <v>23964.5670995617</v>
      </c>
      <c r="P181">
        <v>131996.69696969999</v>
      </c>
      <c r="Q181">
        <v>-1123258.3463203299</v>
      </c>
      <c r="R181">
        <v>60416.575757576</v>
      </c>
      <c r="S181">
        <v>15156.2770562763</v>
      </c>
      <c r="T181">
        <v>-144448.380952376</v>
      </c>
      <c r="U181">
        <v>-1347390.03030301</v>
      </c>
      <c r="V181">
        <v>-207987.813852819</v>
      </c>
    </row>
    <row r="182" spans="1:22" x14ac:dyDescent="0.3">
      <c r="A182" t="str">
        <f t="shared" si="4"/>
        <v>ATMPPrevisão</v>
      </c>
      <c r="B182" t="str">
        <f t="shared" si="5"/>
        <v>ATMPPrevisãoDez-2022</v>
      </c>
      <c r="C182" t="s">
        <v>261</v>
      </c>
      <c r="D182" t="s">
        <v>262</v>
      </c>
      <c r="E182" t="s">
        <v>258</v>
      </c>
      <c r="F182" t="s">
        <v>736</v>
      </c>
      <c r="G182" t="s">
        <v>737</v>
      </c>
      <c r="H182" t="s">
        <v>738</v>
      </c>
      <c r="I182" t="s">
        <v>739</v>
      </c>
      <c r="J182" t="s">
        <v>739</v>
      </c>
      <c r="K182" s="2">
        <v>44925</v>
      </c>
      <c r="L182">
        <v>-105693.40998218099</v>
      </c>
      <c r="M182">
        <v>464552.07902614202</v>
      </c>
      <c r="N182">
        <v>62483.596299404402</v>
      </c>
      <c r="O182">
        <v>39535.353280668198</v>
      </c>
      <c r="P182">
        <v>-464552.07902614202</v>
      </c>
      <c r="Q182">
        <v>-79793.330447385801</v>
      </c>
      <c r="R182">
        <v>2421.0314913844099</v>
      </c>
      <c r="S182">
        <v>21080.184025123901</v>
      </c>
      <c r="T182">
        <v>4798.9808165753202</v>
      </c>
      <c r="U182">
        <v>49244.179865899197</v>
      </c>
      <c r="V182">
        <v>-96387.145148980693</v>
      </c>
    </row>
    <row r="183" spans="1:22" x14ac:dyDescent="0.3">
      <c r="A183" t="str">
        <f t="shared" si="4"/>
        <v>ATMPPrevisão</v>
      </c>
      <c r="B183" t="str">
        <f t="shared" si="5"/>
        <v>ATMPPrevisãoMar-2023</v>
      </c>
      <c r="C183" t="s">
        <v>261</v>
      </c>
      <c r="D183" t="s">
        <v>262</v>
      </c>
      <c r="E183" t="s">
        <v>258</v>
      </c>
      <c r="F183" t="s">
        <v>736</v>
      </c>
      <c r="G183" t="s">
        <v>737</v>
      </c>
      <c r="H183" t="s">
        <v>738</v>
      </c>
      <c r="I183" t="s">
        <v>739</v>
      </c>
      <c r="J183" t="s">
        <v>739</v>
      </c>
      <c r="K183" s="2">
        <v>45015</v>
      </c>
      <c r="L183">
        <v>-107509.76461641899</v>
      </c>
      <c r="M183">
        <v>456513.85929315502</v>
      </c>
      <c r="N183">
        <v>96306.433724346294</v>
      </c>
      <c r="O183">
        <v>64231.408656146901</v>
      </c>
      <c r="P183">
        <v>-456513.85929315502</v>
      </c>
      <c r="Q183">
        <v>-86493.098154003004</v>
      </c>
      <c r="R183">
        <v>2764.7151850093201</v>
      </c>
      <c r="S183">
        <v>24637.132648308099</v>
      </c>
      <c r="T183">
        <v>7731.7893424459899</v>
      </c>
      <c r="U183">
        <v>78828.984964347997</v>
      </c>
      <c r="V183">
        <v>-99028.896668265195</v>
      </c>
    </row>
    <row r="184" spans="1:22" x14ac:dyDescent="0.3">
      <c r="A184" t="str">
        <f t="shared" si="4"/>
        <v>ATMPPrevisão</v>
      </c>
      <c r="B184" t="str">
        <f t="shared" si="5"/>
        <v>ATMPPrevisãoJun-2023</v>
      </c>
      <c r="C184" t="s">
        <v>261</v>
      </c>
      <c r="D184" t="s">
        <v>262</v>
      </c>
      <c r="E184" t="s">
        <v>258</v>
      </c>
      <c r="F184" t="s">
        <v>736</v>
      </c>
      <c r="G184" t="s">
        <v>737</v>
      </c>
      <c r="H184" t="s">
        <v>738</v>
      </c>
      <c r="I184" t="s">
        <v>739</v>
      </c>
      <c r="J184" t="s">
        <v>739</v>
      </c>
      <c r="K184" s="2">
        <v>45107</v>
      </c>
      <c r="L184">
        <v>-109036.16939154601</v>
      </c>
      <c r="M184">
        <v>457611.28117759299</v>
      </c>
      <c r="N184">
        <v>136581.39181009901</v>
      </c>
      <c r="O184">
        <v>94001.271697199307</v>
      </c>
      <c r="P184">
        <v>-457611.28117759299</v>
      </c>
      <c r="Q184">
        <v>-96562.567623340306</v>
      </c>
      <c r="R184">
        <v>3142.2007492596399</v>
      </c>
      <c r="S184">
        <v>28584.935553098901</v>
      </c>
      <c r="T184">
        <v>11120.0727141976</v>
      </c>
      <c r="U184">
        <v>113439.14129606</v>
      </c>
      <c r="V184">
        <v>-101711.303464635</v>
      </c>
    </row>
    <row r="185" spans="1:22" x14ac:dyDescent="0.3">
      <c r="A185" t="str">
        <f t="shared" si="4"/>
        <v>ATMPPrevisão</v>
      </c>
      <c r="B185" t="str">
        <f t="shared" si="5"/>
        <v>ATMPPrevisãoSet-2023</v>
      </c>
      <c r="C185" t="s">
        <v>261</v>
      </c>
      <c r="D185" t="s">
        <v>262</v>
      </c>
      <c r="E185" t="s">
        <v>258</v>
      </c>
      <c r="F185" t="s">
        <v>736</v>
      </c>
      <c r="G185" t="s">
        <v>737</v>
      </c>
      <c r="H185" t="s">
        <v>738</v>
      </c>
      <c r="I185" t="s">
        <v>739</v>
      </c>
      <c r="J185" t="s">
        <v>739</v>
      </c>
      <c r="K185" s="2">
        <v>45199</v>
      </c>
      <c r="L185">
        <v>-110256.245461853</v>
      </c>
      <c r="M185">
        <v>468605.55169057398</v>
      </c>
      <c r="N185">
        <v>183674.39136779701</v>
      </c>
      <c r="O185">
        <v>129152.353417734</v>
      </c>
      <c r="P185">
        <v>-468605.55169057398</v>
      </c>
      <c r="Q185">
        <v>-110254.05349806399</v>
      </c>
      <c r="R185">
        <v>3554.99429803468</v>
      </c>
      <c r="S185">
        <v>32941.826627978</v>
      </c>
      <c r="T185">
        <v>14972.3200520966</v>
      </c>
      <c r="U185">
        <v>153292.44059953699</v>
      </c>
      <c r="V185">
        <v>-104440.491586784</v>
      </c>
    </row>
    <row r="186" spans="1:22" x14ac:dyDescent="0.3">
      <c r="A186" t="str">
        <f t="shared" si="4"/>
        <v>WLMMPrevisão</v>
      </c>
      <c r="B186" t="str">
        <f t="shared" si="5"/>
        <v>WLMMPrevisãoDez-2022</v>
      </c>
      <c r="C186" t="s">
        <v>331</v>
      </c>
      <c r="D186" t="s">
        <v>332</v>
      </c>
      <c r="E186" t="s">
        <v>328</v>
      </c>
      <c r="F186" t="s">
        <v>736</v>
      </c>
      <c r="G186" t="s">
        <v>737</v>
      </c>
      <c r="H186" t="s">
        <v>738</v>
      </c>
      <c r="I186" t="s">
        <v>739</v>
      </c>
      <c r="J186" t="s">
        <v>739</v>
      </c>
      <c r="K186" s="2">
        <v>44925</v>
      </c>
      <c r="L186">
        <v>38679.895764364701</v>
      </c>
      <c r="M186">
        <v>783680.16934034298</v>
      </c>
      <c r="N186">
        <v>464547.75723622902</v>
      </c>
      <c r="O186">
        <v>136744.48433917901</v>
      </c>
      <c r="P186">
        <v>-783680.16934034298</v>
      </c>
      <c r="Q186">
        <v>-88452.209235206697</v>
      </c>
      <c r="R186">
        <v>25667.932094049102</v>
      </c>
      <c r="S186">
        <v>11597.428741194901</v>
      </c>
      <c r="T186">
        <v>231447.92250230999</v>
      </c>
      <c r="U186">
        <v>671604.32705195004</v>
      </c>
      <c r="V186">
        <v>654781.81920040702</v>
      </c>
    </row>
    <row r="187" spans="1:22" x14ac:dyDescent="0.3">
      <c r="A187" t="str">
        <f t="shared" si="4"/>
        <v>WLMMPrevisão</v>
      </c>
      <c r="B187" t="str">
        <f t="shared" si="5"/>
        <v>WLMMPrevisãoMar-2023</v>
      </c>
      <c r="C187" t="s">
        <v>331</v>
      </c>
      <c r="D187" t="s">
        <v>332</v>
      </c>
      <c r="E187" t="s">
        <v>328</v>
      </c>
      <c r="F187" t="s">
        <v>736</v>
      </c>
      <c r="G187" t="s">
        <v>737</v>
      </c>
      <c r="H187" t="s">
        <v>738</v>
      </c>
      <c r="I187" t="s">
        <v>739</v>
      </c>
      <c r="J187" t="s">
        <v>739</v>
      </c>
      <c r="K187" s="2">
        <v>45015</v>
      </c>
      <c r="L187">
        <v>42911.959921722497</v>
      </c>
      <c r="M187">
        <v>845562.46356809896</v>
      </c>
      <c r="N187">
        <v>521503.90675549302</v>
      </c>
      <c r="O187">
        <v>154054.77201493701</v>
      </c>
      <c r="P187">
        <v>-845562.46356809896</v>
      </c>
      <c r="Q187">
        <v>-96200.039302859499</v>
      </c>
      <c r="R187">
        <v>28596.286859050899</v>
      </c>
      <c r="S187">
        <v>12611.255732433699</v>
      </c>
      <c r="T187">
        <v>258180.06301257099</v>
      </c>
      <c r="U187">
        <v>722151.31857976003</v>
      </c>
      <c r="V187">
        <v>732435.78017054405</v>
      </c>
    </row>
    <row r="188" spans="1:22" x14ac:dyDescent="0.3">
      <c r="A188" t="str">
        <f t="shared" si="4"/>
        <v>WLMMPrevisão</v>
      </c>
      <c r="B188" t="str">
        <f t="shared" si="5"/>
        <v>WLMMPrevisãoJun-2023</v>
      </c>
      <c r="C188" t="s">
        <v>331</v>
      </c>
      <c r="D188" t="s">
        <v>332</v>
      </c>
      <c r="E188" t="s">
        <v>328</v>
      </c>
      <c r="F188" t="s">
        <v>736</v>
      </c>
      <c r="G188" t="s">
        <v>737</v>
      </c>
      <c r="H188" t="s">
        <v>738</v>
      </c>
      <c r="I188" t="s">
        <v>739</v>
      </c>
      <c r="J188" t="s">
        <v>739</v>
      </c>
      <c r="K188" s="2">
        <v>45107</v>
      </c>
      <c r="L188">
        <v>47412.386254934601</v>
      </c>
      <c r="M188">
        <v>913879.69300206099</v>
      </c>
      <c r="N188">
        <v>582785.71423523698</v>
      </c>
      <c r="O188">
        <v>172703.44782427399</v>
      </c>
      <c r="P188">
        <v>-913879.69300206099</v>
      </c>
      <c r="Q188">
        <v>-104396.069245832</v>
      </c>
      <c r="R188">
        <v>31747.118375260001</v>
      </c>
      <c r="S188">
        <v>13671.2492362105</v>
      </c>
      <c r="T188">
        <v>288065.73261583602</v>
      </c>
      <c r="U188">
        <v>778202.66640661599</v>
      </c>
      <c r="V188">
        <v>815701.99610494496</v>
      </c>
    </row>
    <row r="189" spans="1:22" x14ac:dyDescent="0.3">
      <c r="A189" t="str">
        <f t="shared" si="4"/>
        <v>WLMMPrevisão</v>
      </c>
      <c r="B189" t="str">
        <f t="shared" si="5"/>
        <v>WLMMPrevisãoSet-2023</v>
      </c>
      <c r="C189" t="s">
        <v>331</v>
      </c>
      <c r="D189" t="s">
        <v>332</v>
      </c>
      <c r="E189" t="s">
        <v>328</v>
      </c>
      <c r="F189" t="s">
        <v>736</v>
      </c>
      <c r="G189" t="s">
        <v>737</v>
      </c>
      <c r="H189" t="s">
        <v>738</v>
      </c>
      <c r="I189" t="s">
        <v>739</v>
      </c>
      <c r="J189" t="s">
        <v>739</v>
      </c>
      <c r="K189" s="2">
        <v>45199</v>
      </c>
      <c r="L189">
        <v>52187.827009374698</v>
      </c>
      <c r="M189">
        <v>988916.42803699605</v>
      </c>
      <c r="N189">
        <v>648529.34274016996</v>
      </c>
      <c r="O189">
        <v>192738.65771239699</v>
      </c>
      <c r="P189">
        <v>-988916.42803699605</v>
      </c>
      <c r="Q189">
        <v>-113051.639702606</v>
      </c>
      <c r="R189">
        <v>35128.2948650092</v>
      </c>
      <c r="S189">
        <v>14777.9813471903</v>
      </c>
      <c r="T189">
        <v>321253.02033301297</v>
      </c>
      <c r="U189">
        <v>840005.80216441001</v>
      </c>
      <c r="V189">
        <v>904768.82741702395</v>
      </c>
    </row>
    <row r="190" spans="1:22" x14ac:dyDescent="0.3">
      <c r="A190" t="str">
        <f t="shared" si="4"/>
        <v>WEGEPrevisão</v>
      </c>
      <c r="B190" t="str">
        <f t="shared" si="5"/>
        <v>WEGEPrevisãoDez-2022</v>
      </c>
      <c r="C190" t="s">
        <v>329</v>
      </c>
      <c r="D190" t="s">
        <v>330</v>
      </c>
      <c r="E190" t="s">
        <v>328</v>
      </c>
      <c r="F190" t="s">
        <v>736</v>
      </c>
      <c r="G190" t="s">
        <v>737</v>
      </c>
      <c r="H190" t="s">
        <v>738</v>
      </c>
      <c r="I190" t="s">
        <v>739</v>
      </c>
      <c r="J190" t="s">
        <v>739</v>
      </c>
      <c r="K190" s="2">
        <v>44925</v>
      </c>
      <c r="L190">
        <v>1278584.9565401501</v>
      </c>
      <c r="M190">
        <v>15466391.9209753</v>
      </c>
      <c r="N190">
        <v>1166936.41592429</v>
      </c>
      <c r="O190">
        <v>0</v>
      </c>
      <c r="P190">
        <v>-15466391.9209753</v>
      </c>
      <c r="Q190">
        <v>-310071.15805116098</v>
      </c>
      <c r="R190">
        <v>17412.835922248501</v>
      </c>
      <c r="S190">
        <v>25640.3927510391</v>
      </c>
      <c r="T190">
        <v>4406646.05924844</v>
      </c>
      <c r="U190">
        <v>15151246.368474299</v>
      </c>
      <c r="V190">
        <v>1286757.80078089</v>
      </c>
    </row>
    <row r="191" spans="1:22" x14ac:dyDescent="0.3">
      <c r="A191" t="str">
        <f t="shared" si="4"/>
        <v>WEGEPrevisão</v>
      </c>
      <c r="B191" t="str">
        <f t="shared" si="5"/>
        <v>WEGEPrevisãoMar-2023</v>
      </c>
      <c r="C191" t="s">
        <v>329</v>
      </c>
      <c r="D191" t="s">
        <v>330</v>
      </c>
      <c r="E191" t="s">
        <v>328</v>
      </c>
      <c r="F191" t="s">
        <v>736</v>
      </c>
      <c r="G191" t="s">
        <v>737</v>
      </c>
      <c r="H191" t="s">
        <v>738</v>
      </c>
      <c r="I191" t="s">
        <v>739</v>
      </c>
      <c r="J191" t="s">
        <v>739</v>
      </c>
      <c r="K191" s="2">
        <v>45015</v>
      </c>
      <c r="L191">
        <v>1406613.5225798299</v>
      </c>
      <c r="M191">
        <v>16315656.6210628</v>
      </c>
      <c r="N191">
        <v>1147056.8610616201</v>
      </c>
      <c r="O191">
        <v>0</v>
      </c>
      <c r="P191">
        <v>-16315656.6210628</v>
      </c>
      <c r="Q191">
        <v>-335691.07909673802</v>
      </c>
      <c r="R191">
        <v>18692.079853727999</v>
      </c>
      <c r="S191">
        <v>28109.868225750499</v>
      </c>
      <c r="T191">
        <v>4825443.8425643304</v>
      </c>
      <c r="U191">
        <v>15974759.616376899</v>
      </c>
      <c r="V191">
        <v>1416277.4610538499</v>
      </c>
    </row>
    <row r="192" spans="1:22" x14ac:dyDescent="0.3">
      <c r="A192" t="str">
        <f t="shared" si="4"/>
        <v>WEGEPrevisão</v>
      </c>
      <c r="B192" t="str">
        <f t="shared" si="5"/>
        <v>WEGEPrevisãoJun-2023</v>
      </c>
      <c r="C192" t="s">
        <v>329</v>
      </c>
      <c r="D192" t="s">
        <v>330</v>
      </c>
      <c r="E192" t="s">
        <v>328</v>
      </c>
      <c r="F192" t="s">
        <v>736</v>
      </c>
      <c r="G192" t="s">
        <v>737</v>
      </c>
      <c r="H192" t="s">
        <v>738</v>
      </c>
      <c r="I192" t="s">
        <v>739</v>
      </c>
      <c r="J192" t="s">
        <v>739</v>
      </c>
      <c r="K192" s="2">
        <v>45107</v>
      </c>
      <c r="L192">
        <v>1544845.0608256501</v>
      </c>
      <c r="M192">
        <v>17210075.9035349</v>
      </c>
      <c r="N192">
        <v>1125362.22242652</v>
      </c>
      <c r="O192">
        <v>0</v>
      </c>
      <c r="P192">
        <v>-17210075.9035349</v>
      </c>
      <c r="Q192">
        <v>-363503.23761886702</v>
      </c>
      <c r="R192">
        <v>20069.998455696401</v>
      </c>
      <c r="S192">
        <v>30853.177834141301</v>
      </c>
      <c r="T192">
        <v>5276933.7852753298</v>
      </c>
      <c r="U192">
        <v>16841217.983509801</v>
      </c>
      <c r="V192">
        <v>1555945.3439396401</v>
      </c>
    </row>
    <row r="193" spans="1:22" x14ac:dyDescent="0.3">
      <c r="A193" t="str">
        <f t="shared" si="4"/>
        <v>WEGEPrevisão</v>
      </c>
      <c r="B193" t="str">
        <f t="shared" si="5"/>
        <v>WEGEPrevisãoSet-2023</v>
      </c>
      <c r="C193" t="s">
        <v>329</v>
      </c>
      <c r="D193" t="s">
        <v>330</v>
      </c>
      <c r="E193" t="s">
        <v>328</v>
      </c>
      <c r="F193" t="s">
        <v>736</v>
      </c>
      <c r="G193" t="s">
        <v>737</v>
      </c>
      <c r="H193" t="s">
        <v>738</v>
      </c>
      <c r="I193" t="s">
        <v>739</v>
      </c>
      <c r="J193" t="s">
        <v>739</v>
      </c>
      <c r="K193" s="2">
        <v>45199</v>
      </c>
      <c r="L193">
        <v>1693678.1351489699</v>
      </c>
      <c r="M193">
        <v>18151016.558410998</v>
      </c>
      <c r="N193">
        <v>1101865.8745166401</v>
      </c>
      <c r="O193">
        <v>0</v>
      </c>
      <c r="P193">
        <v>-18151016.558410998</v>
      </c>
      <c r="Q193">
        <v>-393603.92298333801</v>
      </c>
      <c r="R193">
        <v>21550.7645668437</v>
      </c>
      <c r="S193">
        <v>33884.515242241097</v>
      </c>
      <c r="T193">
        <v>5762399.87184487</v>
      </c>
      <c r="U193">
        <v>17751891.434007201</v>
      </c>
      <c r="V193">
        <v>1706151.4850493399</v>
      </c>
    </row>
    <row r="194" spans="1:22" x14ac:dyDescent="0.3">
      <c r="A194" t="str">
        <f t="shared" ref="A194:A257" si="6">_xlfn.CONCAT(D194,F194)</f>
        <v>PTCAPrevisão</v>
      </c>
      <c r="B194" t="str">
        <f t="shared" ref="B194:B257" si="7">_xlfn.CONCAT(D194,F194,PROPER(TEXT(K194,"mmm-aaaa")))</f>
        <v>PTCAPrevisãoDez-2022</v>
      </c>
      <c r="C194" t="s">
        <v>326</v>
      </c>
      <c r="D194" t="s">
        <v>327</v>
      </c>
      <c r="E194" t="s">
        <v>328</v>
      </c>
      <c r="F194" t="s">
        <v>736</v>
      </c>
      <c r="G194" t="s">
        <v>737</v>
      </c>
      <c r="H194" t="s">
        <v>738</v>
      </c>
      <c r="I194" t="s">
        <v>739</v>
      </c>
      <c r="J194" t="s">
        <v>739</v>
      </c>
      <c r="K194" s="2">
        <v>44925</v>
      </c>
      <c r="L194">
        <v>-8603.4842490842202</v>
      </c>
      <c r="M194">
        <v>248065.269597067</v>
      </c>
      <c r="N194">
        <v>175156.42490842601</v>
      </c>
      <c r="O194">
        <v>59364.009523810499</v>
      </c>
      <c r="P194">
        <v>-248065.269597067</v>
      </c>
      <c r="Q194">
        <v>-94251.436630034805</v>
      </c>
      <c r="R194">
        <v>7948.2256410256296</v>
      </c>
      <c r="S194">
        <v>369.14139194141001</v>
      </c>
      <c r="T194">
        <v>51464.733333333003</v>
      </c>
      <c r="U194">
        <v>81286.709157510399</v>
      </c>
      <c r="V194">
        <v>67560.245421243104</v>
      </c>
    </row>
    <row r="195" spans="1:22" x14ac:dyDescent="0.3">
      <c r="A195" t="str">
        <f t="shared" si="6"/>
        <v>PTCAPrevisão</v>
      </c>
      <c r="B195" t="str">
        <f t="shared" si="7"/>
        <v>PTCAPrevisãoMar-2023</v>
      </c>
      <c r="C195" t="s">
        <v>326</v>
      </c>
      <c r="D195" t="s">
        <v>327</v>
      </c>
      <c r="E195" t="s">
        <v>328</v>
      </c>
      <c r="F195" t="s">
        <v>736</v>
      </c>
      <c r="G195" t="s">
        <v>737</v>
      </c>
      <c r="H195" t="s">
        <v>738</v>
      </c>
      <c r="I195" t="s">
        <v>739</v>
      </c>
      <c r="J195" t="s">
        <v>739</v>
      </c>
      <c r="K195" s="2">
        <v>45015</v>
      </c>
      <c r="L195">
        <v>-12580.2617216116</v>
      </c>
      <c r="M195">
        <v>283891.04157508799</v>
      </c>
      <c r="N195">
        <v>201916.696886447</v>
      </c>
      <c r="O195">
        <v>77359.723809524701</v>
      </c>
      <c r="P195">
        <v>-283891.04157508799</v>
      </c>
      <c r="Q195">
        <v>-107369.35970695601</v>
      </c>
      <c r="R195">
        <v>9628.6487179486794</v>
      </c>
      <c r="S195">
        <v>721.152380952415</v>
      </c>
      <c r="T195">
        <v>57064.101465200802</v>
      </c>
      <c r="U195">
        <v>87274.687179489003</v>
      </c>
      <c r="V195">
        <v>80677.533882780699</v>
      </c>
    </row>
    <row r="196" spans="1:22" x14ac:dyDescent="0.3">
      <c r="A196" t="str">
        <f t="shared" si="6"/>
        <v>PTCAPrevisão</v>
      </c>
      <c r="B196" t="str">
        <f t="shared" si="7"/>
        <v>PTCAPrevisãoJun-2023</v>
      </c>
      <c r="C196" t="s">
        <v>326</v>
      </c>
      <c r="D196" t="s">
        <v>327</v>
      </c>
      <c r="E196" t="s">
        <v>328</v>
      </c>
      <c r="F196" t="s">
        <v>736</v>
      </c>
      <c r="G196" t="s">
        <v>737</v>
      </c>
      <c r="H196" t="s">
        <v>738</v>
      </c>
      <c r="I196" t="s">
        <v>739</v>
      </c>
      <c r="J196" t="s">
        <v>739</v>
      </c>
      <c r="K196" s="2">
        <v>45107</v>
      </c>
      <c r="L196">
        <v>-17394.076686058899</v>
      </c>
      <c r="M196">
        <v>326838.850398615</v>
      </c>
      <c r="N196">
        <v>234043.25070028001</v>
      </c>
      <c r="O196">
        <v>99890.259523810106</v>
      </c>
      <c r="P196">
        <v>-326838.850398615</v>
      </c>
      <c r="Q196">
        <v>-123248.306862741</v>
      </c>
      <c r="R196">
        <v>11642.0616138762</v>
      </c>
      <c r="S196">
        <v>1185.5817603965199</v>
      </c>
      <c r="T196">
        <v>62922.653339796401</v>
      </c>
      <c r="U196">
        <v>93446.104277097897</v>
      </c>
      <c r="V196">
        <v>96589.566365003397</v>
      </c>
    </row>
    <row r="197" spans="1:22" x14ac:dyDescent="0.3">
      <c r="A197" t="str">
        <f t="shared" si="6"/>
        <v>PTCAPrevisão</v>
      </c>
      <c r="B197" t="str">
        <f t="shared" si="7"/>
        <v>PTCAPrevisãoSet-2023</v>
      </c>
      <c r="C197" t="s">
        <v>326</v>
      </c>
      <c r="D197" t="s">
        <v>327</v>
      </c>
      <c r="E197" t="s">
        <v>328</v>
      </c>
      <c r="F197" t="s">
        <v>736</v>
      </c>
      <c r="G197" t="s">
        <v>737</v>
      </c>
      <c r="H197" t="s">
        <v>738</v>
      </c>
      <c r="I197" t="s">
        <v>739</v>
      </c>
      <c r="J197" t="s">
        <v>739</v>
      </c>
      <c r="K197" s="2">
        <v>45199</v>
      </c>
      <c r="L197">
        <v>-23118.946613517001</v>
      </c>
      <c r="M197">
        <v>377611.01419233601</v>
      </c>
      <c r="N197">
        <v>272075.042357967</v>
      </c>
      <c r="O197">
        <v>127414.216339869</v>
      </c>
      <c r="P197">
        <v>-377611.01419233601</v>
      </c>
      <c r="Q197">
        <v>-142181.105271846</v>
      </c>
      <c r="R197">
        <v>14018.770764203</v>
      </c>
      <c r="S197">
        <v>1772.90740860454</v>
      </c>
      <c r="T197">
        <v>69025.144110463094</v>
      </c>
      <c r="U197">
        <v>99751.424125550897</v>
      </c>
      <c r="V197">
        <v>115568.07162608</v>
      </c>
    </row>
    <row r="198" spans="1:22" x14ac:dyDescent="0.3">
      <c r="A198" t="str">
        <f t="shared" si="6"/>
        <v>PLASPrevisão</v>
      </c>
      <c r="B198" t="str">
        <f t="shared" si="7"/>
        <v>PLASPrevisãoDez-2022</v>
      </c>
      <c r="C198" t="s">
        <v>333</v>
      </c>
      <c r="D198" t="s">
        <v>334</v>
      </c>
      <c r="E198" t="s">
        <v>328</v>
      </c>
      <c r="F198" t="s">
        <v>736</v>
      </c>
      <c r="G198" t="s">
        <v>737</v>
      </c>
      <c r="H198" t="s">
        <v>738</v>
      </c>
      <c r="I198" t="s">
        <v>739</v>
      </c>
      <c r="J198" t="s">
        <v>739</v>
      </c>
      <c r="K198" s="2">
        <v>44925</v>
      </c>
      <c r="L198">
        <v>-13364.318903343899</v>
      </c>
      <c r="M198">
        <v>102340.419828536</v>
      </c>
      <c r="N198">
        <v>13033.407265932199</v>
      </c>
      <c r="O198">
        <v>0</v>
      </c>
      <c r="P198">
        <v>-102340.419828536</v>
      </c>
      <c r="Q198">
        <v>143908.12672946701</v>
      </c>
      <c r="R198">
        <v>0.83116883116838602</v>
      </c>
      <c r="S198">
        <v>155.30336983276399</v>
      </c>
      <c r="T198">
        <v>2335.6312706887102</v>
      </c>
      <c r="U198">
        <v>-169105.70121383699</v>
      </c>
      <c r="V198">
        <v>-14383.1899669045</v>
      </c>
    </row>
    <row r="199" spans="1:22" x14ac:dyDescent="0.3">
      <c r="A199" t="str">
        <f t="shared" si="6"/>
        <v>PLASPrevisão</v>
      </c>
      <c r="B199" t="str">
        <f t="shared" si="7"/>
        <v>PLASPrevisãoMar-2023</v>
      </c>
      <c r="C199" t="s">
        <v>333</v>
      </c>
      <c r="D199" t="s">
        <v>334</v>
      </c>
      <c r="E199" t="s">
        <v>328</v>
      </c>
      <c r="F199" t="s">
        <v>736</v>
      </c>
      <c r="G199" t="s">
        <v>737</v>
      </c>
      <c r="H199" t="s">
        <v>738</v>
      </c>
      <c r="I199" t="s">
        <v>739</v>
      </c>
      <c r="J199" t="s">
        <v>739</v>
      </c>
      <c r="K199" s="2">
        <v>45015</v>
      </c>
      <c r="L199">
        <v>-8860.6021331022603</v>
      </c>
      <c r="M199">
        <v>136804.49020065501</v>
      </c>
      <c r="N199">
        <v>12942.3939210355</v>
      </c>
      <c r="O199">
        <v>0</v>
      </c>
      <c r="P199">
        <v>-136804.49020065501</v>
      </c>
      <c r="Q199">
        <v>194483.51615403499</v>
      </c>
      <c r="R199">
        <v>1.12776412776355</v>
      </c>
      <c r="S199">
        <v>180.35088564498699</v>
      </c>
      <c r="T199">
        <v>3192.7776378347398</v>
      </c>
      <c r="U199">
        <v>-118187.593862792</v>
      </c>
      <c r="V199">
        <v>-10315.253243323699</v>
      </c>
    </row>
    <row r="200" spans="1:22" x14ac:dyDescent="0.3">
      <c r="A200" t="str">
        <f t="shared" si="6"/>
        <v>PLASPrevisão</v>
      </c>
      <c r="B200" t="str">
        <f t="shared" si="7"/>
        <v>PLASPrevisãoJun-2023</v>
      </c>
      <c r="C200" t="s">
        <v>333</v>
      </c>
      <c r="D200" t="s">
        <v>334</v>
      </c>
      <c r="E200" t="s">
        <v>328</v>
      </c>
      <c r="F200" t="s">
        <v>736</v>
      </c>
      <c r="G200" t="s">
        <v>737</v>
      </c>
      <c r="H200" t="s">
        <v>738</v>
      </c>
      <c r="I200" t="s">
        <v>739</v>
      </c>
      <c r="J200" t="s">
        <v>739</v>
      </c>
      <c r="K200" s="2">
        <v>45107</v>
      </c>
      <c r="L200">
        <v>-4036.7977609251502</v>
      </c>
      <c r="M200">
        <v>175734.734251658</v>
      </c>
      <c r="N200">
        <v>12716.4007331216</v>
      </c>
      <c r="O200">
        <v>0</v>
      </c>
      <c r="P200">
        <v>-175734.734251658</v>
      </c>
      <c r="Q200">
        <v>250286.44906080901</v>
      </c>
      <c r="R200">
        <v>1.4632157790045299</v>
      </c>
      <c r="S200">
        <v>208.003495635061</v>
      </c>
      <c r="T200">
        <v>4165.5265443541803</v>
      </c>
      <c r="U200">
        <v>-58473.378762246197</v>
      </c>
      <c r="V200">
        <v>-6001.8792682101102</v>
      </c>
    </row>
    <row r="201" spans="1:22" x14ac:dyDescent="0.3">
      <c r="A201" t="str">
        <f t="shared" si="6"/>
        <v>PLASPrevisão</v>
      </c>
      <c r="B201" t="str">
        <f t="shared" si="7"/>
        <v>PLASPrevisãoSet-2023</v>
      </c>
      <c r="C201" t="s">
        <v>333</v>
      </c>
      <c r="D201" t="s">
        <v>334</v>
      </c>
      <c r="E201" t="s">
        <v>328</v>
      </c>
      <c r="F201" t="s">
        <v>736</v>
      </c>
      <c r="G201" t="s">
        <v>737</v>
      </c>
      <c r="H201" t="s">
        <v>738</v>
      </c>
      <c r="I201" t="s">
        <v>739</v>
      </c>
      <c r="J201" t="s">
        <v>739</v>
      </c>
      <c r="K201" s="2">
        <v>45199</v>
      </c>
      <c r="L201">
        <v>1110.32503300024</v>
      </c>
      <c r="M201">
        <v>219288.77949247</v>
      </c>
      <c r="N201">
        <v>12346.3090117624</v>
      </c>
      <c r="O201">
        <v>0</v>
      </c>
      <c r="P201">
        <v>-219288.77949247</v>
      </c>
      <c r="Q201">
        <v>311533.15136827598</v>
      </c>
      <c r="R201">
        <v>1.83926457610579</v>
      </c>
      <c r="S201">
        <v>238.37915399524201</v>
      </c>
      <c r="T201">
        <v>5259.2126155692504</v>
      </c>
      <c r="U201">
        <v>10454.198458388601</v>
      </c>
      <c r="V201">
        <v>-1444.7013474539499</v>
      </c>
    </row>
    <row r="202" spans="1:22" x14ac:dyDescent="0.3">
      <c r="A202" t="str">
        <f t="shared" si="6"/>
        <v>NTCOPrevisão</v>
      </c>
      <c r="B202" t="str">
        <f t="shared" si="7"/>
        <v>NTCOPrevisãoDez-2022</v>
      </c>
      <c r="C202" t="s">
        <v>472</v>
      </c>
      <c r="D202" t="s">
        <v>473</v>
      </c>
      <c r="E202" t="s">
        <v>469</v>
      </c>
      <c r="F202" t="s">
        <v>736</v>
      </c>
      <c r="G202" t="s">
        <v>737</v>
      </c>
      <c r="H202" t="s">
        <v>738</v>
      </c>
      <c r="I202" t="s">
        <v>739</v>
      </c>
      <c r="J202" t="s">
        <v>739</v>
      </c>
      <c r="K202" s="2">
        <v>44925</v>
      </c>
      <c r="L202">
        <v>-1460681.3939393701</v>
      </c>
      <c r="M202">
        <v>16329164.5757581</v>
      </c>
      <c r="N202">
        <v>36536.525252211803</v>
      </c>
      <c r="O202">
        <v>0</v>
      </c>
      <c r="P202">
        <v>-16329164.5757581</v>
      </c>
      <c r="Q202">
        <v>-604188.45454529196</v>
      </c>
      <c r="R202">
        <v>-1748.64646464612</v>
      </c>
      <c r="S202">
        <v>975.55555555551405</v>
      </c>
      <c r="T202">
        <v>1253499.5757575701</v>
      </c>
      <c r="U202">
        <v>15681400.2626247</v>
      </c>
      <c r="V202">
        <v>-1394119.0707070001</v>
      </c>
    </row>
    <row r="203" spans="1:22" x14ac:dyDescent="0.3">
      <c r="A203" t="str">
        <f t="shared" si="6"/>
        <v>NTCOPrevisão</v>
      </c>
      <c r="B203" t="str">
        <f t="shared" si="7"/>
        <v>NTCOPrevisãoMar-2023</v>
      </c>
      <c r="C203" t="s">
        <v>472</v>
      </c>
      <c r="D203" t="s">
        <v>473</v>
      </c>
      <c r="E203" t="s">
        <v>469</v>
      </c>
      <c r="F203" t="s">
        <v>736</v>
      </c>
      <c r="G203" t="s">
        <v>737</v>
      </c>
      <c r="H203" t="s">
        <v>738</v>
      </c>
      <c r="I203" t="s">
        <v>739</v>
      </c>
      <c r="J203" t="s">
        <v>739</v>
      </c>
      <c r="K203" s="2">
        <v>45015</v>
      </c>
      <c r="L203">
        <v>-2276380.19114216</v>
      </c>
      <c r="M203">
        <v>10069176.358975001</v>
      </c>
      <c r="N203">
        <v>250587.26184883699</v>
      </c>
      <c r="O203">
        <v>0</v>
      </c>
      <c r="P203">
        <v>-10069176.358975001</v>
      </c>
      <c r="Q203">
        <v>-1192348.8041955801</v>
      </c>
      <c r="R203">
        <v>-13831.641802641299</v>
      </c>
      <c r="S203">
        <v>1148.0334110333499</v>
      </c>
      <c r="T203">
        <v>1539129.37296037</v>
      </c>
      <c r="U203">
        <v>8821337.1903630309</v>
      </c>
      <c r="V203">
        <v>-2191365.96114987</v>
      </c>
    </row>
    <row r="204" spans="1:22" x14ac:dyDescent="0.3">
      <c r="A204" t="str">
        <f t="shared" si="6"/>
        <v>NTCOPrevisão</v>
      </c>
      <c r="B204" t="str">
        <f t="shared" si="7"/>
        <v>NTCOPrevisãoJun-2023</v>
      </c>
      <c r="C204" t="s">
        <v>472</v>
      </c>
      <c r="D204" t="s">
        <v>473</v>
      </c>
      <c r="E204" t="s">
        <v>469</v>
      </c>
      <c r="F204" t="s">
        <v>736</v>
      </c>
      <c r="G204" t="s">
        <v>737</v>
      </c>
      <c r="H204" t="s">
        <v>738</v>
      </c>
      <c r="I204" t="s">
        <v>739</v>
      </c>
      <c r="J204" t="s">
        <v>739</v>
      </c>
      <c r="K204" s="2">
        <v>45107</v>
      </c>
      <c r="L204">
        <v>-3336431.49383946</v>
      </c>
      <c r="M204">
        <v>2454664.52980428</v>
      </c>
      <c r="N204">
        <v>719611.85492229403</v>
      </c>
      <c r="O204">
        <v>0</v>
      </c>
      <c r="P204">
        <v>-2454664.52980428</v>
      </c>
      <c r="Q204">
        <v>-2066272.2567429601</v>
      </c>
      <c r="R204">
        <v>-28937.239871239301</v>
      </c>
      <c r="S204">
        <v>1377.3317793317001</v>
      </c>
      <c r="T204">
        <v>1846483.62670663</v>
      </c>
      <c r="U204">
        <v>319267.18669928599</v>
      </c>
      <c r="V204">
        <v>-3234885.3214562</v>
      </c>
    </row>
    <row r="205" spans="1:22" x14ac:dyDescent="0.3">
      <c r="A205" t="str">
        <f t="shared" si="6"/>
        <v>NTCOPrevisão</v>
      </c>
      <c r="B205" t="str">
        <f t="shared" si="7"/>
        <v>NTCOPrevisãoSet-2023</v>
      </c>
      <c r="C205" t="s">
        <v>472</v>
      </c>
      <c r="D205" t="s">
        <v>473</v>
      </c>
      <c r="E205" t="s">
        <v>469</v>
      </c>
      <c r="F205" t="s">
        <v>736</v>
      </c>
      <c r="G205" t="s">
        <v>737</v>
      </c>
      <c r="H205" t="s">
        <v>738</v>
      </c>
      <c r="I205" t="s">
        <v>739</v>
      </c>
      <c r="J205" t="s">
        <v>739</v>
      </c>
      <c r="K205" s="2">
        <v>45199</v>
      </c>
      <c r="L205">
        <v>-4670434.8218447799</v>
      </c>
      <c r="M205">
        <v>-6540514.2590734204</v>
      </c>
      <c r="N205">
        <v>1493000.67121694</v>
      </c>
      <c r="O205">
        <v>0</v>
      </c>
      <c r="P205">
        <v>6540514.2590734204</v>
      </c>
      <c r="Q205">
        <v>-3270369.52547414</v>
      </c>
      <c r="R205">
        <v>-47313.844710844103</v>
      </c>
      <c r="S205">
        <v>1672.70784770775</v>
      </c>
      <c r="T205">
        <v>2174115.2973692999</v>
      </c>
      <c r="U205">
        <v>-9895455.4950642698</v>
      </c>
      <c r="V205">
        <v>-4555151.8750137202</v>
      </c>
    </row>
    <row r="206" spans="1:22" x14ac:dyDescent="0.3">
      <c r="A206" t="str">
        <f t="shared" si="6"/>
        <v>HYPEPrevisão</v>
      </c>
      <c r="B206" t="str">
        <f t="shared" si="7"/>
        <v>HYPEPrevisãoDez-2022</v>
      </c>
      <c r="C206" t="s">
        <v>467</v>
      </c>
      <c r="D206" t="s">
        <v>468</v>
      </c>
      <c r="E206" t="s">
        <v>469</v>
      </c>
      <c r="F206" t="s">
        <v>736</v>
      </c>
      <c r="G206" t="s">
        <v>737</v>
      </c>
      <c r="H206" t="s">
        <v>738</v>
      </c>
      <c r="I206" t="s">
        <v>739</v>
      </c>
      <c r="J206" t="s">
        <v>739</v>
      </c>
      <c r="K206" s="2">
        <v>44925</v>
      </c>
      <c r="L206">
        <v>417236.50165522302</v>
      </c>
      <c r="M206">
        <v>25572151.011372998</v>
      </c>
      <c r="N206">
        <v>5407156.0480433796</v>
      </c>
      <c r="O206">
        <v>2401884.7396657201</v>
      </c>
      <c r="P206">
        <v>-25572151.011372998</v>
      </c>
      <c r="Q206">
        <v>-4141286.7928863699</v>
      </c>
      <c r="R206">
        <v>256602.28155504199</v>
      </c>
      <c r="S206">
        <v>17865.811561000199</v>
      </c>
      <c r="T206">
        <v>4517184.7201425703</v>
      </c>
      <c r="U206">
        <v>10569078.5777943</v>
      </c>
      <c r="V206">
        <v>2328656.8563793101</v>
      </c>
    </row>
    <row r="207" spans="1:22" x14ac:dyDescent="0.3">
      <c r="A207" t="str">
        <f t="shared" si="6"/>
        <v>HYPEPrevisão</v>
      </c>
      <c r="B207" t="str">
        <f t="shared" si="7"/>
        <v>HYPEPrevisãoMar-2023</v>
      </c>
      <c r="C207" t="s">
        <v>467</v>
      </c>
      <c r="D207" t="s">
        <v>468</v>
      </c>
      <c r="E207" t="s">
        <v>469</v>
      </c>
      <c r="F207" t="s">
        <v>736</v>
      </c>
      <c r="G207" t="s">
        <v>737</v>
      </c>
      <c r="H207" t="s">
        <v>738</v>
      </c>
      <c r="I207" t="s">
        <v>739</v>
      </c>
      <c r="J207" t="s">
        <v>739</v>
      </c>
      <c r="K207" s="2">
        <v>45015</v>
      </c>
      <c r="L207">
        <v>430701.61067869898</v>
      </c>
      <c r="M207">
        <v>27969812.763188198</v>
      </c>
      <c r="N207">
        <v>5579756.9258401999</v>
      </c>
      <c r="O207">
        <v>2611192.5471248901</v>
      </c>
      <c r="P207">
        <v>-27969812.763188198</v>
      </c>
      <c r="Q207">
        <v>-4651537.4006331796</v>
      </c>
      <c r="R207">
        <v>282275.73194355197</v>
      </c>
      <c r="S207">
        <v>14279.4435336925</v>
      </c>
      <c r="T207">
        <v>4641528.02774275</v>
      </c>
      <c r="U207">
        <v>10825945.175362101</v>
      </c>
      <c r="V207">
        <v>2598229.4911532002</v>
      </c>
    </row>
    <row r="208" spans="1:22" x14ac:dyDescent="0.3">
      <c r="A208" t="str">
        <f t="shared" si="6"/>
        <v>HYPEPrevisão</v>
      </c>
      <c r="B208" t="str">
        <f t="shared" si="7"/>
        <v>HYPEPrevisãoJun-2023</v>
      </c>
      <c r="C208" t="s">
        <v>467</v>
      </c>
      <c r="D208" t="s">
        <v>468</v>
      </c>
      <c r="E208" t="s">
        <v>469</v>
      </c>
      <c r="F208" t="s">
        <v>736</v>
      </c>
      <c r="G208" t="s">
        <v>737</v>
      </c>
      <c r="H208" t="s">
        <v>738</v>
      </c>
      <c r="I208" t="s">
        <v>739</v>
      </c>
      <c r="J208" t="s">
        <v>739</v>
      </c>
      <c r="K208" s="2">
        <v>45107</v>
      </c>
      <c r="L208">
        <v>445019.26716673502</v>
      </c>
      <c r="M208">
        <v>30595963.3317983</v>
      </c>
      <c r="N208">
        <v>5765729.4585873699</v>
      </c>
      <c r="O208">
        <v>2843314.4777290402</v>
      </c>
      <c r="P208">
        <v>-30595963.3317983</v>
      </c>
      <c r="Q208">
        <v>-5214294.5377551802</v>
      </c>
      <c r="R208">
        <v>310255.89630481001</v>
      </c>
      <c r="S208">
        <v>10238.093619306899</v>
      </c>
      <c r="T208">
        <v>4758430.9566128301</v>
      </c>
      <c r="U208">
        <v>11101164.8477003</v>
      </c>
      <c r="V208">
        <v>2897057.7977530002</v>
      </c>
    </row>
    <row r="209" spans="1:22" x14ac:dyDescent="0.3">
      <c r="A209" t="str">
        <f t="shared" si="6"/>
        <v>HYPEPrevisão</v>
      </c>
      <c r="B209" t="str">
        <f t="shared" si="7"/>
        <v>HYPEPrevisãoSet-2023</v>
      </c>
      <c r="C209" t="s">
        <v>467</v>
      </c>
      <c r="D209" t="s">
        <v>468</v>
      </c>
      <c r="E209" t="s">
        <v>469</v>
      </c>
      <c r="F209" t="s">
        <v>736</v>
      </c>
      <c r="G209" t="s">
        <v>737</v>
      </c>
      <c r="H209" t="s">
        <v>738</v>
      </c>
      <c r="I209" t="s">
        <v>739</v>
      </c>
      <c r="J209" t="s">
        <v>739</v>
      </c>
      <c r="K209" s="2">
        <v>45199</v>
      </c>
      <c r="L209">
        <v>460256.88818247803</v>
      </c>
      <c r="M209">
        <v>33460021.875574298</v>
      </c>
      <c r="N209">
        <v>5965578.8433922604</v>
      </c>
      <c r="O209">
        <v>3099352.1248413199</v>
      </c>
      <c r="P209">
        <v>-33460021.875574298</v>
      </c>
      <c r="Q209">
        <v>-5831868.9179895101</v>
      </c>
      <c r="R209">
        <v>340637.72243581997</v>
      </c>
      <c r="S209">
        <v>5717.8288337219501</v>
      </c>
      <c r="T209">
        <v>4867282.6556761703</v>
      </c>
      <c r="U209">
        <v>11395595.6922979</v>
      </c>
      <c r="V209">
        <v>3226499.3083010302</v>
      </c>
    </row>
    <row r="210" spans="1:22" x14ac:dyDescent="0.3">
      <c r="A210" t="str">
        <f t="shared" si="6"/>
        <v>BOBRPrevisão</v>
      </c>
      <c r="B210" t="str">
        <f t="shared" si="7"/>
        <v>BOBRPrevisãoDez-2022</v>
      </c>
      <c r="C210" t="s">
        <v>474</v>
      </c>
      <c r="D210" t="s">
        <v>475</v>
      </c>
      <c r="E210" t="s">
        <v>469</v>
      </c>
      <c r="F210" t="s">
        <v>736</v>
      </c>
      <c r="G210" t="s">
        <v>737</v>
      </c>
      <c r="H210" t="s">
        <v>738</v>
      </c>
      <c r="I210" t="s">
        <v>739</v>
      </c>
      <c r="J210" t="s">
        <v>739</v>
      </c>
      <c r="K210" s="2">
        <v>44925</v>
      </c>
      <c r="L210">
        <v>-3414.1212121264498</v>
      </c>
      <c r="M210">
        <v>996694.33570975799</v>
      </c>
      <c r="N210">
        <v>479217.270605053</v>
      </c>
      <c r="O210">
        <v>250167.13037925001</v>
      </c>
      <c r="P210">
        <v>-1038895.57380537</v>
      </c>
      <c r="Q210">
        <v>-693927.85434165294</v>
      </c>
      <c r="R210">
        <v>28671.014854422301</v>
      </c>
      <c r="S210">
        <v>47540.9558610124</v>
      </c>
      <c r="T210">
        <v>-161.92496392484099</v>
      </c>
      <c r="U210">
        <v>-100753.41006709699</v>
      </c>
      <c r="V210">
        <v>392291.56922159099</v>
      </c>
    </row>
    <row r="211" spans="1:22" x14ac:dyDescent="0.3">
      <c r="A211" t="str">
        <f t="shared" si="6"/>
        <v>BOBRPrevisão</v>
      </c>
      <c r="B211" t="str">
        <f t="shared" si="7"/>
        <v>BOBRPrevisãoMar-2023</v>
      </c>
      <c r="C211" t="s">
        <v>474</v>
      </c>
      <c r="D211" t="s">
        <v>475</v>
      </c>
      <c r="E211" t="s">
        <v>469</v>
      </c>
      <c r="F211" t="s">
        <v>736</v>
      </c>
      <c r="G211" t="s">
        <v>737</v>
      </c>
      <c r="H211" t="s">
        <v>738</v>
      </c>
      <c r="I211" t="s">
        <v>739</v>
      </c>
      <c r="J211" t="s">
        <v>739</v>
      </c>
      <c r="K211" s="2">
        <v>45015</v>
      </c>
      <c r="L211">
        <v>-12554.792517505701</v>
      </c>
      <c r="M211">
        <v>1093338.5283194899</v>
      </c>
      <c r="N211">
        <v>528987.00648760295</v>
      </c>
      <c r="O211">
        <v>278834.10059238301</v>
      </c>
      <c r="P211">
        <v>-1143316.4073417799</v>
      </c>
      <c r="Q211">
        <v>-734495.94306903903</v>
      </c>
      <c r="R211">
        <v>29091.521602575602</v>
      </c>
      <c r="S211">
        <v>51372.666884482504</v>
      </c>
      <c r="T211">
        <v>-206.84013883999</v>
      </c>
      <c r="U211">
        <v>-65617.145984073402</v>
      </c>
      <c r="V211">
        <v>419329.44972317899</v>
      </c>
    </row>
    <row r="212" spans="1:22" x14ac:dyDescent="0.3">
      <c r="A212" t="str">
        <f t="shared" si="6"/>
        <v>BOBRPrevisão</v>
      </c>
      <c r="B212" t="str">
        <f t="shared" si="7"/>
        <v>BOBRPrevisãoJun-2023</v>
      </c>
      <c r="C212" t="s">
        <v>474</v>
      </c>
      <c r="D212" t="s">
        <v>475</v>
      </c>
      <c r="E212" t="s">
        <v>469</v>
      </c>
      <c r="F212" t="s">
        <v>736</v>
      </c>
      <c r="G212" t="s">
        <v>737</v>
      </c>
      <c r="H212" t="s">
        <v>738</v>
      </c>
      <c r="I212" t="s">
        <v>739</v>
      </c>
      <c r="J212" t="s">
        <v>739</v>
      </c>
      <c r="K212" s="2">
        <v>45107</v>
      </c>
      <c r="L212">
        <v>-23206.6176262402</v>
      </c>
      <c r="M212">
        <v>1206153.5224419599</v>
      </c>
      <c r="N212">
        <v>584804.83895175694</v>
      </c>
      <c r="O212">
        <v>311572.319409394</v>
      </c>
      <c r="P212">
        <v>-1264685.70648361</v>
      </c>
      <c r="Q212">
        <v>-779677.31072506797</v>
      </c>
      <c r="R212">
        <v>29537.774632534001</v>
      </c>
      <c r="S212">
        <v>56728.125150753098</v>
      </c>
      <c r="T212">
        <v>-254.864825864648</v>
      </c>
      <c r="U212">
        <v>-26026.205292270701</v>
      </c>
      <c r="V212">
        <v>449590.88969324599</v>
      </c>
    </row>
    <row r="213" spans="1:22" x14ac:dyDescent="0.3">
      <c r="A213" t="str">
        <f t="shared" si="6"/>
        <v>BOBRPrevisão</v>
      </c>
      <c r="B213" t="str">
        <f t="shared" si="7"/>
        <v>BOBRPrevisãoSet-2023</v>
      </c>
      <c r="C213" t="s">
        <v>474</v>
      </c>
      <c r="D213" t="s">
        <v>475</v>
      </c>
      <c r="E213" t="s">
        <v>469</v>
      </c>
      <c r="F213" t="s">
        <v>736</v>
      </c>
      <c r="G213" t="s">
        <v>737</v>
      </c>
      <c r="H213" t="s">
        <v>738</v>
      </c>
      <c r="I213" t="s">
        <v>739</v>
      </c>
      <c r="J213" t="s">
        <v>739</v>
      </c>
      <c r="K213" s="2">
        <v>45199</v>
      </c>
      <c r="L213">
        <v>-35451.844884968297</v>
      </c>
      <c r="M213">
        <v>1336038.1808553799</v>
      </c>
      <c r="N213">
        <v>646970.24292677396</v>
      </c>
      <c r="O213">
        <v>348596.37837025098</v>
      </c>
      <c r="P213">
        <v>-1403936.12723952</v>
      </c>
      <c r="Q213">
        <v>-829728.80204969295</v>
      </c>
      <c r="R213">
        <v>30011.725612651699</v>
      </c>
      <c r="S213">
        <v>63715.265136117901</v>
      </c>
      <c r="T213">
        <v>-306.06103806082803</v>
      </c>
      <c r="U213">
        <v>18217.710986194401</v>
      </c>
      <c r="V213">
        <v>483239.78247964301</v>
      </c>
    </row>
    <row r="214" spans="1:22" x14ac:dyDescent="0.3">
      <c r="A214" t="str">
        <f t="shared" si="6"/>
        <v>BIOMPrevisão</v>
      </c>
      <c r="B214" t="str">
        <f t="shared" si="7"/>
        <v>BIOMPrevisãoDez-2022</v>
      </c>
      <c r="C214" t="s">
        <v>470</v>
      </c>
      <c r="D214" t="s">
        <v>471</v>
      </c>
      <c r="E214" t="s">
        <v>469</v>
      </c>
      <c r="F214" t="s">
        <v>736</v>
      </c>
      <c r="G214" t="s">
        <v>737</v>
      </c>
      <c r="H214" t="s">
        <v>738</v>
      </c>
      <c r="I214" t="s">
        <v>739</v>
      </c>
      <c r="J214" t="s">
        <v>739</v>
      </c>
      <c r="K214" s="2">
        <v>44925</v>
      </c>
      <c r="L214">
        <v>-23166.3087174264</v>
      </c>
      <c r="M214">
        <v>382177.58602836001</v>
      </c>
      <c r="N214">
        <v>176767.268822716</v>
      </c>
      <c r="O214">
        <v>38303.909175791297</v>
      </c>
      <c r="P214">
        <v>-382177.58602836001</v>
      </c>
      <c r="Q214">
        <v>-81634.490535605597</v>
      </c>
      <c r="R214">
        <v>5542.6786350930797</v>
      </c>
      <c r="S214">
        <v>1408.5005517356301</v>
      </c>
      <c r="T214">
        <v>0</v>
      </c>
      <c r="U214">
        <v>165421.823953827</v>
      </c>
      <c r="V214">
        <v>42253.456752396603</v>
      </c>
    </row>
    <row r="215" spans="1:22" x14ac:dyDescent="0.3">
      <c r="A215" t="str">
        <f t="shared" si="6"/>
        <v>BIOMPrevisão</v>
      </c>
      <c r="B215" t="str">
        <f t="shared" si="7"/>
        <v>BIOMPrevisãoMar-2023</v>
      </c>
      <c r="C215" t="s">
        <v>470</v>
      </c>
      <c r="D215" t="s">
        <v>471</v>
      </c>
      <c r="E215" t="s">
        <v>469</v>
      </c>
      <c r="F215" t="s">
        <v>736</v>
      </c>
      <c r="G215" t="s">
        <v>737</v>
      </c>
      <c r="H215" t="s">
        <v>738</v>
      </c>
      <c r="I215" t="s">
        <v>739</v>
      </c>
      <c r="J215" t="s">
        <v>739</v>
      </c>
      <c r="K215" s="2">
        <v>45015</v>
      </c>
      <c r="L215">
        <v>-23969.9411305881</v>
      </c>
      <c r="M215">
        <v>382551.43692892202</v>
      </c>
      <c r="N215">
        <v>191242.70100051101</v>
      </c>
      <c r="O215">
        <v>43189.178757825597</v>
      </c>
      <c r="P215">
        <v>-382551.43692892202</v>
      </c>
      <c r="Q215">
        <v>-86011.463618695401</v>
      </c>
      <c r="R215">
        <v>5210.1459886194598</v>
      </c>
      <c r="S215">
        <v>1530.19752831496</v>
      </c>
      <c r="T215">
        <v>0</v>
      </c>
      <c r="U215">
        <v>174264.934773591</v>
      </c>
      <c r="V215">
        <v>47876.765990587803</v>
      </c>
    </row>
    <row r="216" spans="1:22" x14ac:dyDescent="0.3">
      <c r="A216" t="str">
        <f t="shared" si="6"/>
        <v>BIOMPrevisão</v>
      </c>
      <c r="B216" t="str">
        <f t="shared" si="7"/>
        <v>BIOMPrevisãoJun-2023</v>
      </c>
      <c r="C216" t="s">
        <v>470</v>
      </c>
      <c r="D216" t="s">
        <v>471</v>
      </c>
      <c r="E216" t="s">
        <v>469</v>
      </c>
      <c r="F216" t="s">
        <v>736</v>
      </c>
      <c r="G216" t="s">
        <v>737</v>
      </c>
      <c r="H216" t="s">
        <v>738</v>
      </c>
      <c r="I216" t="s">
        <v>739</v>
      </c>
      <c r="J216" t="s">
        <v>739</v>
      </c>
      <c r="K216" s="2">
        <v>45107</v>
      </c>
      <c r="L216">
        <v>-24749.703791322801</v>
      </c>
      <c r="M216">
        <v>381897.60924655601</v>
      </c>
      <c r="N216">
        <v>207260.55941915</v>
      </c>
      <c r="O216">
        <v>48451.360565865099</v>
      </c>
      <c r="P216">
        <v>-381897.60924655601</v>
      </c>
      <c r="Q216">
        <v>-90521.512087532406</v>
      </c>
      <c r="R216">
        <v>4805.0256574405303</v>
      </c>
      <c r="S216">
        <v>1665.3427196645</v>
      </c>
      <c r="T216">
        <v>0</v>
      </c>
      <c r="U216">
        <v>183940.361042334</v>
      </c>
      <c r="V216">
        <v>53907.190412677497</v>
      </c>
    </row>
    <row r="217" spans="1:22" x14ac:dyDescent="0.3">
      <c r="A217" t="str">
        <f t="shared" si="6"/>
        <v>BIOMPrevisão</v>
      </c>
      <c r="B217" t="str">
        <f t="shared" si="7"/>
        <v>BIOMPrevisãoSet-2023</v>
      </c>
      <c r="C217" t="s">
        <v>470</v>
      </c>
      <c r="D217" t="s">
        <v>471</v>
      </c>
      <c r="E217" t="s">
        <v>469</v>
      </c>
      <c r="F217" t="s">
        <v>736</v>
      </c>
      <c r="G217" t="s">
        <v>737</v>
      </c>
      <c r="H217" t="s">
        <v>738</v>
      </c>
      <c r="I217" t="s">
        <v>739</v>
      </c>
      <c r="J217" t="s">
        <v>739</v>
      </c>
      <c r="K217" s="2">
        <v>45199</v>
      </c>
      <c r="L217">
        <v>-25502.819684094899</v>
      </c>
      <c r="M217">
        <v>380181.84991286998</v>
      </c>
      <c r="N217">
        <v>224904.984254621</v>
      </c>
      <c r="O217">
        <v>54103.918056004601</v>
      </c>
      <c r="P217">
        <v>-380181.84991286998</v>
      </c>
      <c r="Q217">
        <v>-95165.090265347797</v>
      </c>
      <c r="R217">
        <v>4323.4926845981599</v>
      </c>
      <c r="S217">
        <v>1814.60498054907</v>
      </c>
      <c r="T217">
        <v>0</v>
      </c>
      <c r="U217">
        <v>194500.419181545</v>
      </c>
      <c r="V217">
        <v>60357.8795266573</v>
      </c>
    </row>
    <row r="218" spans="1:22" x14ac:dyDescent="0.3">
      <c r="A218" t="str">
        <f t="shared" si="6"/>
        <v>TIMSPrevisão</v>
      </c>
      <c r="B218" t="str">
        <f t="shared" si="7"/>
        <v>TIMSPrevisãoDez-2022</v>
      </c>
      <c r="C218" t="s">
        <v>659</v>
      </c>
      <c r="D218" t="s">
        <v>660</v>
      </c>
      <c r="E218" t="s">
        <v>658</v>
      </c>
      <c r="F218" t="s">
        <v>736</v>
      </c>
      <c r="G218" t="s">
        <v>737</v>
      </c>
      <c r="H218" t="s">
        <v>738</v>
      </c>
      <c r="I218" t="s">
        <v>739</v>
      </c>
      <c r="J218" t="s">
        <v>739</v>
      </c>
      <c r="K218" s="2">
        <v>44925</v>
      </c>
      <c r="L218">
        <v>398816.22222221998</v>
      </c>
      <c r="M218">
        <v>54629358.111111</v>
      </c>
      <c r="N218">
        <v>2568910.6363637499</v>
      </c>
      <c r="O218">
        <v>3929163.2424242198</v>
      </c>
      <c r="P218">
        <v>-54629358.111111</v>
      </c>
      <c r="Q218">
        <v>-9683935.1515151598</v>
      </c>
      <c r="R218">
        <v>291770.20202020102</v>
      </c>
      <c r="S218">
        <v>2030636.2929293001</v>
      </c>
      <c r="T218">
        <v>11889059.999999899</v>
      </c>
      <c r="U218">
        <v>25949839.808080599</v>
      </c>
      <c r="V218">
        <v>5389536.4444444403</v>
      </c>
    </row>
    <row r="219" spans="1:22" x14ac:dyDescent="0.3">
      <c r="A219" t="str">
        <f t="shared" si="6"/>
        <v>TIMSPrevisão</v>
      </c>
      <c r="B219" t="str">
        <f t="shared" si="7"/>
        <v>TIMSPrevisãoMar-2023</v>
      </c>
      <c r="C219" t="s">
        <v>659</v>
      </c>
      <c r="D219" t="s">
        <v>660</v>
      </c>
      <c r="E219" t="s">
        <v>658</v>
      </c>
      <c r="F219" t="s">
        <v>736</v>
      </c>
      <c r="G219" t="s">
        <v>737</v>
      </c>
      <c r="H219" t="s">
        <v>738</v>
      </c>
      <c r="I219" t="s">
        <v>739</v>
      </c>
      <c r="J219" t="s">
        <v>739</v>
      </c>
      <c r="K219" s="2">
        <v>45015</v>
      </c>
      <c r="L219">
        <v>330808.20357420598</v>
      </c>
      <c r="M219">
        <v>57583388.6891995</v>
      </c>
      <c r="N219">
        <v>-3908078.64335651</v>
      </c>
      <c r="O219">
        <v>4481179.48717946</v>
      </c>
      <c r="P219">
        <v>-57583388.6891995</v>
      </c>
      <c r="Q219">
        <v>-10186960.039627001</v>
      </c>
      <c r="R219">
        <v>265300.83605283499</v>
      </c>
      <c r="S219">
        <v>2088369.6262626401</v>
      </c>
      <c r="T219">
        <v>12354178.9720279</v>
      </c>
      <c r="U219">
        <v>26344328.735819399</v>
      </c>
      <c r="V219">
        <v>5703251.3232323201</v>
      </c>
    </row>
    <row r="220" spans="1:22" x14ac:dyDescent="0.3">
      <c r="A220" t="str">
        <f t="shared" si="6"/>
        <v>TIMSPrevisão</v>
      </c>
      <c r="B220" t="str">
        <f t="shared" si="7"/>
        <v>TIMSPrevisãoJun-2023</v>
      </c>
      <c r="C220" t="s">
        <v>659</v>
      </c>
      <c r="D220" t="s">
        <v>660</v>
      </c>
      <c r="E220" t="s">
        <v>658</v>
      </c>
      <c r="F220" t="s">
        <v>736</v>
      </c>
      <c r="G220" t="s">
        <v>737</v>
      </c>
      <c r="H220" t="s">
        <v>738</v>
      </c>
      <c r="I220" t="s">
        <v>739</v>
      </c>
      <c r="J220" t="s">
        <v>739</v>
      </c>
      <c r="K220" s="2">
        <v>45107</v>
      </c>
      <c r="L220">
        <v>232790.82861583901</v>
      </c>
      <c r="M220">
        <v>60788857.3139081</v>
      </c>
      <c r="N220">
        <v>-12498166.863136699</v>
      </c>
      <c r="O220">
        <v>5197278.1714951396</v>
      </c>
      <c r="P220">
        <v>-60788857.3139081</v>
      </c>
      <c r="Q220">
        <v>-10692703.774891701</v>
      </c>
      <c r="R220">
        <v>228099.786435785</v>
      </c>
      <c r="S220">
        <v>2098300.5466755698</v>
      </c>
      <c r="T220">
        <v>12841957.1538461</v>
      </c>
      <c r="U220">
        <v>26769790.466421999</v>
      </c>
      <c r="V220">
        <v>6063648.35853035</v>
      </c>
    </row>
    <row r="221" spans="1:22" x14ac:dyDescent="0.3">
      <c r="A221" t="str">
        <f t="shared" si="6"/>
        <v>TIMSPrevisão</v>
      </c>
      <c r="B221" t="str">
        <f t="shared" si="7"/>
        <v>TIMSPrevisãoSet-2023</v>
      </c>
      <c r="C221" t="s">
        <v>659</v>
      </c>
      <c r="D221" t="s">
        <v>660</v>
      </c>
      <c r="E221" t="s">
        <v>658</v>
      </c>
      <c r="F221" t="s">
        <v>736</v>
      </c>
      <c r="G221" t="s">
        <v>737</v>
      </c>
      <c r="H221" t="s">
        <v>738</v>
      </c>
      <c r="I221" t="s">
        <v>739</v>
      </c>
      <c r="J221" t="s">
        <v>739</v>
      </c>
      <c r="K221" s="2">
        <v>45199</v>
      </c>
      <c r="L221">
        <v>99101.154068174597</v>
      </c>
      <c r="M221">
        <v>64250552.205904901</v>
      </c>
      <c r="N221">
        <v>-23451832.9810187</v>
      </c>
      <c r="O221">
        <v>6096609.0622710204</v>
      </c>
      <c r="P221">
        <v>-64250552.205904901</v>
      </c>
      <c r="Q221">
        <v>-11194433.2920413</v>
      </c>
      <c r="R221">
        <v>178891.490620489</v>
      </c>
      <c r="S221">
        <v>2051975.58252861</v>
      </c>
      <c r="T221">
        <v>13359504.7062936</v>
      </c>
      <c r="U221">
        <v>27235930.532910999</v>
      </c>
      <c r="V221">
        <v>6473512.8036407903</v>
      </c>
    </row>
    <row r="222" spans="1:22" x14ac:dyDescent="0.3">
      <c r="A222" t="str">
        <f t="shared" si="6"/>
        <v>VIVTPrevisão</v>
      </c>
      <c r="B222" t="str">
        <f t="shared" si="7"/>
        <v>VIVTPrevisãoDez-2022</v>
      </c>
      <c r="C222" t="s">
        <v>656</v>
      </c>
      <c r="D222" t="s">
        <v>657</v>
      </c>
      <c r="E222" t="s">
        <v>658</v>
      </c>
      <c r="F222" t="s">
        <v>736</v>
      </c>
      <c r="G222" t="s">
        <v>737</v>
      </c>
      <c r="H222" t="s">
        <v>738</v>
      </c>
      <c r="I222" t="s">
        <v>739</v>
      </c>
      <c r="J222" t="s">
        <v>739</v>
      </c>
      <c r="K222" s="2">
        <v>44925</v>
      </c>
      <c r="L222">
        <v>722254.38154633401</v>
      </c>
      <c r="M222">
        <v>115084926.480776</v>
      </c>
      <c r="N222">
        <v>19787204.490967698</v>
      </c>
      <c r="O222">
        <v>7542573.2107633697</v>
      </c>
      <c r="P222">
        <v>-115084926.480776</v>
      </c>
      <c r="Q222">
        <v>-22312065.377895001</v>
      </c>
      <c r="R222">
        <v>926883.24013245397</v>
      </c>
      <c r="S222">
        <v>1484066.9939736</v>
      </c>
      <c r="T222">
        <v>3311820.76351739</v>
      </c>
      <c r="U222">
        <v>64426055.5674536</v>
      </c>
      <c r="V222">
        <v>11070713.5741443</v>
      </c>
    </row>
    <row r="223" spans="1:22" x14ac:dyDescent="0.3">
      <c r="A223" t="str">
        <f t="shared" si="6"/>
        <v>VIVTPrevisão</v>
      </c>
      <c r="B223" t="str">
        <f t="shared" si="7"/>
        <v>VIVTPrevisãoMar-2023</v>
      </c>
      <c r="C223" t="s">
        <v>656</v>
      </c>
      <c r="D223" t="s">
        <v>657</v>
      </c>
      <c r="E223" t="s">
        <v>658</v>
      </c>
      <c r="F223" t="s">
        <v>736</v>
      </c>
      <c r="G223" t="s">
        <v>737</v>
      </c>
      <c r="H223" t="s">
        <v>738</v>
      </c>
      <c r="I223" t="s">
        <v>739</v>
      </c>
      <c r="J223" t="s">
        <v>739</v>
      </c>
      <c r="K223" s="2">
        <v>45015</v>
      </c>
      <c r="L223">
        <v>562208.97845332394</v>
      </c>
      <c r="M223">
        <v>114858758.78410199</v>
      </c>
      <c r="N223">
        <v>19403727.502496999</v>
      </c>
      <c r="O223">
        <v>7140983.61055985</v>
      </c>
      <c r="P223">
        <v>-114858758.78410199</v>
      </c>
      <c r="Q223">
        <v>-22294342.3996161</v>
      </c>
      <c r="R223">
        <v>945776.363663945</v>
      </c>
      <c r="S223">
        <v>1363272.8089620201</v>
      </c>
      <c r="T223">
        <v>2995757.8598841401</v>
      </c>
      <c r="U223">
        <v>62543020.5569245</v>
      </c>
      <c r="V223">
        <v>11075822.4131661</v>
      </c>
    </row>
    <row r="224" spans="1:22" x14ac:dyDescent="0.3">
      <c r="A224" t="str">
        <f t="shared" si="6"/>
        <v>VIVTPrevisão</v>
      </c>
      <c r="B224" t="str">
        <f t="shared" si="7"/>
        <v>VIVTPrevisãoJun-2023</v>
      </c>
      <c r="C224" t="s">
        <v>656</v>
      </c>
      <c r="D224" t="s">
        <v>657</v>
      </c>
      <c r="E224" t="s">
        <v>658</v>
      </c>
      <c r="F224" t="s">
        <v>736</v>
      </c>
      <c r="G224" t="s">
        <v>737</v>
      </c>
      <c r="H224" t="s">
        <v>738</v>
      </c>
      <c r="I224" t="s">
        <v>739</v>
      </c>
      <c r="J224" t="s">
        <v>739</v>
      </c>
      <c r="K224" s="2">
        <v>45107</v>
      </c>
      <c r="L224">
        <v>382768.714557114</v>
      </c>
      <c r="M224">
        <v>114531352.79785401</v>
      </c>
      <c r="N224">
        <v>18970519.079104301</v>
      </c>
      <c r="O224">
        <v>6691022.2519670399</v>
      </c>
      <c r="P224">
        <v>-114531352.79785401</v>
      </c>
      <c r="Q224">
        <v>-22254252.1993405</v>
      </c>
      <c r="R224">
        <v>964817.55663699994</v>
      </c>
      <c r="S224">
        <v>1223915.63019999</v>
      </c>
      <c r="T224">
        <v>2629324.3561627101</v>
      </c>
      <c r="U224">
        <v>60437645.147613302</v>
      </c>
      <c r="V224">
        <v>11076411.777802801</v>
      </c>
    </row>
    <row r="225" spans="1:22" x14ac:dyDescent="0.3">
      <c r="A225" t="str">
        <f t="shared" si="6"/>
        <v>VIVTPrevisão</v>
      </c>
      <c r="B225" t="str">
        <f t="shared" si="7"/>
        <v>VIVTPrevisãoSet-2023</v>
      </c>
      <c r="C225" t="s">
        <v>656</v>
      </c>
      <c r="D225" t="s">
        <v>657</v>
      </c>
      <c r="E225" t="s">
        <v>658</v>
      </c>
      <c r="F225" t="s">
        <v>736</v>
      </c>
      <c r="G225" t="s">
        <v>737</v>
      </c>
      <c r="H225" t="s">
        <v>738</v>
      </c>
      <c r="I225" t="s">
        <v>739</v>
      </c>
      <c r="J225" t="s">
        <v>739</v>
      </c>
      <c r="K225" s="2">
        <v>45199</v>
      </c>
      <c r="L225">
        <v>183051.35978706999</v>
      </c>
      <c r="M225">
        <v>114105278.561051</v>
      </c>
      <c r="N225">
        <v>18487321.290247802</v>
      </c>
      <c r="O225">
        <v>6191322.2547348496</v>
      </c>
      <c r="P225">
        <v>-114105278.561051</v>
      </c>
      <c r="Q225">
        <v>-22192293.853983801</v>
      </c>
      <c r="R225">
        <v>984028.10988312098</v>
      </c>
      <c r="S225">
        <v>1065116.34589217</v>
      </c>
      <c r="T225">
        <v>2210178.2967411699</v>
      </c>
      <c r="U225">
        <v>58104634.2145283</v>
      </c>
      <c r="V225">
        <v>11073158.643555799</v>
      </c>
    </row>
    <row r="226" spans="1:22" x14ac:dyDescent="0.3">
      <c r="A226" t="str">
        <f t="shared" si="6"/>
        <v>TELBPrevisão</v>
      </c>
      <c r="B226" t="str">
        <f t="shared" si="7"/>
        <v>TELBPrevisãoDez-2022</v>
      </c>
      <c r="C226" t="s">
        <v>661</v>
      </c>
      <c r="D226" t="s">
        <v>662</v>
      </c>
      <c r="E226" t="s">
        <v>658</v>
      </c>
      <c r="F226" t="s">
        <v>736</v>
      </c>
      <c r="G226" t="s">
        <v>737</v>
      </c>
      <c r="H226" t="s">
        <v>738</v>
      </c>
      <c r="I226" t="s">
        <v>739</v>
      </c>
      <c r="J226" t="s">
        <v>739</v>
      </c>
      <c r="K226" s="2">
        <v>44925</v>
      </c>
      <c r="L226">
        <v>-9438.69111281396</v>
      </c>
      <c r="M226">
        <v>3764296.8127492401</v>
      </c>
      <c r="N226">
        <v>2005757.7147949699</v>
      </c>
      <c r="O226">
        <v>198773.20108650401</v>
      </c>
      <c r="P226">
        <v>-3764296.8127492401</v>
      </c>
      <c r="Q226">
        <v>-364645.18232744897</v>
      </c>
      <c r="R226">
        <v>15426.2496392505</v>
      </c>
      <c r="S226">
        <v>7850.4692301163304</v>
      </c>
      <c r="T226">
        <v>-7.4998726763393204</v>
      </c>
      <c r="U226">
        <v>2049811.39444803</v>
      </c>
      <c r="V226">
        <v>102948.20940497699</v>
      </c>
    </row>
    <row r="227" spans="1:22" x14ac:dyDescent="0.3">
      <c r="A227" t="str">
        <f t="shared" si="6"/>
        <v>TELBPrevisão</v>
      </c>
      <c r="B227" t="str">
        <f t="shared" si="7"/>
        <v>TELBPrevisãoMar-2023</v>
      </c>
      <c r="C227" t="s">
        <v>661</v>
      </c>
      <c r="D227" t="s">
        <v>662</v>
      </c>
      <c r="E227" t="s">
        <v>658</v>
      </c>
      <c r="F227" t="s">
        <v>736</v>
      </c>
      <c r="G227" t="s">
        <v>737</v>
      </c>
      <c r="H227" t="s">
        <v>738</v>
      </c>
      <c r="I227" t="s">
        <v>739</v>
      </c>
      <c r="J227" t="s">
        <v>739</v>
      </c>
      <c r="K227" s="2">
        <v>45015</v>
      </c>
      <c r="L227">
        <v>1690.3216264319501</v>
      </c>
      <c r="M227">
        <v>3600746.7852542</v>
      </c>
      <c r="N227">
        <v>2213288.1959200702</v>
      </c>
      <c r="O227">
        <v>223727.065985781</v>
      </c>
      <c r="P227">
        <v>-3600746.7852542</v>
      </c>
      <c r="Q227">
        <v>-394610.28052494902</v>
      </c>
      <c r="R227">
        <v>15505.973876857201</v>
      </c>
      <c r="S227">
        <v>4619.93195869594</v>
      </c>
      <c r="T227">
        <v>-10.049910873433999</v>
      </c>
      <c r="U227">
        <v>2218528.9501158898</v>
      </c>
      <c r="V227">
        <v>110672.38739656701</v>
      </c>
    </row>
    <row r="228" spans="1:22" x14ac:dyDescent="0.3">
      <c r="A228" t="str">
        <f t="shared" si="6"/>
        <v>TELBPrevisão</v>
      </c>
      <c r="B228" t="str">
        <f t="shared" si="7"/>
        <v>TELBPrevisãoJun-2023</v>
      </c>
      <c r="C228" t="s">
        <v>661</v>
      </c>
      <c r="D228" t="s">
        <v>662</v>
      </c>
      <c r="E228" t="s">
        <v>658</v>
      </c>
      <c r="F228" t="s">
        <v>736</v>
      </c>
      <c r="G228" t="s">
        <v>737</v>
      </c>
      <c r="H228" t="s">
        <v>738</v>
      </c>
      <c r="I228" t="s">
        <v>739</v>
      </c>
      <c r="J228" t="s">
        <v>739</v>
      </c>
      <c r="K228" s="2">
        <v>45107</v>
      </c>
      <c r="L228">
        <v>13904.567708102801</v>
      </c>
      <c r="M228">
        <v>3405203.8249085201</v>
      </c>
      <c r="N228">
        <v>2436358.6785451602</v>
      </c>
      <c r="O228">
        <v>251284.332842401</v>
      </c>
      <c r="P228">
        <v>-3405203.8249085201</v>
      </c>
      <c r="Q228">
        <v>-427608.56528873497</v>
      </c>
      <c r="R228">
        <v>15578.6602879276</v>
      </c>
      <c r="S228">
        <v>896.33845151335095</v>
      </c>
      <c r="T228">
        <v>-12.9071743529859</v>
      </c>
      <c r="U228">
        <v>2392998.7444150699</v>
      </c>
      <c r="V228">
        <v>118840.662051626</v>
      </c>
    </row>
    <row r="229" spans="1:22" x14ac:dyDescent="0.3">
      <c r="A229" t="str">
        <f t="shared" si="6"/>
        <v>TELBPrevisão</v>
      </c>
      <c r="B229" t="str">
        <f t="shared" si="7"/>
        <v>TELBPrevisãoSet-2023</v>
      </c>
      <c r="C229" t="s">
        <v>661</v>
      </c>
      <c r="D229" t="s">
        <v>662</v>
      </c>
      <c r="E229" t="s">
        <v>658</v>
      </c>
      <c r="F229" t="s">
        <v>736</v>
      </c>
      <c r="G229" t="s">
        <v>737</v>
      </c>
      <c r="H229" t="s">
        <v>738</v>
      </c>
      <c r="I229" t="s">
        <v>739</v>
      </c>
      <c r="J229" t="s">
        <v>739</v>
      </c>
      <c r="K229" s="2">
        <v>45199</v>
      </c>
      <c r="L229">
        <v>27241.023133855801</v>
      </c>
      <c r="M229">
        <v>3176220.2208642401</v>
      </c>
      <c r="N229">
        <v>2675479.5710173398</v>
      </c>
      <c r="O229">
        <v>281559.13957722002</v>
      </c>
      <c r="P229">
        <v>-3176220.2208642401</v>
      </c>
      <c r="Q229">
        <v>-463750.12060607999</v>
      </c>
      <c r="R229">
        <v>15644.3252557289</v>
      </c>
      <c r="S229">
        <v>-3344.9748905347601</v>
      </c>
      <c r="T229">
        <v>-16.083108841610901</v>
      </c>
      <c r="U229">
        <v>2573167.96064085</v>
      </c>
      <c r="V229">
        <v>127468.409480464</v>
      </c>
    </row>
    <row r="230" spans="1:22" x14ac:dyDescent="0.3">
      <c r="A230" t="str">
        <f t="shared" si="6"/>
        <v>DTCYPrevisão</v>
      </c>
      <c r="B230" t="str">
        <f t="shared" si="7"/>
        <v>DTCYPrevisãoDez-2022</v>
      </c>
      <c r="C230" t="s">
        <v>663</v>
      </c>
      <c r="D230" t="s">
        <v>664</v>
      </c>
      <c r="E230" t="s">
        <v>658</v>
      </c>
      <c r="F230" t="s">
        <v>736</v>
      </c>
      <c r="G230" t="s">
        <v>737</v>
      </c>
      <c r="H230" t="s">
        <v>738</v>
      </c>
      <c r="I230" t="s">
        <v>739</v>
      </c>
      <c r="J230" t="s">
        <v>739</v>
      </c>
      <c r="K230" s="2">
        <v>44925</v>
      </c>
      <c r="L230">
        <v>-833.28707240469305</v>
      </c>
      <c r="M230">
        <v>4557.73049825614</v>
      </c>
      <c r="N230">
        <v>-286.56107291466401</v>
      </c>
      <c r="O230">
        <v>3378.1762159406298</v>
      </c>
      <c r="P230">
        <v>-4557.73049825614</v>
      </c>
      <c r="Q230">
        <v>-3401.0635769406399</v>
      </c>
      <c r="R230">
        <v>183.57830404865399</v>
      </c>
      <c r="S230">
        <v>6123.21653509729</v>
      </c>
      <c r="T230">
        <v>0</v>
      </c>
      <c r="U230">
        <v>-824.59129105707802</v>
      </c>
      <c r="V230">
        <v>1787.6220185045299</v>
      </c>
    </row>
    <row r="231" spans="1:22" x14ac:dyDescent="0.3">
      <c r="A231" t="str">
        <f t="shared" si="6"/>
        <v>DTCYPrevisão</v>
      </c>
      <c r="B231" t="str">
        <f t="shared" si="7"/>
        <v>DTCYPrevisãoMar-2023</v>
      </c>
      <c r="C231" t="s">
        <v>663</v>
      </c>
      <c r="D231" t="s">
        <v>664</v>
      </c>
      <c r="E231" t="s">
        <v>658</v>
      </c>
      <c r="F231" t="s">
        <v>736</v>
      </c>
      <c r="G231" t="s">
        <v>737</v>
      </c>
      <c r="H231" t="s">
        <v>738</v>
      </c>
      <c r="I231" t="s">
        <v>739</v>
      </c>
      <c r="J231" t="s">
        <v>739</v>
      </c>
      <c r="K231" s="2">
        <v>45015</v>
      </c>
      <c r="L231">
        <v>-794.23520005867101</v>
      </c>
      <c r="M231">
        <v>-575.70795624233494</v>
      </c>
      <c r="N231">
        <v>-2333.2712429779299</v>
      </c>
      <c r="O231">
        <v>2574.8258418842502</v>
      </c>
      <c r="P231">
        <v>575.70795624233494</v>
      </c>
      <c r="Q231">
        <v>-912.44917491358103</v>
      </c>
      <c r="R231">
        <v>-149.746061569901</v>
      </c>
      <c r="S231">
        <v>5875.8126919872602</v>
      </c>
      <c r="T231">
        <v>0</v>
      </c>
      <c r="U231">
        <v>-1502.56283249901</v>
      </c>
      <c r="V231">
        <v>1357.02399649472</v>
      </c>
    </row>
    <row r="232" spans="1:22" x14ac:dyDescent="0.3">
      <c r="A232" t="str">
        <f t="shared" si="6"/>
        <v>DTCYPrevisão</v>
      </c>
      <c r="B232" t="str">
        <f t="shared" si="7"/>
        <v>DTCYPrevisãoJun-2023</v>
      </c>
      <c r="C232" t="s">
        <v>663</v>
      </c>
      <c r="D232" t="s">
        <v>664</v>
      </c>
      <c r="E232" t="s">
        <v>658</v>
      </c>
      <c r="F232" t="s">
        <v>736</v>
      </c>
      <c r="G232" t="s">
        <v>737</v>
      </c>
      <c r="H232" t="s">
        <v>738</v>
      </c>
      <c r="I232" t="s">
        <v>739</v>
      </c>
      <c r="J232" t="s">
        <v>739</v>
      </c>
      <c r="K232" s="2">
        <v>45107</v>
      </c>
      <c r="L232">
        <v>-746.833146000233</v>
      </c>
      <c r="M232">
        <v>-6332.6488726334501</v>
      </c>
      <c r="N232">
        <v>-4615.3860139350099</v>
      </c>
      <c r="O232">
        <v>1655.1835507247899</v>
      </c>
      <c r="P232">
        <v>6332.6488726334501</v>
      </c>
      <c r="Q232">
        <v>1882.6743101985001</v>
      </c>
      <c r="R232">
        <v>-521.77527899857796</v>
      </c>
      <c r="S232">
        <v>5572.97391054131</v>
      </c>
      <c r="T232">
        <v>0</v>
      </c>
      <c r="U232">
        <v>-2273.9067943691198</v>
      </c>
      <c r="V232">
        <v>877.83579800308405</v>
      </c>
    </row>
    <row r="233" spans="1:22" x14ac:dyDescent="0.3">
      <c r="A233" t="str">
        <f t="shared" si="6"/>
        <v>DTCYPrevisão</v>
      </c>
      <c r="B233" t="str">
        <f t="shared" si="7"/>
        <v>DTCYPrevisãoSet-2023</v>
      </c>
      <c r="C233" t="s">
        <v>663</v>
      </c>
      <c r="D233" t="s">
        <v>664</v>
      </c>
      <c r="E233" t="s">
        <v>658</v>
      </c>
      <c r="F233" t="s">
        <v>736</v>
      </c>
      <c r="G233" t="s">
        <v>737</v>
      </c>
      <c r="H233" t="s">
        <v>738</v>
      </c>
      <c r="I233" t="s">
        <v>739</v>
      </c>
      <c r="J233" t="s">
        <v>739</v>
      </c>
      <c r="K233" s="2">
        <v>45199</v>
      </c>
      <c r="L233">
        <v>-690.64046268057302</v>
      </c>
      <c r="M233">
        <v>-12742.202808356</v>
      </c>
      <c r="N233">
        <v>-7143.0142408575603</v>
      </c>
      <c r="O233">
        <v>613.74359882648105</v>
      </c>
      <c r="P233">
        <v>12742.202808356</v>
      </c>
      <c r="Q233">
        <v>4998.3388554461098</v>
      </c>
      <c r="R233">
        <v>-934.24463757638603</v>
      </c>
      <c r="S233">
        <v>5211.6903260158497</v>
      </c>
      <c r="T233">
        <v>0</v>
      </c>
      <c r="U233">
        <v>-3144.0903075060401</v>
      </c>
      <c r="V233">
        <v>347.91629339623501</v>
      </c>
    </row>
    <row r="234" spans="1:22" x14ac:dyDescent="0.3">
      <c r="A234" t="str">
        <f t="shared" si="6"/>
        <v>RPMGPrevisão</v>
      </c>
      <c r="B234" t="str">
        <f t="shared" si="7"/>
        <v>RPMGPrevisãoDez-2022</v>
      </c>
      <c r="C234" t="s">
        <v>567</v>
      </c>
      <c r="D234" t="s">
        <v>568</v>
      </c>
      <c r="E234" t="s">
        <v>560</v>
      </c>
      <c r="F234" t="s">
        <v>736</v>
      </c>
      <c r="G234" t="s">
        <v>737</v>
      </c>
      <c r="H234" t="s">
        <v>738</v>
      </c>
      <c r="I234" t="s">
        <v>739</v>
      </c>
      <c r="J234" t="s">
        <v>739</v>
      </c>
      <c r="K234" s="2">
        <v>44925</v>
      </c>
      <c r="L234">
        <v>-281780.15805108199</v>
      </c>
      <c r="M234">
        <v>5668070.2566845203</v>
      </c>
      <c r="N234">
        <v>5317157.28843066</v>
      </c>
      <c r="O234">
        <v>872718.09107923205</v>
      </c>
      <c r="P234">
        <v>-5668070.2566845203</v>
      </c>
      <c r="Q234">
        <v>-8970987.4178759195</v>
      </c>
      <c r="R234">
        <v>13873.676937439899</v>
      </c>
      <c r="S234">
        <v>8619606.9962647408</v>
      </c>
      <c r="T234">
        <v>1382.00220694415</v>
      </c>
      <c r="U234">
        <v>-4020405.01909847</v>
      </c>
      <c r="V234">
        <v>1302091.37577455</v>
      </c>
    </row>
    <row r="235" spans="1:22" x14ac:dyDescent="0.3">
      <c r="A235" t="str">
        <f t="shared" si="6"/>
        <v>RPMGPrevisão</v>
      </c>
      <c r="B235" t="str">
        <f t="shared" si="7"/>
        <v>RPMGPrevisãoMar-2023</v>
      </c>
      <c r="C235" t="s">
        <v>567</v>
      </c>
      <c r="D235" t="s">
        <v>568</v>
      </c>
      <c r="E235" t="s">
        <v>560</v>
      </c>
      <c r="F235" t="s">
        <v>736</v>
      </c>
      <c r="G235" t="s">
        <v>737</v>
      </c>
      <c r="H235" t="s">
        <v>738</v>
      </c>
      <c r="I235" t="s">
        <v>739</v>
      </c>
      <c r="J235" t="s">
        <v>739</v>
      </c>
      <c r="K235" s="2">
        <v>45015</v>
      </c>
      <c r="L235">
        <v>-330765.91670737899</v>
      </c>
      <c r="M235">
        <v>6097850.1538482504</v>
      </c>
      <c r="N235">
        <v>5731103.9481805302</v>
      </c>
      <c r="O235">
        <v>814280.99956449994</v>
      </c>
      <c r="P235">
        <v>-6097850.1538482504</v>
      </c>
      <c r="Q235">
        <v>-9478559.4303811006</v>
      </c>
      <c r="R235">
        <v>15069.1423019638</v>
      </c>
      <c r="S235">
        <v>9073797.9714330994</v>
      </c>
      <c r="T235">
        <v>1931.6172765594299</v>
      </c>
      <c r="U235">
        <v>-4141218.2415088299</v>
      </c>
      <c r="V235">
        <v>1463041.06052117</v>
      </c>
    </row>
    <row r="236" spans="1:22" x14ac:dyDescent="0.3">
      <c r="A236" t="str">
        <f t="shared" si="6"/>
        <v>RPMGPrevisão</v>
      </c>
      <c r="B236" t="str">
        <f t="shared" si="7"/>
        <v>RPMGPrevisãoJun-2023</v>
      </c>
      <c r="C236" t="s">
        <v>567</v>
      </c>
      <c r="D236" t="s">
        <v>568</v>
      </c>
      <c r="E236" t="s">
        <v>560</v>
      </c>
      <c r="F236" t="s">
        <v>736</v>
      </c>
      <c r="G236" t="s">
        <v>737</v>
      </c>
      <c r="H236" t="s">
        <v>738</v>
      </c>
      <c r="I236" t="s">
        <v>739</v>
      </c>
      <c r="J236" t="s">
        <v>739</v>
      </c>
      <c r="K236" s="2">
        <v>45107</v>
      </c>
      <c r="L236">
        <v>-385583.06492951198</v>
      </c>
      <c r="M236">
        <v>6545303.13577512</v>
      </c>
      <c r="N236">
        <v>6162185.3395889997</v>
      </c>
      <c r="O236">
        <v>741190.26178168994</v>
      </c>
      <c r="P236">
        <v>-6545303.13577512</v>
      </c>
      <c r="Q236">
        <v>-9995706.1005377695</v>
      </c>
      <c r="R236">
        <v>16319.0325442623</v>
      </c>
      <c r="S236">
        <v>9532315.3243183903</v>
      </c>
      <c r="T236">
        <v>2560.92067525006</v>
      </c>
      <c r="U236">
        <v>-4262537.4196214397</v>
      </c>
      <c r="V236">
        <v>1636901.90696595</v>
      </c>
    </row>
    <row r="237" spans="1:22" x14ac:dyDescent="0.3">
      <c r="A237" t="str">
        <f t="shared" si="6"/>
        <v>RPMGPrevisão</v>
      </c>
      <c r="B237" t="str">
        <f t="shared" si="7"/>
        <v>RPMGPrevisãoSet-2023</v>
      </c>
      <c r="C237" t="s">
        <v>567</v>
      </c>
      <c r="D237" t="s">
        <v>568</v>
      </c>
      <c r="E237" t="s">
        <v>560</v>
      </c>
      <c r="F237" t="s">
        <v>736</v>
      </c>
      <c r="G237" t="s">
        <v>737</v>
      </c>
      <c r="H237" t="s">
        <v>738</v>
      </c>
      <c r="I237" t="s">
        <v>739</v>
      </c>
      <c r="J237" t="s">
        <v>739</v>
      </c>
      <c r="K237" s="2">
        <v>45199</v>
      </c>
      <c r="L237">
        <v>-446519.08762103599</v>
      </c>
      <c r="M237">
        <v>7010570.1383417901</v>
      </c>
      <c r="N237">
        <v>6610570.0881470796</v>
      </c>
      <c r="O237">
        <v>652614.22875765804</v>
      </c>
      <c r="P237">
        <v>-7010570.1383417901</v>
      </c>
      <c r="Q237">
        <v>-10522051.3815825</v>
      </c>
      <c r="R237">
        <v>17624.1023385144</v>
      </c>
      <c r="S237">
        <v>9994556.7527944893</v>
      </c>
      <c r="T237">
        <v>3274.0680629735498</v>
      </c>
      <c r="U237">
        <v>-4384359.4649250899</v>
      </c>
      <c r="V237">
        <v>1824129.4771636999</v>
      </c>
    </row>
    <row r="238" spans="1:22" x14ac:dyDescent="0.3">
      <c r="A238" t="str">
        <f t="shared" si="6"/>
        <v>PETRPrevisão</v>
      </c>
      <c r="B238" t="str">
        <f t="shared" si="7"/>
        <v>PETRPrevisãoDez-2022</v>
      </c>
      <c r="C238" t="s">
        <v>561</v>
      </c>
      <c r="D238" t="s">
        <v>562</v>
      </c>
      <c r="E238" t="s">
        <v>560</v>
      </c>
      <c r="F238" t="s">
        <v>736</v>
      </c>
      <c r="G238" t="s">
        <v>737</v>
      </c>
      <c r="H238" t="s">
        <v>738</v>
      </c>
      <c r="I238" t="s">
        <v>739</v>
      </c>
      <c r="J238" t="s">
        <v>739</v>
      </c>
      <c r="K238" s="2">
        <v>44925</v>
      </c>
      <c r="L238">
        <v>60488623.157453097</v>
      </c>
      <c r="M238">
        <v>1387040464.0263801</v>
      </c>
      <c r="N238">
        <v>218250500.34480199</v>
      </c>
      <c r="O238">
        <v>109787948.496308</v>
      </c>
      <c r="P238">
        <v>-1387040464.0263801</v>
      </c>
      <c r="Q238">
        <v>-283220910.00503701</v>
      </c>
      <c r="R238">
        <v>8696102.9559443109</v>
      </c>
      <c r="S238">
        <v>7117458.1918319101</v>
      </c>
      <c r="T238">
        <v>217072288.68184999</v>
      </c>
      <c r="U238">
        <v>462280047.98019397</v>
      </c>
      <c r="V238">
        <v>181578747.22200799</v>
      </c>
    </row>
    <row r="239" spans="1:22" x14ac:dyDescent="0.3">
      <c r="A239" t="str">
        <f t="shared" si="6"/>
        <v>PETRPrevisão</v>
      </c>
      <c r="B239" t="str">
        <f t="shared" si="7"/>
        <v>PETRPrevisãoMar-2023</v>
      </c>
      <c r="C239" t="s">
        <v>561</v>
      </c>
      <c r="D239" t="s">
        <v>562</v>
      </c>
      <c r="E239" t="s">
        <v>560</v>
      </c>
      <c r="F239" t="s">
        <v>736</v>
      </c>
      <c r="G239" t="s">
        <v>737</v>
      </c>
      <c r="H239" t="s">
        <v>738</v>
      </c>
      <c r="I239" t="s">
        <v>739</v>
      </c>
      <c r="J239" t="s">
        <v>739</v>
      </c>
      <c r="K239" s="2">
        <v>45015</v>
      </c>
      <c r="L239">
        <v>70591569.095718607</v>
      </c>
      <c r="M239">
        <v>1427799886.7771599</v>
      </c>
      <c r="N239">
        <v>232372946.02964401</v>
      </c>
      <c r="O239">
        <v>113336129.751147</v>
      </c>
      <c r="P239">
        <v>-1427799886.7771599</v>
      </c>
      <c r="Q239">
        <v>-279750574.62926698</v>
      </c>
      <c r="R239">
        <v>9037876.3185963798</v>
      </c>
      <c r="S239">
        <v>8234991.3442892795</v>
      </c>
      <c r="T239">
        <v>242034861.84546</v>
      </c>
      <c r="U239">
        <v>499322257.13192803</v>
      </c>
      <c r="V239">
        <v>202099267.14932999</v>
      </c>
    </row>
    <row r="240" spans="1:22" x14ac:dyDescent="0.3">
      <c r="A240" t="str">
        <f t="shared" si="6"/>
        <v>PETRPrevisão</v>
      </c>
      <c r="B240" t="str">
        <f t="shared" si="7"/>
        <v>PETRPrevisãoJun-2023</v>
      </c>
      <c r="C240" t="s">
        <v>561</v>
      </c>
      <c r="D240" t="s">
        <v>562</v>
      </c>
      <c r="E240" t="s">
        <v>560</v>
      </c>
      <c r="F240" t="s">
        <v>736</v>
      </c>
      <c r="G240" t="s">
        <v>737</v>
      </c>
      <c r="H240" t="s">
        <v>738</v>
      </c>
      <c r="I240" t="s">
        <v>739</v>
      </c>
      <c r="J240" t="s">
        <v>739</v>
      </c>
      <c r="K240" s="2">
        <v>45107</v>
      </c>
      <c r="L240">
        <v>81631437.232088298</v>
      </c>
      <c r="M240">
        <v>1468955022.2725301</v>
      </c>
      <c r="N240">
        <v>247296396.974132</v>
      </c>
      <c r="O240">
        <v>116723138.198863</v>
      </c>
      <c r="P240">
        <v>-1468955022.2725301</v>
      </c>
      <c r="Q240">
        <v>-274398259.30647999</v>
      </c>
      <c r="R240">
        <v>9407971.7300715409</v>
      </c>
      <c r="S240">
        <v>9439422.5080807395</v>
      </c>
      <c r="T240">
        <v>269801015.17331398</v>
      </c>
      <c r="U240">
        <v>540315505.76534402</v>
      </c>
      <c r="V240">
        <v>224638365.35221899</v>
      </c>
    </row>
    <row r="241" spans="1:22" x14ac:dyDescent="0.3">
      <c r="A241" t="str">
        <f t="shared" si="6"/>
        <v>PETRPrevisão</v>
      </c>
      <c r="B241" t="str">
        <f t="shared" si="7"/>
        <v>PETRPrevisãoSet-2023</v>
      </c>
      <c r="C241" t="s">
        <v>561</v>
      </c>
      <c r="D241" t="s">
        <v>562</v>
      </c>
      <c r="E241" t="s">
        <v>560</v>
      </c>
      <c r="F241" t="s">
        <v>736</v>
      </c>
      <c r="G241" t="s">
        <v>737</v>
      </c>
      <c r="H241" t="s">
        <v>738</v>
      </c>
      <c r="I241" t="s">
        <v>739</v>
      </c>
      <c r="J241" t="s">
        <v>739</v>
      </c>
      <c r="K241" s="2">
        <v>45199</v>
      </c>
      <c r="L241">
        <v>93645634.117436707</v>
      </c>
      <c r="M241">
        <v>1510466214.6077199</v>
      </c>
      <c r="N241">
        <v>263035785.75708899</v>
      </c>
      <c r="O241">
        <v>119931425.45073301</v>
      </c>
      <c r="P241">
        <v>-1510466214.6077199</v>
      </c>
      <c r="Q241">
        <v>-267054321.18739301</v>
      </c>
      <c r="R241">
        <v>9807935.3695622794</v>
      </c>
      <c r="S241">
        <v>10732329.571037199</v>
      </c>
      <c r="T241">
        <v>300499751.164801</v>
      </c>
      <c r="U241">
        <v>585430721.85229301</v>
      </c>
      <c r="V241">
        <v>249285318.61651501</v>
      </c>
    </row>
    <row r="242" spans="1:22" x14ac:dyDescent="0.3">
      <c r="A242" t="str">
        <f t="shared" si="6"/>
        <v>PRIOPrevisão</v>
      </c>
      <c r="B242" t="str">
        <f t="shared" si="7"/>
        <v>PRIOPrevisãoDez-2022</v>
      </c>
      <c r="C242" t="s">
        <v>558</v>
      </c>
      <c r="D242" t="s">
        <v>559</v>
      </c>
      <c r="E242" t="s">
        <v>560</v>
      </c>
      <c r="F242" t="s">
        <v>736</v>
      </c>
      <c r="G242" t="s">
        <v>737</v>
      </c>
      <c r="H242" t="s">
        <v>738</v>
      </c>
      <c r="I242" t="s">
        <v>739</v>
      </c>
      <c r="J242" t="s">
        <v>739</v>
      </c>
      <c r="K242" s="2">
        <v>44925</v>
      </c>
      <c r="L242">
        <v>812425.15414649004</v>
      </c>
      <c r="M242">
        <v>11023052.0910783</v>
      </c>
      <c r="N242">
        <v>-235332.71089068701</v>
      </c>
      <c r="O242">
        <v>204.03412273990199</v>
      </c>
      <c r="P242">
        <v>-11023052.0910783</v>
      </c>
      <c r="Q242">
        <v>-22097.5252525291</v>
      </c>
      <c r="R242">
        <v>28376.846447673601</v>
      </c>
      <c r="S242">
        <v>769.01417536729696</v>
      </c>
      <c r="T242">
        <v>270403.41176473902</v>
      </c>
      <c r="U242">
        <v>10711882.525252599</v>
      </c>
      <c r="V242">
        <v>826686.675579331</v>
      </c>
    </row>
    <row r="243" spans="1:22" x14ac:dyDescent="0.3">
      <c r="A243" t="str">
        <f t="shared" si="6"/>
        <v>PRIOPrevisão</v>
      </c>
      <c r="B243" t="str">
        <f t="shared" si="7"/>
        <v>PRIOPrevisãoMar-2023</v>
      </c>
      <c r="C243" t="s">
        <v>558</v>
      </c>
      <c r="D243" t="s">
        <v>559</v>
      </c>
      <c r="E243" t="s">
        <v>560</v>
      </c>
      <c r="F243" t="s">
        <v>736</v>
      </c>
      <c r="G243" t="s">
        <v>737</v>
      </c>
      <c r="H243" t="s">
        <v>738</v>
      </c>
      <c r="I243" t="s">
        <v>739</v>
      </c>
      <c r="J243" t="s">
        <v>739</v>
      </c>
      <c r="K243" s="2">
        <v>45015</v>
      </c>
      <c r="L243">
        <v>937430.14327237406</v>
      </c>
      <c r="M243">
        <v>12533620.5073989</v>
      </c>
      <c r="N243">
        <v>-341683.24033694202</v>
      </c>
      <c r="O243">
        <v>282.36550148303797</v>
      </c>
      <c r="P243">
        <v>-12533620.5073989</v>
      </c>
      <c r="Q243">
        <v>-22157.0723932537</v>
      </c>
      <c r="R243">
        <v>33657.975918627497</v>
      </c>
      <c r="S243">
        <v>-415.47922100834199</v>
      </c>
      <c r="T243">
        <v>320574.78696347697</v>
      </c>
      <c r="U243">
        <v>12205527.049681401</v>
      </c>
      <c r="V243">
        <v>954613.22347712901</v>
      </c>
    </row>
    <row r="244" spans="1:22" x14ac:dyDescent="0.3">
      <c r="A244" t="str">
        <f t="shared" si="6"/>
        <v>PRIOPrevisão</v>
      </c>
      <c r="B244" t="str">
        <f t="shared" si="7"/>
        <v>PRIOPrevisãoJun-2023</v>
      </c>
      <c r="C244" t="s">
        <v>558</v>
      </c>
      <c r="D244" t="s">
        <v>559</v>
      </c>
      <c r="E244" t="s">
        <v>560</v>
      </c>
      <c r="F244" t="s">
        <v>736</v>
      </c>
      <c r="G244" t="s">
        <v>737</v>
      </c>
      <c r="H244" t="s">
        <v>738</v>
      </c>
      <c r="I244" t="s">
        <v>739</v>
      </c>
      <c r="J244" t="s">
        <v>739</v>
      </c>
      <c r="K244" s="2">
        <v>45107</v>
      </c>
      <c r="L244">
        <v>1073074.34962618</v>
      </c>
      <c r="M244">
        <v>14172371.126625299</v>
      </c>
      <c r="N244">
        <v>-464818.426140461</v>
      </c>
      <c r="O244">
        <v>371.86568241664799</v>
      </c>
      <c r="P244">
        <v>-14172371.126625299</v>
      </c>
      <c r="Q244">
        <v>-22181.410224753701</v>
      </c>
      <c r="R244">
        <v>39494.636273446798</v>
      </c>
      <c r="S244">
        <v>-1706.03295974151</v>
      </c>
      <c r="T244">
        <v>375786.19504649303</v>
      </c>
      <c r="U244">
        <v>13827377.306778399</v>
      </c>
      <c r="V244">
        <v>1093490.2649397401</v>
      </c>
    </row>
    <row r="245" spans="1:22" x14ac:dyDescent="0.3">
      <c r="A245" t="str">
        <f t="shared" si="6"/>
        <v>PRIOPrevisão</v>
      </c>
      <c r="B245" t="str">
        <f t="shared" si="7"/>
        <v>PRIOPrevisãoSet-2023</v>
      </c>
      <c r="C245" t="s">
        <v>558</v>
      </c>
      <c r="D245" t="s">
        <v>559</v>
      </c>
      <c r="E245" t="s">
        <v>560</v>
      </c>
      <c r="F245" t="s">
        <v>736</v>
      </c>
      <c r="G245" t="s">
        <v>737</v>
      </c>
      <c r="H245" t="s">
        <v>738</v>
      </c>
      <c r="I245" t="s">
        <v>739</v>
      </c>
      <c r="J245" t="s">
        <v>739</v>
      </c>
      <c r="K245" s="2">
        <v>45199</v>
      </c>
      <c r="L245">
        <v>1219778.6358640101</v>
      </c>
      <c r="M245">
        <v>15943789.280871499</v>
      </c>
      <c r="N245">
        <v>-605800.71574881999</v>
      </c>
      <c r="O245">
        <v>473.09264715134401</v>
      </c>
      <c r="P245">
        <v>-15943789.280871499</v>
      </c>
      <c r="Q245">
        <v>-22169.212778721601</v>
      </c>
      <c r="R245">
        <v>45911.665626935603</v>
      </c>
      <c r="S245">
        <v>-3106.1270220583401</v>
      </c>
      <c r="T245">
        <v>436257.353237323</v>
      </c>
      <c r="U245">
        <v>15581992.271624999</v>
      </c>
      <c r="V245">
        <v>1243755.90839301</v>
      </c>
    </row>
    <row r="246" spans="1:22" x14ac:dyDescent="0.3">
      <c r="A246" t="str">
        <f t="shared" si="6"/>
        <v>OPCTPrevisão</v>
      </c>
      <c r="B246" t="str">
        <f t="shared" si="7"/>
        <v>OPCTPrevisãoDez-2022</v>
      </c>
      <c r="C246" t="s">
        <v>565</v>
      </c>
      <c r="D246" t="s">
        <v>566</v>
      </c>
      <c r="E246" t="s">
        <v>560</v>
      </c>
      <c r="F246" t="s">
        <v>736</v>
      </c>
      <c r="G246" t="s">
        <v>737</v>
      </c>
      <c r="H246" t="s">
        <v>738</v>
      </c>
      <c r="I246" t="s">
        <v>739</v>
      </c>
      <c r="J246" t="s">
        <v>739</v>
      </c>
      <c r="K246" s="2">
        <v>44925</v>
      </c>
      <c r="L246">
        <v>-47457.603174601398</v>
      </c>
      <c r="M246">
        <v>1555245.6349206199</v>
      </c>
      <c r="N246">
        <v>326730.857142833</v>
      </c>
      <c r="O246">
        <v>186237.07936507999</v>
      </c>
      <c r="P246">
        <v>-1555245.6349206199</v>
      </c>
      <c r="Q246">
        <v>-475057.98412698403</v>
      </c>
      <c r="R246">
        <v>61781.277777777497</v>
      </c>
      <c r="S246">
        <v>31097.4761904761</v>
      </c>
      <c r="T246">
        <v>4421.4285714285897</v>
      </c>
      <c r="U246">
        <v>385299.61111112399</v>
      </c>
      <c r="V246">
        <v>231025.65873015899</v>
      </c>
    </row>
    <row r="247" spans="1:22" x14ac:dyDescent="0.3">
      <c r="A247" t="str">
        <f t="shared" si="6"/>
        <v>OPCTPrevisão</v>
      </c>
      <c r="B247" t="str">
        <f t="shared" si="7"/>
        <v>OPCTPrevisãoMar-2023</v>
      </c>
      <c r="C247" t="s">
        <v>565</v>
      </c>
      <c r="D247" t="s">
        <v>566</v>
      </c>
      <c r="E247" t="s">
        <v>560</v>
      </c>
      <c r="F247" t="s">
        <v>736</v>
      </c>
      <c r="G247" t="s">
        <v>737</v>
      </c>
      <c r="H247" t="s">
        <v>738</v>
      </c>
      <c r="I247" t="s">
        <v>739</v>
      </c>
      <c r="J247" t="s">
        <v>739</v>
      </c>
      <c r="K247" s="2">
        <v>45015</v>
      </c>
      <c r="L247">
        <v>-36398.531746029403</v>
      </c>
      <c r="M247">
        <v>1108041.18253967</v>
      </c>
      <c r="N247">
        <v>361023.23809520103</v>
      </c>
      <c r="O247">
        <v>195732.79365079501</v>
      </c>
      <c r="P247">
        <v>-1108041.18253967</v>
      </c>
      <c r="Q247">
        <v>-546448.841269842</v>
      </c>
      <c r="R247">
        <v>76242.777777777301</v>
      </c>
      <c r="S247">
        <v>53419.928571428398</v>
      </c>
      <c r="T247">
        <v>10262.285714285699</v>
      </c>
      <c r="U247">
        <v>-41590.055555537801</v>
      </c>
      <c r="V247">
        <v>261499.58730158801</v>
      </c>
    </row>
    <row r="248" spans="1:22" x14ac:dyDescent="0.3">
      <c r="A248" t="str">
        <f t="shared" si="6"/>
        <v>OPCTPrevisão</v>
      </c>
      <c r="B248" t="str">
        <f t="shared" si="7"/>
        <v>OPCTPrevisãoJun-2023</v>
      </c>
      <c r="C248" t="s">
        <v>565</v>
      </c>
      <c r="D248" t="s">
        <v>566</v>
      </c>
      <c r="E248" t="s">
        <v>560</v>
      </c>
      <c r="F248" t="s">
        <v>736</v>
      </c>
      <c r="G248" t="s">
        <v>737</v>
      </c>
      <c r="H248" t="s">
        <v>738</v>
      </c>
      <c r="I248" t="s">
        <v>739</v>
      </c>
      <c r="J248" t="s">
        <v>739</v>
      </c>
      <c r="K248" s="2">
        <v>45107</v>
      </c>
      <c r="L248">
        <v>-13125.2958152928</v>
      </c>
      <c r="M248">
        <v>437684.61760459701</v>
      </c>
      <c r="N248">
        <v>455801.885281328</v>
      </c>
      <c r="O248">
        <v>197225.01659451801</v>
      </c>
      <c r="P248">
        <v>-437684.61760459701</v>
      </c>
      <c r="Q248">
        <v>-620983.93001443101</v>
      </c>
      <c r="R248">
        <v>95481.868686867994</v>
      </c>
      <c r="S248">
        <v>86203.402597402397</v>
      </c>
      <c r="T248">
        <v>18802.3896103896</v>
      </c>
      <c r="U248">
        <v>-624868.44949492801</v>
      </c>
      <c r="V248">
        <v>292473.32106782199</v>
      </c>
    </row>
    <row r="249" spans="1:22" x14ac:dyDescent="0.3">
      <c r="A249" t="str">
        <f t="shared" si="6"/>
        <v>OPCTPrevisão</v>
      </c>
      <c r="B249" t="str">
        <f t="shared" si="7"/>
        <v>OPCTPrevisãoSet-2023</v>
      </c>
      <c r="C249" t="s">
        <v>565</v>
      </c>
      <c r="D249" t="s">
        <v>566</v>
      </c>
      <c r="E249" t="s">
        <v>560</v>
      </c>
      <c r="F249" t="s">
        <v>736</v>
      </c>
      <c r="G249" t="s">
        <v>737</v>
      </c>
      <c r="H249" t="s">
        <v>738</v>
      </c>
      <c r="I249" t="s">
        <v>739</v>
      </c>
      <c r="J249" t="s">
        <v>739</v>
      </c>
      <c r="K249" s="2">
        <v>45199</v>
      </c>
      <c r="L249">
        <v>24911.917748921402</v>
      </c>
      <c r="M249">
        <v>-485239.88311691303</v>
      </c>
      <c r="N249">
        <v>627440.14718606602</v>
      </c>
      <c r="O249">
        <v>188660.268398271</v>
      </c>
      <c r="P249">
        <v>485239.88311691303</v>
      </c>
      <c r="Q249">
        <v>-697508.67965368205</v>
      </c>
      <c r="R249">
        <v>120255.606060605</v>
      </c>
      <c r="S249">
        <v>131161.82251082201</v>
      </c>
      <c r="T249">
        <v>30461.255411255501</v>
      </c>
      <c r="U249">
        <v>-1381948.99999997</v>
      </c>
      <c r="V249">
        <v>323175.50649350899</v>
      </c>
    </row>
    <row r="250" spans="1:22" x14ac:dyDescent="0.3">
      <c r="A250" t="str">
        <f t="shared" si="6"/>
        <v>RRRPPrevisão</v>
      </c>
      <c r="B250" t="str">
        <f t="shared" si="7"/>
        <v>RRRPPrevisãoDez-2022</v>
      </c>
      <c r="C250" t="s">
        <v>563</v>
      </c>
      <c r="D250" t="s">
        <v>564</v>
      </c>
      <c r="E250" t="s">
        <v>560</v>
      </c>
      <c r="F250" t="s">
        <v>736</v>
      </c>
      <c r="G250" t="s">
        <v>737</v>
      </c>
      <c r="H250" t="s">
        <v>738</v>
      </c>
      <c r="I250" t="s">
        <v>739</v>
      </c>
      <c r="J250" t="s">
        <v>739</v>
      </c>
      <c r="K250" s="2">
        <v>44925</v>
      </c>
      <c r="L250">
        <v>927748.76190475305</v>
      </c>
      <c r="M250">
        <v>6431407.5952380896</v>
      </c>
      <c r="N250">
        <v>52741.285714305399</v>
      </c>
      <c r="O250">
        <v>208440.03174601399</v>
      </c>
      <c r="P250">
        <v>-6431407.5952380896</v>
      </c>
      <c r="Q250">
        <v>-183991.17460317301</v>
      </c>
      <c r="R250">
        <v>43404.500000000196</v>
      </c>
      <c r="S250">
        <v>-43.555555555548203</v>
      </c>
      <c r="T250">
        <v>0</v>
      </c>
      <c r="U250">
        <v>4541730.1746031903</v>
      </c>
      <c r="V250">
        <v>786164.80952380504</v>
      </c>
    </row>
    <row r="251" spans="1:22" x14ac:dyDescent="0.3">
      <c r="A251" t="str">
        <f t="shared" si="6"/>
        <v>RRRPPrevisão</v>
      </c>
      <c r="B251" t="str">
        <f t="shared" si="7"/>
        <v>RRRPPrevisãoMar-2023</v>
      </c>
      <c r="C251" t="s">
        <v>563</v>
      </c>
      <c r="D251" t="s">
        <v>564</v>
      </c>
      <c r="E251" t="s">
        <v>560</v>
      </c>
      <c r="F251" t="s">
        <v>736</v>
      </c>
      <c r="G251" t="s">
        <v>737</v>
      </c>
      <c r="H251" t="s">
        <v>738</v>
      </c>
      <c r="I251" t="s">
        <v>739</v>
      </c>
      <c r="J251" t="s">
        <v>739</v>
      </c>
      <c r="K251" s="2">
        <v>45015</v>
      </c>
      <c r="L251">
        <v>1727306.6190476001</v>
      </c>
      <c r="M251">
        <v>7647315.4523809496</v>
      </c>
      <c r="N251">
        <v>-598446.80952378595</v>
      </c>
      <c r="O251">
        <v>542378.98412695597</v>
      </c>
      <c r="P251">
        <v>-7647315.4523809496</v>
      </c>
      <c r="Q251">
        <v>-281682.07936507702</v>
      </c>
      <c r="R251">
        <v>56910.166666667101</v>
      </c>
      <c r="S251">
        <v>-108.888888888878</v>
      </c>
      <c r="T251">
        <v>0</v>
      </c>
      <c r="U251">
        <v>4387104.2460317696</v>
      </c>
      <c r="V251">
        <v>1406418.09523808</v>
      </c>
    </row>
    <row r="252" spans="1:22" x14ac:dyDescent="0.3">
      <c r="A252" t="str">
        <f t="shared" si="6"/>
        <v>RRRPPrevisão</v>
      </c>
      <c r="B252" t="str">
        <f t="shared" si="7"/>
        <v>RRRPPrevisãoJun-2023</v>
      </c>
      <c r="C252" t="s">
        <v>563</v>
      </c>
      <c r="D252" t="s">
        <v>564</v>
      </c>
      <c r="E252" t="s">
        <v>560</v>
      </c>
      <c r="F252" t="s">
        <v>736</v>
      </c>
      <c r="G252" t="s">
        <v>737</v>
      </c>
      <c r="H252" t="s">
        <v>738</v>
      </c>
      <c r="I252" t="s">
        <v>739</v>
      </c>
      <c r="J252" t="s">
        <v>739</v>
      </c>
      <c r="K252" s="2">
        <v>45107</v>
      </c>
      <c r="L252">
        <v>2832090.7380952099</v>
      </c>
      <c r="M252">
        <v>8939479.4956709892</v>
      </c>
      <c r="N252">
        <v>-1433560.55844153</v>
      </c>
      <c r="O252">
        <v>1072820.4126983599</v>
      </c>
      <c r="P252">
        <v>-8939479.4956709892</v>
      </c>
      <c r="Q252">
        <v>-409419.95165944798</v>
      </c>
      <c r="R252">
        <v>72090.636363636993</v>
      </c>
      <c r="S252">
        <v>-209.85858585857</v>
      </c>
      <c r="T252">
        <v>0</v>
      </c>
      <c r="U252">
        <v>3814264.6486291899</v>
      </c>
      <c r="V252">
        <v>2258492.6147186002</v>
      </c>
    </row>
    <row r="253" spans="1:22" x14ac:dyDescent="0.3">
      <c r="A253" t="str">
        <f t="shared" si="6"/>
        <v>RRRPPrevisão</v>
      </c>
      <c r="B253" t="str">
        <f t="shared" si="7"/>
        <v>RRRPPrevisãoSet-2023</v>
      </c>
      <c r="C253" t="s">
        <v>563</v>
      </c>
      <c r="D253" t="s">
        <v>564</v>
      </c>
      <c r="E253" t="s">
        <v>560</v>
      </c>
      <c r="F253" t="s">
        <v>736</v>
      </c>
      <c r="G253" t="s">
        <v>737</v>
      </c>
      <c r="H253" t="s">
        <v>738</v>
      </c>
      <c r="I253" t="s">
        <v>739</v>
      </c>
      <c r="J253" t="s">
        <v>739</v>
      </c>
      <c r="K253" s="2">
        <v>45199</v>
      </c>
      <c r="L253">
        <v>4287854.7705627298</v>
      </c>
      <c r="M253">
        <v>10299838.9220779</v>
      </c>
      <c r="N253">
        <v>-2465629.7489177198</v>
      </c>
      <c r="O253">
        <v>1836985.8528137901</v>
      </c>
      <c r="P253">
        <v>-10299838.9220779</v>
      </c>
      <c r="Q253">
        <v>-571194.64502164</v>
      </c>
      <c r="R253">
        <v>88919.454545455505</v>
      </c>
      <c r="S253">
        <v>-353.39393939391698</v>
      </c>
      <c r="T253">
        <v>0</v>
      </c>
      <c r="U253">
        <v>2743689.7359307902</v>
      </c>
      <c r="V253">
        <v>3377010.3679653401</v>
      </c>
    </row>
    <row r="254" spans="1:22" x14ac:dyDescent="0.3">
      <c r="A254" t="str">
        <f t="shared" si="6"/>
        <v>WIZSPrevisão</v>
      </c>
      <c r="B254" t="str">
        <f t="shared" si="7"/>
        <v>WIZSPrevisãoDez-2018</v>
      </c>
      <c r="C254" t="s">
        <v>707</v>
      </c>
      <c r="D254" t="s">
        <v>603</v>
      </c>
      <c r="E254" t="s">
        <v>599</v>
      </c>
      <c r="F254" t="s">
        <v>736</v>
      </c>
      <c r="G254" t="s">
        <v>737</v>
      </c>
      <c r="H254" t="s">
        <v>738</v>
      </c>
      <c r="I254" t="s">
        <v>739</v>
      </c>
      <c r="J254" t="s">
        <v>739</v>
      </c>
      <c r="K254" s="2">
        <v>43464</v>
      </c>
      <c r="L254">
        <v>62380.500000000102</v>
      </c>
      <c r="M254">
        <v>1028737.1429516</v>
      </c>
      <c r="N254">
        <v>108803.78129121401</v>
      </c>
      <c r="O254">
        <v>55276.364953886397</v>
      </c>
      <c r="P254">
        <v>-1028737.1429516</v>
      </c>
      <c r="Q254">
        <v>-273215.56916999398</v>
      </c>
      <c r="R254">
        <v>19439.127140974699</v>
      </c>
      <c r="S254">
        <v>36147.908432138101</v>
      </c>
      <c r="T254">
        <v>50895.596838010999</v>
      </c>
      <c r="U254">
        <v>297987.77338614198</v>
      </c>
      <c r="V254">
        <v>158979.210803686</v>
      </c>
    </row>
    <row r="255" spans="1:22" x14ac:dyDescent="0.3">
      <c r="A255" t="str">
        <f t="shared" si="6"/>
        <v>WIZSPrevisão</v>
      </c>
      <c r="B255" t="str">
        <f t="shared" si="7"/>
        <v>WIZSPrevisãoMar-2019</v>
      </c>
      <c r="C255" t="s">
        <v>707</v>
      </c>
      <c r="D255" t="s">
        <v>603</v>
      </c>
      <c r="E255" t="s">
        <v>599</v>
      </c>
      <c r="F255" t="s">
        <v>736</v>
      </c>
      <c r="G255" t="s">
        <v>737</v>
      </c>
      <c r="H255" t="s">
        <v>738</v>
      </c>
      <c r="I255" t="s">
        <v>739</v>
      </c>
      <c r="J255" t="s">
        <v>739</v>
      </c>
      <c r="K255" s="2">
        <v>43554</v>
      </c>
      <c r="L255">
        <v>71947.848221344</v>
      </c>
      <c r="M255">
        <v>1329504.64413742</v>
      </c>
      <c r="N255">
        <v>134845.01172600401</v>
      </c>
      <c r="O255">
        <v>65728.044795783499</v>
      </c>
      <c r="P255">
        <v>-1329504.64413742</v>
      </c>
      <c r="Q255">
        <v>-354909.77114628401</v>
      </c>
      <c r="R255">
        <v>22806.629117259301</v>
      </c>
      <c r="S255">
        <v>46001.944795772899</v>
      </c>
      <c r="T255">
        <v>81414.765217469598</v>
      </c>
      <c r="U255">
        <v>383172.31963121903</v>
      </c>
      <c r="V255">
        <v>179283.49064558299</v>
      </c>
    </row>
    <row r="256" spans="1:22" x14ac:dyDescent="0.3">
      <c r="A256" t="str">
        <f t="shared" si="6"/>
        <v>WIZSPrevisão</v>
      </c>
      <c r="B256" t="str">
        <f t="shared" si="7"/>
        <v>WIZSPrevisãoJun-2019</v>
      </c>
      <c r="C256" t="s">
        <v>707</v>
      </c>
      <c r="D256" t="s">
        <v>603</v>
      </c>
      <c r="E256" t="s">
        <v>599</v>
      </c>
      <c r="F256" t="s">
        <v>736</v>
      </c>
      <c r="G256" t="s">
        <v>737</v>
      </c>
      <c r="H256" t="s">
        <v>738</v>
      </c>
      <c r="I256" t="s">
        <v>739</v>
      </c>
      <c r="J256" t="s">
        <v>739</v>
      </c>
      <c r="K256" s="2">
        <v>43646</v>
      </c>
      <c r="L256">
        <v>83097.477166312106</v>
      </c>
      <c r="M256">
        <v>1693941.7094765001</v>
      </c>
      <c r="N256">
        <v>169316.298287276</v>
      </c>
      <c r="O256">
        <v>77752.788790918697</v>
      </c>
      <c r="P256">
        <v>-1693941.7094765001</v>
      </c>
      <c r="Q256">
        <v>-453314.66856191697</v>
      </c>
      <c r="R256">
        <v>26838.545596432199</v>
      </c>
      <c r="S256">
        <v>57724.0981554549</v>
      </c>
      <c r="T256">
        <v>121355.794557706</v>
      </c>
      <c r="U256">
        <v>487791.774663163</v>
      </c>
      <c r="V256">
        <v>202498.68237559099</v>
      </c>
    </row>
    <row r="257" spans="1:22" x14ac:dyDescent="0.3">
      <c r="A257" t="str">
        <f t="shared" si="6"/>
        <v>WIZSPrevisão</v>
      </c>
      <c r="B257" t="str">
        <f t="shared" si="7"/>
        <v>WIZSPrevisãoSet-2019</v>
      </c>
      <c r="C257" t="s">
        <v>707</v>
      </c>
      <c r="D257" t="s">
        <v>603</v>
      </c>
      <c r="E257" t="s">
        <v>599</v>
      </c>
      <c r="F257" t="s">
        <v>736</v>
      </c>
      <c r="G257" t="s">
        <v>737</v>
      </c>
      <c r="H257" t="s">
        <v>738</v>
      </c>
      <c r="I257" t="s">
        <v>739</v>
      </c>
      <c r="J257" t="s">
        <v>739</v>
      </c>
      <c r="K257" s="2">
        <v>43738</v>
      </c>
      <c r="L257">
        <v>95926.482585047997</v>
      </c>
      <c r="M257">
        <v>2126892.6366254198</v>
      </c>
      <c r="N257">
        <v>212953.00721716401</v>
      </c>
      <c r="O257">
        <v>91437.114295687497</v>
      </c>
      <c r="P257">
        <v>-2126892.6366254198</v>
      </c>
      <c r="Q257">
        <v>-569633.16165675095</v>
      </c>
      <c r="R257">
        <v>31582.480633536801</v>
      </c>
      <c r="S257">
        <v>71443.6752395605</v>
      </c>
      <c r="T257">
        <v>171548.85120107699</v>
      </c>
      <c r="U257">
        <v>613363.486660528</v>
      </c>
      <c r="V257">
        <v>228784.425994613</v>
      </c>
    </row>
    <row r="258" spans="1:22" x14ac:dyDescent="0.3">
      <c r="A258" t="str">
        <f t="shared" ref="A258:A321" si="8">_xlfn.CONCAT(D258,F258)</f>
        <v>QUALPrevisão</v>
      </c>
      <c r="B258" t="str">
        <f t="shared" ref="B258:B321" si="9">_xlfn.CONCAT(D258,F258,PROPER(TEXT(K258,"mmm-aaaa")))</f>
        <v>QUALPrevisãoDez-2022</v>
      </c>
      <c r="C258" t="s">
        <v>600</v>
      </c>
      <c r="D258" t="s">
        <v>601</v>
      </c>
      <c r="E258" t="s">
        <v>599</v>
      </c>
      <c r="F258" t="s">
        <v>736</v>
      </c>
      <c r="G258" t="s">
        <v>737</v>
      </c>
      <c r="H258" t="s">
        <v>738</v>
      </c>
      <c r="I258" t="s">
        <v>739</v>
      </c>
      <c r="J258" t="s">
        <v>739</v>
      </c>
      <c r="K258" s="2">
        <v>44925</v>
      </c>
      <c r="L258">
        <v>40286.303200066002</v>
      </c>
      <c r="M258">
        <v>4576239.1089044902</v>
      </c>
      <c r="N258">
        <v>609280.76097103499</v>
      </c>
      <c r="O258">
        <v>94526.944996173203</v>
      </c>
      <c r="P258">
        <v>-4576239.1089044902</v>
      </c>
      <c r="Q258">
        <v>-1447656.3503946699</v>
      </c>
      <c r="R258">
        <v>60201.814362105302</v>
      </c>
      <c r="S258">
        <v>30587.326542735598</v>
      </c>
      <c r="T258">
        <v>504501.15423129301</v>
      </c>
      <c r="U258">
        <v>1181871.25880663</v>
      </c>
      <c r="V258">
        <v>181416.33630420899</v>
      </c>
    </row>
    <row r="259" spans="1:22" x14ac:dyDescent="0.3">
      <c r="A259" t="str">
        <f t="shared" si="8"/>
        <v>QUALPrevisão</v>
      </c>
      <c r="B259" t="str">
        <f t="shared" si="9"/>
        <v>QUALPrevisãoMar-2023</v>
      </c>
      <c r="C259" t="s">
        <v>600</v>
      </c>
      <c r="D259" t="s">
        <v>601</v>
      </c>
      <c r="E259" t="s">
        <v>599</v>
      </c>
      <c r="F259" t="s">
        <v>736</v>
      </c>
      <c r="G259" t="s">
        <v>737</v>
      </c>
      <c r="H259" t="s">
        <v>738</v>
      </c>
      <c r="I259" t="s">
        <v>739</v>
      </c>
      <c r="J259" t="s">
        <v>739</v>
      </c>
      <c r="K259" s="2">
        <v>45015</v>
      </c>
      <c r="L259">
        <v>24795.377990671401</v>
      </c>
      <c r="M259">
        <v>4919493.6176142003</v>
      </c>
      <c r="N259">
        <v>668762.98248666304</v>
      </c>
      <c r="O259">
        <v>104023.72479506901</v>
      </c>
      <c r="P259">
        <v>-4919493.6176142003</v>
      </c>
      <c r="Q259">
        <v>-1639709.1532632399</v>
      </c>
      <c r="R259">
        <v>68074.521132282694</v>
      </c>
      <c r="S259">
        <v>31494.431085780099</v>
      </c>
      <c r="T259">
        <v>517135.55083414097</v>
      </c>
      <c r="U259">
        <v>1058472.70825227</v>
      </c>
      <c r="V259">
        <v>185757.75266633401</v>
      </c>
    </row>
    <row r="260" spans="1:22" x14ac:dyDescent="0.3">
      <c r="A260" t="str">
        <f t="shared" si="8"/>
        <v>QUALPrevisão</v>
      </c>
      <c r="B260" t="str">
        <f t="shared" si="9"/>
        <v>QUALPrevisãoJun-2023</v>
      </c>
      <c r="C260" t="s">
        <v>600</v>
      </c>
      <c r="D260" t="s">
        <v>601</v>
      </c>
      <c r="E260" t="s">
        <v>599</v>
      </c>
      <c r="F260" t="s">
        <v>736</v>
      </c>
      <c r="G260" t="s">
        <v>737</v>
      </c>
      <c r="H260" t="s">
        <v>738</v>
      </c>
      <c r="I260" t="s">
        <v>739</v>
      </c>
      <c r="J260" t="s">
        <v>739</v>
      </c>
      <c r="K260" s="2">
        <v>45107</v>
      </c>
      <c r="L260">
        <v>7538.4904321321901</v>
      </c>
      <c r="M260">
        <v>5296027.0585804898</v>
      </c>
      <c r="N260">
        <v>732415.07501926005</v>
      </c>
      <c r="O260">
        <v>114065.451718967</v>
      </c>
      <c r="P260">
        <v>-5296027.0585804898</v>
      </c>
      <c r="Q260">
        <v>-1847786.37988487</v>
      </c>
      <c r="R260">
        <v>76592.005848191504</v>
      </c>
      <c r="S260">
        <v>32273.483639840601</v>
      </c>
      <c r="T260">
        <v>527779.12154402805</v>
      </c>
      <c r="U260">
        <v>927652.64445862104</v>
      </c>
      <c r="V260">
        <v>190066.59339549</v>
      </c>
    </row>
    <row r="261" spans="1:22" x14ac:dyDescent="0.3">
      <c r="A261" t="str">
        <f t="shared" si="8"/>
        <v>QUALPrevisão</v>
      </c>
      <c r="B261" t="str">
        <f t="shared" si="9"/>
        <v>QUALPrevisãoSet-2023</v>
      </c>
      <c r="C261" t="s">
        <v>600</v>
      </c>
      <c r="D261" t="s">
        <v>601</v>
      </c>
      <c r="E261" t="s">
        <v>599</v>
      </c>
      <c r="F261" t="s">
        <v>736</v>
      </c>
      <c r="G261" t="s">
        <v>737</v>
      </c>
      <c r="H261" t="s">
        <v>738</v>
      </c>
      <c r="I261" t="s">
        <v>739</v>
      </c>
      <c r="J261" t="s">
        <v>739</v>
      </c>
      <c r="K261" s="2">
        <v>45199</v>
      </c>
      <c r="L261">
        <v>-11550.870937694801</v>
      </c>
      <c r="M261">
        <v>5707367.1777959401</v>
      </c>
      <c r="N261">
        <v>800378.21354256105</v>
      </c>
      <c r="O261">
        <v>124665.27919603699</v>
      </c>
      <c r="P261">
        <v>-5707367.1777959401</v>
      </c>
      <c r="Q261">
        <v>-2072509.1306557099</v>
      </c>
      <c r="R261">
        <v>85778.910913672502</v>
      </c>
      <c r="S261">
        <v>32913.438631620702</v>
      </c>
      <c r="T261">
        <v>536275.32414483197</v>
      </c>
      <c r="U261">
        <v>789294.67621217296</v>
      </c>
      <c r="V261">
        <v>194346.68497123499</v>
      </c>
    </row>
    <row r="262" spans="1:22" x14ac:dyDescent="0.3">
      <c r="A262" t="str">
        <f t="shared" si="8"/>
        <v>PSSAPrevisão</v>
      </c>
      <c r="B262" t="str">
        <f t="shared" si="9"/>
        <v>PSSAPrevisãoDez-2022</v>
      </c>
      <c r="C262" t="s">
        <v>597</v>
      </c>
      <c r="D262" t="s">
        <v>598</v>
      </c>
      <c r="E262" t="s">
        <v>599</v>
      </c>
      <c r="F262" t="s">
        <v>736</v>
      </c>
      <c r="G262" t="s">
        <v>737</v>
      </c>
      <c r="H262" t="s">
        <v>738</v>
      </c>
      <c r="I262" t="s">
        <v>739</v>
      </c>
      <c r="J262" t="s">
        <v>739</v>
      </c>
      <c r="K262" s="2">
        <v>44925</v>
      </c>
      <c r="L262">
        <v>169939.27875392701</v>
      </c>
      <c r="M262">
        <v>11446387.5536016</v>
      </c>
      <c r="N262">
        <v>920815.85417213303</v>
      </c>
      <c r="O262">
        <v>24414.816399343999</v>
      </c>
      <c r="P262">
        <v>-11446387.5536016</v>
      </c>
      <c r="Q262">
        <v>-920830.78592644096</v>
      </c>
      <c r="R262">
        <v>0</v>
      </c>
      <c r="S262">
        <v>-317.270095919683</v>
      </c>
      <c r="T262">
        <v>1125936.8199642501</v>
      </c>
      <c r="U262">
        <v>9890614.1476957891</v>
      </c>
      <c r="V262">
        <v>179435.06230370401</v>
      </c>
    </row>
    <row r="263" spans="1:22" x14ac:dyDescent="0.3">
      <c r="A263" t="str">
        <f t="shared" si="8"/>
        <v>PSSAPrevisão</v>
      </c>
      <c r="B263" t="str">
        <f t="shared" si="9"/>
        <v>PSSAPrevisãoMar-2023</v>
      </c>
      <c r="C263" t="s">
        <v>597</v>
      </c>
      <c r="D263" t="s">
        <v>598</v>
      </c>
      <c r="E263" t="s">
        <v>599</v>
      </c>
      <c r="F263" t="s">
        <v>736</v>
      </c>
      <c r="G263" t="s">
        <v>737</v>
      </c>
      <c r="H263" t="s">
        <v>738</v>
      </c>
      <c r="I263" t="s">
        <v>739</v>
      </c>
      <c r="J263" t="s">
        <v>739</v>
      </c>
      <c r="K263" s="2">
        <v>45015</v>
      </c>
      <c r="L263">
        <v>125978.289669345</v>
      </c>
      <c r="M263">
        <v>11787457.7670648</v>
      </c>
      <c r="N263">
        <v>748893.05511636694</v>
      </c>
      <c r="O263">
        <v>36537.369768622702</v>
      </c>
      <c r="P263">
        <v>-11787457.7670648</v>
      </c>
      <c r="Q263">
        <v>-1003439.25393379</v>
      </c>
      <c r="R263">
        <v>0</v>
      </c>
      <c r="S263">
        <v>-2338.6859556302602</v>
      </c>
      <c r="T263">
        <v>571958.40136535198</v>
      </c>
      <c r="U263">
        <v>10074773.8752851</v>
      </c>
      <c r="V263">
        <v>143602.12505705599</v>
      </c>
    </row>
    <row r="264" spans="1:22" x14ac:dyDescent="0.3">
      <c r="A264" t="str">
        <f t="shared" si="8"/>
        <v>PSSAPrevisão</v>
      </c>
      <c r="B264" t="str">
        <f t="shared" si="9"/>
        <v>PSSAPrevisãoJun-2023</v>
      </c>
      <c r="C264" t="s">
        <v>597</v>
      </c>
      <c r="D264" t="s">
        <v>598</v>
      </c>
      <c r="E264" t="s">
        <v>599</v>
      </c>
      <c r="F264" t="s">
        <v>736</v>
      </c>
      <c r="G264" t="s">
        <v>737</v>
      </c>
      <c r="H264" t="s">
        <v>738</v>
      </c>
      <c r="I264" t="s">
        <v>739</v>
      </c>
      <c r="J264" t="s">
        <v>739</v>
      </c>
      <c r="K264" s="2">
        <v>45107</v>
      </c>
      <c r="L264">
        <v>76352.457365644601</v>
      </c>
      <c r="M264">
        <v>12145205.1939792</v>
      </c>
      <c r="N264">
        <v>551336.42375399999</v>
      </c>
      <c r="O264">
        <v>50721.9347393895</v>
      </c>
      <c r="P264">
        <v>-12145205.1939792</v>
      </c>
      <c r="Q264">
        <v>-1092210.47649556</v>
      </c>
      <c r="R264">
        <v>0</v>
      </c>
      <c r="S264">
        <v>-4614.7261055070103</v>
      </c>
      <c r="T264">
        <v>-41292.120935507097</v>
      </c>
      <c r="U264">
        <v>10261659.5992519</v>
      </c>
      <c r="V264">
        <v>102950.676700649</v>
      </c>
    </row>
    <row r="265" spans="1:22" x14ac:dyDescent="0.3">
      <c r="A265" t="str">
        <f t="shared" si="8"/>
        <v>PSSAPrevisão</v>
      </c>
      <c r="B265" t="str">
        <f t="shared" si="9"/>
        <v>PSSAPrevisãoSet-2023</v>
      </c>
      <c r="C265" t="s">
        <v>597</v>
      </c>
      <c r="D265" t="s">
        <v>598</v>
      </c>
      <c r="E265" t="s">
        <v>599</v>
      </c>
      <c r="F265" t="s">
        <v>736</v>
      </c>
      <c r="G265" t="s">
        <v>737</v>
      </c>
      <c r="H265" t="s">
        <v>738</v>
      </c>
      <c r="I265" t="s">
        <v>739</v>
      </c>
      <c r="J265" t="s">
        <v>739</v>
      </c>
      <c r="K265" s="2">
        <v>45199</v>
      </c>
      <c r="L265">
        <v>20803.459285882702</v>
      </c>
      <c r="M265">
        <v>12520290.199731899</v>
      </c>
      <c r="N265">
        <v>326852.32363784802</v>
      </c>
      <c r="O265">
        <v>67072.425546323706</v>
      </c>
      <c r="P265">
        <v>-12520290.199731899</v>
      </c>
      <c r="Q265">
        <v>-1187376.48688817</v>
      </c>
      <c r="R265">
        <v>0</v>
      </c>
      <c r="S265">
        <v>-7157.2515596741096</v>
      </c>
      <c r="T265">
        <v>-716198.40592755505</v>
      </c>
      <c r="U265">
        <v>10451361.2258486</v>
      </c>
      <c r="V265">
        <v>57257.1527760229</v>
      </c>
    </row>
    <row r="266" spans="1:22" x14ac:dyDescent="0.3">
      <c r="A266" t="str">
        <f t="shared" si="8"/>
        <v>IRBRPrevisão</v>
      </c>
      <c r="B266" t="str">
        <f t="shared" si="9"/>
        <v>IRBRPrevisãoDez-2022</v>
      </c>
      <c r="C266" t="s">
        <v>606</v>
      </c>
      <c r="D266" t="s">
        <v>607</v>
      </c>
      <c r="E266" t="s">
        <v>599</v>
      </c>
      <c r="F266" t="s">
        <v>736</v>
      </c>
      <c r="G266" t="s">
        <v>737</v>
      </c>
      <c r="H266" t="s">
        <v>738</v>
      </c>
      <c r="I266" t="s">
        <v>739</v>
      </c>
      <c r="J266" t="s">
        <v>739</v>
      </c>
      <c r="K266" s="2">
        <v>44925</v>
      </c>
      <c r="L266">
        <v>-133729.65032677099</v>
      </c>
      <c r="M266">
        <v>20575757.629084799</v>
      </c>
      <c r="N266">
        <v>11175093.522875801</v>
      </c>
      <c r="O266">
        <v>0</v>
      </c>
      <c r="P266">
        <v>-20575757.629084799</v>
      </c>
      <c r="Q266">
        <v>-15288117.2091504</v>
      </c>
      <c r="R266">
        <v>0</v>
      </c>
      <c r="S266">
        <v>0</v>
      </c>
      <c r="T266">
        <v>-873154.94934640301</v>
      </c>
      <c r="U266">
        <v>3550790.6895425599</v>
      </c>
      <c r="V266">
        <v>0</v>
      </c>
    </row>
    <row r="267" spans="1:22" x14ac:dyDescent="0.3">
      <c r="A267" t="str">
        <f t="shared" si="8"/>
        <v>IRBRPrevisão</v>
      </c>
      <c r="B267" t="str">
        <f t="shared" si="9"/>
        <v>IRBRPrevisãoMar-2023</v>
      </c>
      <c r="C267" t="s">
        <v>606</v>
      </c>
      <c r="D267" t="s">
        <v>607</v>
      </c>
      <c r="E267" t="s">
        <v>599</v>
      </c>
      <c r="F267" t="s">
        <v>736</v>
      </c>
      <c r="G267" t="s">
        <v>737</v>
      </c>
      <c r="H267" t="s">
        <v>738</v>
      </c>
      <c r="I267" t="s">
        <v>739</v>
      </c>
      <c r="J267" t="s">
        <v>739</v>
      </c>
      <c r="K267" s="2">
        <v>45015</v>
      </c>
      <c r="L267">
        <v>-29152.631234923101</v>
      </c>
      <c r="M267">
        <v>18931080.501375802</v>
      </c>
      <c r="N267">
        <v>9113597.4266426396</v>
      </c>
      <c r="O267">
        <v>0</v>
      </c>
      <c r="P267">
        <v>-18931080.501375802</v>
      </c>
      <c r="Q267">
        <v>-13797615.3476953</v>
      </c>
      <c r="R267">
        <v>0</v>
      </c>
      <c r="S267">
        <v>0</v>
      </c>
      <c r="T267">
        <v>-1554104.0344857201</v>
      </c>
      <c r="U267">
        <v>3362782.1547128502</v>
      </c>
      <c r="V267">
        <v>0</v>
      </c>
    </row>
    <row r="268" spans="1:22" x14ac:dyDescent="0.3">
      <c r="A268" t="str">
        <f t="shared" si="8"/>
        <v>IRBRPrevisão</v>
      </c>
      <c r="B268" t="str">
        <f t="shared" si="9"/>
        <v>IRBRPrevisãoJun-2023</v>
      </c>
      <c r="C268" t="s">
        <v>606</v>
      </c>
      <c r="D268" t="s">
        <v>607</v>
      </c>
      <c r="E268" t="s">
        <v>599</v>
      </c>
      <c r="F268" t="s">
        <v>736</v>
      </c>
      <c r="G268" t="s">
        <v>737</v>
      </c>
      <c r="H268" t="s">
        <v>738</v>
      </c>
      <c r="I268" t="s">
        <v>739</v>
      </c>
      <c r="J268" t="s">
        <v>739</v>
      </c>
      <c r="K268" s="2">
        <v>45107</v>
      </c>
      <c r="L268">
        <v>115296.57309944301</v>
      </c>
      <c r="M268">
        <v>16742825.8233572</v>
      </c>
      <c r="N268">
        <v>6502877.1121431999</v>
      </c>
      <c r="O268">
        <v>0</v>
      </c>
      <c r="P268">
        <v>-16742825.8233572</v>
      </c>
      <c r="Q268">
        <v>-11806623.3825252</v>
      </c>
      <c r="R268">
        <v>0</v>
      </c>
      <c r="S268">
        <v>0</v>
      </c>
      <c r="T268">
        <v>-2338374.0940832598</v>
      </c>
      <c r="U268">
        <v>3138634.1203991398</v>
      </c>
      <c r="V268">
        <v>0</v>
      </c>
    </row>
    <row r="269" spans="1:22" x14ac:dyDescent="0.3">
      <c r="A269" t="str">
        <f t="shared" si="8"/>
        <v>IRBRPrevisão</v>
      </c>
      <c r="B269" t="str">
        <f t="shared" si="9"/>
        <v>IRBRPrevisãoSet-2023</v>
      </c>
      <c r="C269" t="s">
        <v>606</v>
      </c>
      <c r="D269" t="s">
        <v>607</v>
      </c>
      <c r="E269" t="s">
        <v>599</v>
      </c>
      <c r="F269" t="s">
        <v>736</v>
      </c>
      <c r="G269" t="s">
        <v>737</v>
      </c>
      <c r="H269" t="s">
        <v>738</v>
      </c>
      <c r="I269" t="s">
        <v>739</v>
      </c>
      <c r="J269" t="s">
        <v>739</v>
      </c>
      <c r="K269" s="2">
        <v>45199</v>
      </c>
      <c r="L269">
        <v>303680.753353999</v>
      </c>
      <c r="M269">
        <v>13961071.9711041</v>
      </c>
      <c r="N269">
        <v>3295809.1790506998</v>
      </c>
      <c r="O269">
        <v>0</v>
      </c>
      <c r="P269">
        <v>-13961071.9711041</v>
      </c>
      <c r="Q269">
        <v>-9268254.6547991093</v>
      </c>
      <c r="R269">
        <v>0</v>
      </c>
      <c r="S269">
        <v>0</v>
      </c>
      <c r="T269">
        <v>-3232164.1831785599</v>
      </c>
      <c r="U269">
        <v>2876261.5278639002</v>
      </c>
      <c r="V269">
        <v>0</v>
      </c>
    </row>
    <row r="270" spans="1:22" x14ac:dyDescent="0.3">
      <c r="A270" t="str">
        <f t="shared" si="8"/>
        <v>CSABPrevisão</v>
      </c>
      <c r="B270" t="str">
        <f t="shared" si="9"/>
        <v>CSABPrevisãoDez-2022</v>
      </c>
      <c r="C270" t="s">
        <v>604</v>
      </c>
      <c r="D270" t="s">
        <v>605</v>
      </c>
      <c r="E270" t="s">
        <v>599</v>
      </c>
      <c r="F270" t="s">
        <v>736</v>
      </c>
      <c r="G270" t="s">
        <v>737</v>
      </c>
      <c r="H270" t="s">
        <v>738</v>
      </c>
      <c r="I270" t="s">
        <v>739</v>
      </c>
      <c r="J270" t="s">
        <v>739</v>
      </c>
      <c r="K270" s="2">
        <v>44925</v>
      </c>
      <c r="L270">
        <v>8435.2235803386502</v>
      </c>
      <c r="M270">
        <v>325171.45259313099</v>
      </c>
      <c r="N270">
        <v>7465.5574229622398</v>
      </c>
      <c r="O270">
        <v>0</v>
      </c>
      <c r="P270">
        <v>-325171.45259313099</v>
      </c>
      <c r="Q270">
        <v>35141.396146325998</v>
      </c>
      <c r="R270">
        <v>0</v>
      </c>
      <c r="S270">
        <v>0</v>
      </c>
      <c r="T270">
        <v>94297.146676853401</v>
      </c>
      <c r="U270">
        <v>182296.19590866301</v>
      </c>
      <c r="V270">
        <v>0</v>
      </c>
    </row>
    <row r="271" spans="1:22" x14ac:dyDescent="0.3">
      <c r="A271" t="str">
        <f t="shared" si="8"/>
        <v>CSABPrevisão</v>
      </c>
      <c r="B271" t="str">
        <f t="shared" si="9"/>
        <v>CSABPrevisãoMar-2023</v>
      </c>
      <c r="C271" t="s">
        <v>604</v>
      </c>
      <c r="D271" t="s">
        <v>605</v>
      </c>
      <c r="E271" t="s">
        <v>599</v>
      </c>
      <c r="F271" t="s">
        <v>736</v>
      </c>
      <c r="G271" t="s">
        <v>737</v>
      </c>
      <c r="H271" t="s">
        <v>738</v>
      </c>
      <c r="I271" t="s">
        <v>739</v>
      </c>
      <c r="J271" t="s">
        <v>739</v>
      </c>
      <c r="K271" s="2">
        <v>45015</v>
      </c>
      <c r="L271">
        <v>8779.20252031786</v>
      </c>
      <c r="M271">
        <v>307098.11932862201</v>
      </c>
      <c r="N271">
        <v>-11747.940570827899</v>
      </c>
      <c r="O271">
        <v>0</v>
      </c>
      <c r="P271">
        <v>-307098.11932862201</v>
      </c>
      <c r="Q271">
        <v>55944.468452395799</v>
      </c>
      <c r="R271">
        <v>0</v>
      </c>
      <c r="S271">
        <v>0</v>
      </c>
      <c r="T271">
        <v>103387.136559784</v>
      </c>
      <c r="U271">
        <v>182605.69195474699</v>
      </c>
      <c r="V271">
        <v>0</v>
      </c>
    </row>
    <row r="272" spans="1:22" x14ac:dyDescent="0.3">
      <c r="A272" t="str">
        <f t="shared" si="8"/>
        <v>CSABPrevisão</v>
      </c>
      <c r="B272" t="str">
        <f t="shared" si="9"/>
        <v>CSABPrevisãoJun-2023</v>
      </c>
      <c r="C272" t="s">
        <v>604</v>
      </c>
      <c r="D272" t="s">
        <v>605</v>
      </c>
      <c r="E272" t="s">
        <v>599</v>
      </c>
      <c r="F272" t="s">
        <v>736</v>
      </c>
      <c r="G272" t="s">
        <v>737</v>
      </c>
      <c r="H272" t="s">
        <v>738</v>
      </c>
      <c r="I272" t="s">
        <v>739</v>
      </c>
      <c r="J272" t="s">
        <v>739</v>
      </c>
      <c r="K272" s="2">
        <v>45107</v>
      </c>
      <c r="L272">
        <v>9197.7136713711607</v>
      </c>
      <c r="M272">
        <v>287856.61612126301</v>
      </c>
      <c r="N272">
        <v>-32063.198943306801</v>
      </c>
      <c r="O272">
        <v>0</v>
      </c>
      <c r="P272">
        <v>-287856.61612126301</v>
      </c>
      <c r="Q272">
        <v>78422.033882082207</v>
      </c>
      <c r="R272">
        <v>0</v>
      </c>
      <c r="S272">
        <v>0</v>
      </c>
      <c r="T272">
        <v>113335.649176056</v>
      </c>
      <c r="U272">
        <v>182947.04796545699</v>
      </c>
      <c r="V272">
        <v>0</v>
      </c>
    </row>
    <row r="273" spans="1:22" x14ac:dyDescent="0.3">
      <c r="A273" t="str">
        <f t="shared" si="8"/>
        <v>CSABPrevisão</v>
      </c>
      <c r="B273" t="str">
        <f t="shared" si="9"/>
        <v>CSABPrevisãoSet-2023</v>
      </c>
      <c r="C273" t="s">
        <v>604</v>
      </c>
      <c r="D273" t="s">
        <v>605</v>
      </c>
      <c r="E273" t="s">
        <v>599</v>
      </c>
      <c r="F273" t="s">
        <v>736</v>
      </c>
      <c r="G273" t="s">
        <v>737</v>
      </c>
      <c r="H273" t="s">
        <v>738</v>
      </c>
      <c r="I273" t="s">
        <v>739</v>
      </c>
      <c r="J273" t="s">
        <v>739</v>
      </c>
      <c r="K273" s="2">
        <v>45199</v>
      </c>
      <c r="L273">
        <v>9696.23684295358</v>
      </c>
      <c r="M273">
        <v>267424.62093982799</v>
      </c>
      <c r="N273">
        <v>-53504.0947394166</v>
      </c>
      <c r="O273">
        <v>0</v>
      </c>
      <c r="P273">
        <v>-267424.62093982799</v>
      </c>
      <c r="Q273">
        <v>102629.193079708</v>
      </c>
      <c r="R273">
        <v>0</v>
      </c>
      <c r="S273">
        <v>0</v>
      </c>
      <c r="T273">
        <v>124177.833688557</v>
      </c>
      <c r="U273">
        <v>183323.13081593599</v>
      </c>
      <c r="V273">
        <v>0</v>
      </c>
    </row>
    <row r="274" spans="1:22" x14ac:dyDescent="0.3">
      <c r="A274" t="str">
        <f t="shared" si="8"/>
        <v>UNIPPrevisão</v>
      </c>
      <c r="B274" t="str">
        <f t="shared" si="9"/>
        <v>UNIPPrevisãoDez-2022</v>
      </c>
      <c r="C274" t="s">
        <v>574</v>
      </c>
      <c r="D274" t="s">
        <v>575</v>
      </c>
      <c r="E274" t="s">
        <v>571</v>
      </c>
      <c r="F274" t="s">
        <v>736</v>
      </c>
      <c r="G274" t="s">
        <v>737</v>
      </c>
      <c r="H274" t="s">
        <v>738</v>
      </c>
      <c r="I274" t="s">
        <v>739</v>
      </c>
      <c r="J274" t="s">
        <v>739</v>
      </c>
      <c r="K274" s="2">
        <v>44925</v>
      </c>
      <c r="L274">
        <v>575427.32645771198</v>
      </c>
      <c r="M274">
        <v>5766104.6617445396</v>
      </c>
      <c r="N274">
        <v>680284.05415522004</v>
      </c>
      <c r="O274">
        <v>593363.32195910695</v>
      </c>
      <c r="P274">
        <v>-5766104.6617445396</v>
      </c>
      <c r="Q274">
        <v>-678290.70460908196</v>
      </c>
      <c r="R274">
        <v>42780.486970522499</v>
      </c>
      <c r="S274">
        <v>239487.04821328999</v>
      </c>
      <c r="T274">
        <v>942771.33477667102</v>
      </c>
      <c r="U274">
        <v>3292655.54197407</v>
      </c>
      <c r="V274">
        <v>658313.985570041</v>
      </c>
    </row>
    <row r="275" spans="1:22" x14ac:dyDescent="0.3">
      <c r="A275" t="str">
        <f t="shared" si="8"/>
        <v>UNIPPrevisão</v>
      </c>
      <c r="B275" t="str">
        <f t="shared" si="9"/>
        <v>UNIPPrevisãoMar-2023</v>
      </c>
      <c r="C275" t="s">
        <v>574</v>
      </c>
      <c r="D275" t="s">
        <v>575</v>
      </c>
      <c r="E275" t="s">
        <v>571</v>
      </c>
      <c r="F275" t="s">
        <v>736</v>
      </c>
      <c r="G275" t="s">
        <v>737</v>
      </c>
      <c r="H275" t="s">
        <v>738</v>
      </c>
      <c r="I275" t="s">
        <v>739</v>
      </c>
      <c r="J275" t="s">
        <v>739</v>
      </c>
      <c r="K275" s="2">
        <v>45015</v>
      </c>
      <c r="L275">
        <v>655617.19000115502</v>
      </c>
      <c r="M275">
        <v>6238752.2269585403</v>
      </c>
      <c r="N275">
        <v>638638.06028742006</v>
      </c>
      <c r="O275">
        <v>640249.036719708</v>
      </c>
      <c r="P275">
        <v>-6238752.2269585403</v>
      </c>
      <c r="Q275">
        <v>-685194.903832754</v>
      </c>
      <c r="R275">
        <v>45299.532559272899</v>
      </c>
      <c r="S275">
        <v>271884.05325118802</v>
      </c>
      <c r="T275">
        <v>977897.48824647197</v>
      </c>
      <c r="U275">
        <v>3579731.6726287901</v>
      </c>
      <c r="V275">
        <v>724643.60039191495</v>
      </c>
    </row>
    <row r="276" spans="1:22" x14ac:dyDescent="0.3">
      <c r="A276" t="str">
        <f t="shared" si="8"/>
        <v>UNIPPrevisão</v>
      </c>
      <c r="B276" t="str">
        <f t="shared" si="9"/>
        <v>UNIPPrevisãoJun-2023</v>
      </c>
      <c r="C276" t="s">
        <v>574</v>
      </c>
      <c r="D276" t="s">
        <v>575</v>
      </c>
      <c r="E276" t="s">
        <v>571</v>
      </c>
      <c r="F276" t="s">
        <v>736</v>
      </c>
      <c r="G276" t="s">
        <v>737</v>
      </c>
      <c r="H276" t="s">
        <v>738</v>
      </c>
      <c r="I276" t="s">
        <v>739</v>
      </c>
      <c r="J276" t="s">
        <v>739</v>
      </c>
      <c r="K276" s="2">
        <v>45107</v>
      </c>
      <c r="L276">
        <v>743061.12795304996</v>
      </c>
      <c r="M276">
        <v>6750073.7363942899</v>
      </c>
      <c r="N276">
        <v>588501.09477349406</v>
      </c>
      <c r="O276">
        <v>689898.01733246795</v>
      </c>
      <c r="P276">
        <v>-6750073.7363942899</v>
      </c>
      <c r="Q276">
        <v>-690959.75650389201</v>
      </c>
      <c r="R276">
        <v>48087.058173423</v>
      </c>
      <c r="S276">
        <v>307222.76264681702</v>
      </c>
      <c r="T276">
        <v>1015135.00407071</v>
      </c>
      <c r="U276">
        <v>3889487.2840264798</v>
      </c>
      <c r="V276">
        <v>797613.11992969306</v>
      </c>
    </row>
    <row r="277" spans="1:22" x14ac:dyDescent="0.3">
      <c r="A277" t="str">
        <f t="shared" si="8"/>
        <v>UNIPPrevisão</v>
      </c>
      <c r="B277" t="str">
        <f t="shared" si="9"/>
        <v>UNIPPrevisãoSet-2023</v>
      </c>
      <c r="C277" t="s">
        <v>574</v>
      </c>
      <c r="D277" t="s">
        <v>575</v>
      </c>
      <c r="E277" t="s">
        <v>571</v>
      </c>
      <c r="F277" t="s">
        <v>736</v>
      </c>
      <c r="G277" t="s">
        <v>737</v>
      </c>
      <c r="H277" t="s">
        <v>738</v>
      </c>
      <c r="I277" t="s">
        <v>739</v>
      </c>
      <c r="J277" t="s">
        <v>739</v>
      </c>
      <c r="K277" s="2">
        <v>45199</v>
      </c>
      <c r="L277">
        <v>838060.36903210299</v>
      </c>
      <c r="M277">
        <v>7301741.7595505798</v>
      </c>
      <c r="N277">
        <v>529396.41262625204</v>
      </c>
      <c r="O277">
        <v>742399.69808133005</v>
      </c>
      <c r="P277">
        <v>-7301741.7595505798</v>
      </c>
      <c r="Q277">
        <v>-695535.94521803502</v>
      </c>
      <c r="R277">
        <v>51159.717150477401</v>
      </c>
      <c r="S277">
        <v>345627.747412592</v>
      </c>
      <c r="T277">
        <v>1054628.3798684201</v>
      </c>
      <c r="U277">
        <v>4222854.73174999</v>
      </c>
      <c r="V277">
        <v>877552.51349915995</v>
      </c>
    </row>
    <row r="278" spans="1:22" x14ac:dyDescent="0.3">
      <c r="A278" t="str">
        <f t="shared" si="8"/>
        <v>CRPGPrevisão</v>
      </c>
      <c r="B278" t="str">
        <f t="shared" si="9"/>
        <v>CRPGPrevisãoDez-2022</v>
      </c>
      <c r="C278" t="s">
        <v>572</v>
      </c>
      <c r="D278" t="s">
        <v>573</v>
      </c>
      <c r="E278" t="s">
        <v>571</v>
      </c>
      <c r="F278" t="s">
        <v>736</v>
      </c>
      <c r="G278" t="s">
        <v>737</v>
      </c>
      <c r="H278" t="s">
        <v>738</v>
      </c>
      <c r="I278" t="s">
        <v>739</v>
      </c>
      <c r="J278" t="s">
        <v>739</v>
      </c>
      <c r="K278" s="2">
        <v>44925</v>
      </c>
      <c r="L278">
        <v>21723.460317472702</v>
      </c>
      <c r="M278">
        <v>1364559.03437737</v>
      </c>
      <c r="N278">
        <v>754590.09447406605</v>
      </c>
      <c r="O278">
        <v>230759.505899329</v>
      </c>
      <c r="P278">
        <v>-1364559.03437737</v>
      </c>
      <c r="Q278">
        <v>-184898.25413787301</v>
      </c>
      <c r="R278">
        <v>19820.6014769629</v>
      </c>
      <c r="S278">
        <v>6647.4546303367797</v>
      </c>
      <c r="T278">
        <v>751017.19191917905</v>
      </c>
      <c r="U278">
        <v>1051900.3885069101</v>
      </c>
      <c r="V278">
        <v>248056.907308375</v>
      </c>
    </row>
    <row r="279" spans="1:22" x14ac:dyDescent="0.3">
      <c r="A279" t="str">
        <f t="shared" si="8"/>
        <v>CRPGPrevisão</v>
      </c>
      <c r="B279" t="str">
        <f t="shared" si="9"/>
        <v>CRPGPrevisãoMar-2023</v>
      </c>
      <c r="C279" t="s">
        <v>572</v>
      </c>
      <c r="D279" t="s">
        <v>573</v>
      </c>
      <c r="E279" t="s">
        <v>571</v>
      </c>
      <c r="F279" t="s">
        <v>736</v>
      </c>
      <c r="G279" t="s">
        <v>737</v>
      </c>
      <c r="H279" t="s">
        <v>738</v>
      </c>
      <c r="I279" t="s">
        <v>739</v>
      </c>
      <c r="J279" t="s">
        <v>739</v>
      </c>
      <c r="K279" s="2">
        <v>45015</v>
      </c>
      <c r="L279">
        <v>15334.486814556099</v>
      </c>
      <c r="M279">
        <v>1448595.8569432499</v>
      </c>
      <c r="N279">
        <v>749564.49857180298</v>
      </c>
      <c r="O279">
        <v>256625.94448459399</v>
      </c>
      <c r="P279">
        <v>-1448595.8569432499</v>
      </c>
      <c r="Q279">
        <v>-207452.61894422601</v>
      </c>
      <c r="R279">
        <v>19292.626136458999</v>
      </c>
      <c r="S279">
        <v>5033.9921151090302</v>
      </c>
      <c r="T279">
        <v>842759.23675087304</v>
      </c>
      <c r="U279">
        <v>1122100.6934023299</v>
      </c>
      <c r="V279">
        <v>257509.23563822999</v>
      </c>
    </row>
    <row r="280" spans="1:22" x14ac:dyDescent="0.3">
      <c r="A280" t="str">
        <f t="shared" si="8"/>
        <v>CRPGPrevisão</v>
      </c>
      <c r="B280" t="str">
        <f t="shared" si="9"/>
        <v>CRPGPrevisãoJun-2023</v>
      </c>
      <c r="C280" t="s">
        <v>572</v>
      </c>
      <c r="D280" t="s">
        <v>573</v>
      </c>
      <c r="E280" t="s">
        <v>571</v>
      </c>
      <c r="F280" t="s">
        <v>736</v>
      </c>
      <c r="G280" t="s">
        <v>737</v>
      </c>
      <c r="H280" t="s">
        <v>738</v>
      </c>
      <c r="I280" t="s">
        <v>739</v>
      </c>
      <c r="J280" t="s">
        <v>739</v>
      </c>
      <c r="K280" s="2">
        <v>45107</v>
      </c>
      <c r="L280">
        <v>7816.8071105243298</v>
      </c>
      <c r="M280">
        <v>1538286.1988168701</v>
      </c>
      <c r="N280">
        <v>740323.47255537298</v>
      </c>
      <c r="O280">
        <v>285146.09809343598</v>
      </c>
      <c r="P280">
        <v>-1538286.1988168701</v>
      </c>
      <c r="Q280">
        <v>-232974.61666760201</v>
      </c>
      <c r="R280">
        <v>18695.451329953801</v>
      </c>
      <c r="S280">
        <v>3175.1839148853701</v>
      </c>
      <c r="T280">
        <v>941966.881514251</v>
      </c>
      <c r="U280">
        <v>1196986.6570906399</v>
      </c>
      <c r="V280">
        <v>266956.97943151498</v>
      </c>
    </row>
    <row r="281" spans="1:22" x14ac:dyDescent="0.3">
      <c r="A281" t="str">
        <f t="shared" si="8"/>
        <v>CRPGPrevisão</v>
      </c>
      <c r="B281" t="str">
        <f t="shared" si="9"/>
        <v>CRPGPrevisãoSet-2023</v>
      </c>
      <c r="C281" t="s">
        <v>572</v>
      </c>
      <c r="D281" t="s">
        <v>573</v>
      </c>
      <c r="E281" t="s">
        <v>571</v>
      </c>
      <c r="F281" t="s">
        <v>736</v>
      </c>
      <c r="G281" t="s">
        <v>737</v>
      </c>
      <c r="H281" t="s">
        <v>738</v>
      </c>
      <c r="I281" t="s">
        <v>739</v>
      </c>
      <c r="J281" t="s">
        <v>739</v>
      </c>
      <c r="K281" s="2">
        <v>45199</v>
      </c>
      <c r="L281">
        <v>-891.23273911285605</v>
      </c>
      <c r="M281">
        <v>1633822.0901290199</v>
      </c>
      <c r="N281">
        <v>726622.67377640598</v>
      </c>
      <c r="O281">
        <v>316444.37468507001</v>
      </c>
      <c r="P281">
        <v>-1633822.0901290199</v>
      </c>
      <c r="Q281">
        <v>-261615.020204086</v>
      </c>
      <c r="R281">
        <v>18027.672995913199</v>
      </c>
      <c r="S281">
        <v>1058.64100343156</v>
      </c>
      <c r="T281">
        <v>1048927.3415753799</v>
      </c>
      <c r="U281">
        <v>1276708.37729103</v>
      </c>
      <c r="V281">
        <v>276378.987928299</v>
      </c>
    </row>
    <row r="282" spans="1:22" x14ac:dyDescent="0.3">
      <c r="A282" t="str">
        <f t="shared" si="8"/>
        <v>SNSYPrevisão</v>
      </c>
      <c r="B282" t="str">
        <f t="shared" si="9"/>
        <v>SNSYPrevisãoDez-2022</v>
      </c>
      <c r="C282" t="s">
        <v>578</v>
      </c>
      <c r="D282" t="s">
        <v>579</v>
      </c>
      <c r="E282" t="s">
        <v>571</v>
      </c>
      <c r="F282" t="s">
        <v>736</v>
      </c>
      <c r="G282" t="s">
        <v>737</v>
      </c>
      <c r="H282" t="s">
        <v>738</v>
      </c>
      <c r="I282" t="s">
        <v>739</v>
      </c>
      <c r="J282" t="s">
        <v>739</v>
      </c>
      <c r="K282" s="2">
        <v>44925</v>
      </c>
      <c r="L282">
        <v>-30736.852983616998</v>
      </c>
      <c r="M282">
        <v>343925.44783982</v>
      </c>
      <c r="N282">
        <v>182596.217723382</v>
      </c>
      <c r="O282">
        <v>97358.240641709097</v>
      </c>
      <c r="P282">
        <v>-343925.44783982</v>
      </c>
      <c r="Q282">
        <v>-214957.724980889</v>
      </c>
      <c r="R282">
        <v>50628.255156595398</v>
      </c>
      <c r="S282">
        <v>17116.2835922224</v>
      </c>
      <c r="T282">
        <v>0</v>
      </c>
      <c r="U282">
        <v>-1642102.6976487399</v>
      </c>
      <c r="V282">
        <v>163710.46676852001</v>
      </c>
    </row>
    <row r="283" spans="1:22" x14ac:dyDescent="0.3">
      <c r="A283" t="str">
        <f t="shared" si="8"/>
        <v>SNSYPrevisão</v>
      </c>
      <c r="B283" t="str">
        <f t="shared" si="9"/>
        <v>SNSYPrevisãoMar-2023</v>
      </c>
      <c r="C283" t="s">
        <v>578</v>
      </c>
      <c r="D283" t="s">
        <v>579</v>
      </c>
      <c r="E283" t="s">
        <v>571</v>
      </c>
      <c r="F283" t="s">
        <v>736</v>
      </c>
      <c r="G283" t="s">
        <v>737</v>
      </c>
      <c r="H283" t="s">
        <v>738</v>
      </c>
      <c r="I283" t="s">
        <v>739</v>
      </c>
      <c r="J283" t="s">
        <v>739</v>
      </c>
      <c r="K283" s="2">
        <v>45015</v>
      </c>
      <c r="L283">
        <v>-28598.9492196549</v>
      </c>
      <c r="M283">
        <v>362601.08464394201</v>
      </c>
      <c r="N283">
        <v>193721.62840755199</v>
      </c>
      <c r="O283">
        <v>103154.89602130601</v>
      </c>
      <c r="P283">
        <v>-362601.08464394201</v>
      </c>
      <c r="Q283">
        <v>-198922.19593388299</v>
      </c>
      <c r="R283">
        <v>36006.329658135503</v>
      </c>
      <c r="S283">
        <v>17597.394948804002</v>
      </c>
      <c r="T283">
        <v>0</v>
      </c>
      <c r="U283">
        <v>-1678639.0027988099</v>
      </c>
      <c r="V283">
        <v>177371.70937858601</v>
      </c>
    </row>
    <row r="284" spans="1:22" x14ac:dyDescent="0.3">
      <c r="A284" t="str">
        <f t="shared" si="8"/>
        <v>SNSYPrevisão</v>
      </c>
      <c r="B284" t="str">
        <f t="shared" si="9"/>
        <v>SNSYPrevisãoJun-2023</v>
      </c>
      <c r="C284" t="s">
        <v>578</v>
      </c>
      <c r="D284" t="s">
        <v>579</v>
      </c>
      <c r="E284" t="s">
        <v>571</v>
      </c>
      <c r="F284" t="s">
        <v>736</v>
      </c>
      <c r="G284" t="s">
        <v>737</v>
      </c>
      <c r="H284" t="s">
        <v>738</v>
      </c>
      <c r="I284" t="s">
        <v>739</v>
      </c>
      <c r="J284" t="s">
        <v>739</v>
      </c>
      <c r="K284" s="2">
        <v>45107</v>
      </c>
      <c r="L284">
        <v>-26198.590241562801</v>
      </c>
      <c r="M284">
        <v>383882.33344452502</v>
      </c>
      <c r="N284">
        <v>206259.82606638601</v>
      </c>
      <c r="O284">
        <v>109408.166449146</v>
      </c>
      <c r="P284">
        <v>-383882.33344452502</v>
      </c>
      <c r="Q284">
        <v>-179629.25807288999</v>
      </c>
      <c r="R284">
        <v>19091.572966936899</v>
      </c>
      <c r="S284">
        <v>18062.381459378401</v>
      </c>
      <c r="T284">
        <v>0</v>
      </c>
      <c r="U284">
        <v>-1712732.6678144301</v>
      </c>
      <c r="V284">
        <v>192150.77354210199</v>
      </c>
    </row>
    <row r="285" spans="1:22" x14ac:dyDescent="0.3">
      <c r="A285" t="str">
        <f t="shared" si="8"/>
        <v>SNSYPrevisão</v>
      </c>
      <c r="B285" t="str">
        <f t="shared" si="9"/>
        <v>SNSYPrevisãoSet-2023</v>
      </c>
      <c r="C285" t="s">
        <v>578</v>
      </c>
      <c r="D285" t="s">
        <v>579</v>
      </c>
      <c r="E285" t="s">
        <v>571</v>
      </c>
      <c r="F285" t="s">
        <v>736</v>
      </c>
      <c r="G285" t="s">
        <v>737</v>
      </c>
      <c r="H285" t="s">
        <v>738</v>
      </c>
      <c r="I285" t="s">
        <v>739</v>
      </c>
      <c r="J285" t="s">
        <v>739</v>
      </c>
      <c r="K285" s="2">
        <v>45199</v>
      </c>
      <c r="L285">
        <v>-23526.3968615837</v>
      </c>
      <c r="M285">
        <v>407906.23107775202</v>
      </c>
      <c r="N285">
        <v>220285.07947765599</v>
      </c>
      <c r="O285">
        <v>116136.90693887501</v>
      </c>
      <c r="P285">
        <v>-407906.23107775202</v>
      </c>
      <c r="Q285">
        <v>-156906.04132569299</v>
      </c>
      <c r="R285">
        <v>-232.85333081168201</v>
      </c>
      <c r="S285">
        <v>18509.203912810299</v>
      </c>
      <c r="T285">
        <v>0</v>
      </c>
      <c r="U285">
        <v>-1744202.47017808</v>
      </c>
      <c r="V285">
        <v>208090.90331507099</v>
      </c>
    </row>
    <row r="286" spans="1:22" x14ac:dyDescent="0.3">
      <c r="A286" t="str">
        <f t="shared" si="8"/>
        <v>FHERPrevisão</v>
      </c>
      <c r="B286" t="str">
        <f t="shared" si="9"/>
        <v>FHERPrevisãoDez-2017</v>
      </c>
      <c r="C286" t="s">
        <v>718</v>
      </c>
      <c r="D286" t="s">
        <v>577</v>
      </c>
      <c r="E286" t="s">
        <v>571</v>
      </c>
      <c r="F286" t="s">
        <v>736</v>
      </c>
      <c r="G286" t="s">
        <v>737</v>
      </c>
      <c r="H286" t="s">
        <v>738</v>
      </c>
      <c r="I286" t="s">
        <v>739</v>
      </c>
      <c r="J286" t="s">
        <v>739</v>
      </c>
      <c r="K286" s="2">
        <v>43099</v>
      </c>
      <c r="L286">
        <v>-15203.331380854999</v>
      </c>
      <c r="M286">
        <v>2407354.1226548902</v>
      </c>
      <c r="N286">
        <v>959961.68669914198</v>
      </c>
      <c r="O286">
        <v>287951.78405899601</v>
      </c>
      <c r="P286">
        <v>-2407354.1226548902</v>
      </c>
      <c r="Q286">
        <v>-1966700.3879116101</v>
      </c>
      <c r="R286">
        <v>28668.135981676402</v>
      </c>
      <c r="S286">
        <v>3008.0780069633602</v>
      </c>
      <c r="T286">
        <v>0</v>
      </c>
      <c r="U286">
        <v>-98106.635684560999</v>
      </c>
      <c r="V286">
        <v>913236.05933273304</v>
      </c>
    </row>
    <row r="287" spans="1:22" x14ac:dyDescent="0.3">
      <c r="A287" t="str">
        <f t="shared" si="8"/>
        <v>FHERPrevisão</v>
      </c>
      <c r="B287" t="str">
        <f t="shared" si="9"/>
        <v>FHERPrevisãoMar-2018</v>
      </c>
      <c r="C287" t="s">
        <v>718</v>
      </c>
      <c r="D287" t="s">
        <v>577</v>
      </c>
      <c r="E287" t="s">
        <v>571</v>
      </c>
      <c r="F287" t="s">
        <v>736</v>
      </c>
      <c r="G287" t="s">
        <v>737</v>
      </c>
      <c r="H287" t="s">
        <v>738</v>
      </c>
      <c r="I287" t="s">
        <v>739</v>
      </c>
      <c r="J287" t="s">
        <v>739</v>
      </c>
      <c r="K287" s="2">
        <v>43189</v>
      </c>
      <c r="L287">
        <v>-2707.89922368011</v>
      </c>
      <c r="M287">
        <v>2121897.5590583901</v>
      </c>
      <c r="N287">
        <v>657304.74111796997</v>
      </c>
      <c r="O287">
        <v>186546.794348105</v>
      </c>
      <c r="P287">
        <v>-2121897.5590583901</v>
      </c>
      <c r="Q287">
        <v>-1616307.3987992201</v>
      </c>
      <c r="R287">
        <v>27773.346258415899</v>
      </c>
      <c r="S287">
        <v>1952.8047222201501</v>
      </c>
      <c r="T287">
        <v>0</v>
      </c>
      <c r="U287">
        <v>-217024.43637137199</v>
      </c>
      <c r="V287">
        <v>775750.62736829999</v>
      </c>
    </row>
    <row r="288" spans="1:22" x14ac:dyDescent="0.3">
      <c r="A288" t="str">
        <f t="shared" si="8"/>
        <v>FHERPrevisão</v>
      </c>
      <c r="B288" t="str">
        <f t="shared" si="9"/>
        <v>FHERPrevisãoJun-2018</v>
      </c>
      <c r="C288" t="s">
        <v>718</v>
      </c>
      <c r="D288" t="s">
        <v>577</v>
      </c>
      <c r="E288" t="s">
        <v>571</v>
      </c>
      <c r="F288" t="s">
        <v>736</v>
      </c>
      <c r="G288" t="s">
        <v>737</v>
      </c>
      <c r="H288" t="s">
        <v>738</v>
      </c>
      <c r="I288" t="s">
        <v>739</v>
      </c>
      <c r="J288" t="s">
        <v>739</v>
      </c>
      <c r="K288" s="2">
        <v>43281</v>
      </c>
      <c r="L288">
        <v>12243.898943552</v>
      </c>
      <c r="M288">
        <v>1794704.17367624</v>
      </c>
      <c r="N288">
        <v>317213.62223608</v>
      </c>
      <c r="O288">
        <v>70932.850874716998</v>
      </c>
      <c r="P288">
        <v>-1794704.17367624</v>
      </c>
      <c r="Q288">
        <v>-1205408.37542604</v>
      </c>
      <c r="R288">
        <v>26596.817331676</v>
      </c>
      <c r="S288">
        <v>803.06250463038305</v>
      </c>
      <c r="T288">
        <v>0</v>
      </c>
      <c r="U288">
        <v>-348570.16954113799</v>
      </c>
      <c r="V288">
        <v>619498.30256546906</v>
      </c>
    </row>
    <row r="289" spans="1:22" x14ac:dyDescent="0.3">
      <c r="A289" t="str">
        <f t="shared" si="8"/>
        <v>FHERPrevisão</v>
      </c>
      <c r="B289" t="str">
        <f t="shared" si="9"/>
        <v>FHERPrevisãoSet-2018</v>
      </c>
      <c r="C289" t="s">
        <v>718</v>
      </c>
      <c r="D289" t="s">
        <v>577</v>
      </c>
      <c r="E289" t="s">
        <v>571</v>
      </c>
      <c r="F289" t="s">
        <v>736</v>
      </c>
      <c r="G289" t="s">
        <v>737</v>
      </c>
      <c r="H289" t="s">
        <v>738</v>
      </c>
      <c r="I289" t="s">
        <v>739</v>
      </c>
      <c r="J289" t="s">
        <v>739</v>
      </c>
      <c r="K289" s="2">
        <v>43373</v>
      </c>
      <c r="L289">
        <v>29812.299858565199</v>
      </c>
      <c r="M289">
        <v>1423681.1199799799</v>
      </c>
      <c r="N289">
        <v>-62014.265689884298</v>
      </c>
      <c r="O289">
        <v>-59589.930077679703</v>
      </c>
      <c r="P289">
        <v>-1423681.1199799799</v>
      </c>
      <c r="Q289">
        <v>-730576.53126900899</v>
      </c>
      <c r="R289">
        <v>25118.2289370281</v>
      </c>
      <c r="S289">
        <v>-443.99429025531498</v>
      </c>
      <c r="T289">
        <v>0</v>
      </c>
      <c r="U289">
        <v>-493191.9305125</v>
      </c>
      <c r="V289">
        <v>443603.69531000801</v>
      </c>
    </row>
    <row r="290" spans="1:22" x14ac:dyDescent="0.3">
      <c r="A290" t="str">
        <f t="shared" si="8"/>
        <v>BRKMPrevisão</v>
      </c>
      <c r="B290" t="str">
        <f t="shared" si="9"/>
        <v>BRKMPrevisãoDez-2022</v>
      </c>
      <c r="C290" t="s">
        <v>569</v>
      </c>
      <c r="D290" t="s">
        <v>570</v>
      </c>
      <c r="E290" t="s">
        <v>571</v>
      </c>
      <c r="F290" t="s">
        <v>736</v>
      </c>
      <c r="G290" t="s">
        <v>737</v>
      </c>
      <c r="H290" t="s">
        <v>738</v>
      </c>
      <c r="I290" t="s">
        <v>739</v>
      </c>
      <c r="J290" t="s">
        <v>739</v>
      </c>
      <c r="K290" s="2">
        <v>44925</v>
      </c>
      <c r="L290">
        <v>1411131.5665046601</v>
      </c>
      <c r="M290">
        <v>89448862.998728603</v>
      </c>
      <c r="N290">
        <v>31368849.942961499</v>
      </c>
      <c r="O290">
        <v>6742043.1204395797</v>
      </c>
      <c r="P290">
        <v>-89448862.998728603</v>
      </c>
      <c r="Q290">
        <v>-30437645.3058355</v>
      </c>
      <c r="R290">
        <v>605422.66887369205</v>
      </c>
      <c r="S290">
        <v>1864104.0319157001</v>
      </c>
      <c r="T290">
        <v>351552.48450855201</v>
      </c>
      <c r="U290">
        <v>10272493.713860899</v>
      </c>
      <c r="V290">
        <v>20788958.676936898</v>
      </c>
    </row>
    <row r="291" spans="1:22" x14ac:dyDescent="0.3">
      <c r="A291" t="str">
        <f t="shared" si="8"/>
        <v>BRKMPrevisão</v>
      </c>
      <c r="B291" t="str">
        <f t="shared" si="9"/>
        <v>BRKMPrevisãoMar-2023</v>
      </c>
      <c r="C291" t="s">
        <v>569</v>
      </c>
      <c r="D291" t="s">
        <v>570</v>
      </c>
      <c r="E291" t="s">
        <v>571</v>
      </c>
      <c r="F291" t="s">
        <v>736</v>
      </c>
      <c r="G291" t="s">
        <v>737</v>
      </c>
      <c r="H291" t="s">
        <v>738</v>
      </c>
      <c r="I291" t="s">
        <v>739</v>
      </c>
      <c r="J291" t="s">
        <v>739</v>
      </c>
      <c r="K291" s="2">
        <v>45015</v>
      </c>
      <c r="L291">
        <v>1541030.1078710901</v>
      </c>
      <c r="M291">
        <v>95020345.904440805</v>
      </c>
      <c r="N291">
        <v>33917900.200032003</v>
      </c>
      <c r="O291">
        <v>7604615.7563690897</v>
      </c>
      <c r="P291">
        <v>-95020345.904440805</v>
      </c>
      <c r="Q291">
        <v>-33772432.866755597</v>
      </c>
      <c r="R291">
        <v>638589.59532193805</v>
      </c>
      <c r="S291">
        <v>1994941.76154905</v>
      </c>
      <c r="T291">
        <v>-234980.34086544</v>
      </c>
      <c r="U291">
        <v>11358668.3179325</v>
      </c>
      <c r="V291">
        <v>22428586.712367501</v>
      </c>
    </row>
    <row r="292" spans="1:22" x14ac:dyDescent="0.3">
      <c r="A292" t="str">
        <f t="shared" si="8"/>
        <v>BRKMPrevisão</v>
      </c>
      <c r="B292" t="str">
        <f t="shared" si="9"/>
        <v>BRKMPrevisãoJun-2023</v>
      </c>
      <c r="C292" t="s">
        <v>569</v>
      </c>
      <c r="D292" t="s">
        <v>570</v>
      </c>
      <c r="E292" t="s">
        <v>571</v>
      </c>
      <c r="F292" t="s">
        <v>736</v>
      </c>
      <c r="G292" t="s">
        <v>737</v>
      </c>
      <c r="H292" t="s">
        <v>738</v>
      </c>
      <c r="I292" t="s">
        <v>739</v>
      </c>
      <c r="J292" t="s">
        <v>739</v>
      </c>
      <c r="K292" s="2">
        <v>45107</v>
      </c>
      <c r="L292">
        <v>1685115.2588309499</v>
      </c>
      <c r="M292">
        <v>101009455.62885</v>
      </c>
      <c r="N292">
        <v>36684524.318752199</v>
      </c>
      <c r="O292">
        <v>8596949.8359036297</v>
      </c>
      <c r="P292">
        <v>-101009455.62885</v>
      </c>
      <c r="Q292">
        <v>-37447066.864492998</v>
      </c>
      <c r="R292">
        <v>675051.56956310396</v>
      </c>
      <c r="S292">
        <v>2131848.6718121101</v>
      </c>
      <c r="T292">
        <v>-900266.06337460596</v>
      </c>
      <c r="U292">
        <v>12555214.7760727</v>
      </c>
      <c r="V292">
        <v>24209737.2085604</v>
      </c>
    </row>
    <row r="293" spans="1:22" x14ac:dyDescent="0.3">
      <c r="A293" t="str">
        <f t="shared" si="8"/>
        <v>BRKMPrevisão</v>
      </c>
      <c r="B293" t="str">
        <f t="shared" si="9"/>
        <v>BRKMPrevisãoSet-2023</v>
      </c>
      <c r="C293" t="s">
        <v>569</v>
      </c>
      <c r="D293" t="s">
        <v>570</v>
      </c>
      <c r="E293" t="s">
        <v>571</v>
      </c>
      <c r="F293" t="s">
        <v>736</v>
      </c>
      <c r="G293" t="s">
        <v>737</v>
      </c>
      <c r="H293" t="s">
        <v>738</v>
      </c>
      <c r="I293" t="s">
        <v>739</v>
      </c>
      <c r="J293" t="s">
        <v>739</v>
      </c>
      <c r="K293" s="2">
        <v>45199</v>
      </c>
      <c r="L293">
        <v>1844171.54118186</v>
      </c>
      <c r="M293">
        <v>107432377.446839</v>
      </c>
      <c r="N293">
        <v>39678098.8953171</v>
      </c>
      <c r="O293">
        <v>9726491.2779020909</v>
      </c>
      <c r="P293">
        <v>-107432377.446839</v>
      </c>
      <c r="Q293">
        <v>-41477077.782779597</v>
      </c>
      <c r="R293">
        <v>714980.76182303799</v>
      </c>
      <c r="S293">
        <v>2274923.0026776898</v>
      </c>
      <c r="T293">
        <v>-1648117.7059255401</v>
      </c>
      <c r="U293">
        <v>13866218.668412</v>
      </c>
      <c r="V293">
        <v>26138673.502505898</v>
      </c>
    </row>
    <row r="294" spans="1:22" x14ac:dyDescent="0.3">
      <c r="A294" t="str">
        <f t="shared" si="8"/>
        <v>LLISPrevisão</v>
      </c>
      <c r="B294" t="str">
        <f t="shared" si="9"/>
        <v>LLISPrevisãoDez-2022</v>
      </c>
      <c r="C294" t="s">
        <v>254</v>
      </c>
      <c r="D294" t="s">
        <v>255</v>
      </c>
      <c r="E294" t="s">
        <v>245</v>
      </c>
      <c r="F294" t="s">
        <v>736</v>
      </c>
      <c r="G294" t="s">
        <v>737</v>
      </c>
      <c r="H294" t="s">
        <v>738</v>
      </c>
      <c r="I294" t="s">
        <v>739</v>
      </c>
      <c r="J294" t="s">
        <v>739</v>
      </c>
      <c r="K294" s="2">
        <v>44925</v>
      </c>
      <c r="L294">
        <v>-35438.9611237887</v>
      </c>
      <c r="M294">
        <v>273649.63101594598</v>
      </c>
      <c r="N294">
        <v>303391.66412016901</v>
      </c>
      <c r="O294">
        <v>185521.53026055801</v>
      </c>
      <c r="P294">
        <v>-273649.63101594598</v>
      </c>
      <c r="Q294">
        <v>-273079.89338756201</v>
      </c>
      <c r="R294">
        <v>62021.152958150698</v>
      </c>
      <c r="S294">
        <v>25406.4529326876</v>
      </c>
      <c r="T294">
        <v>-273463.59910019301</v>
      </c>
      <c r="U294">
        <v>-2007241.5704948599</v>
      </c>
      <c r="V294">
        <v>236290.39181726999</v>
      </c>
    </row>
    <row r="295" spans="1:22" x14ac:dyDescent="0.3">
      <c r="A295" t="str">
        <f t="shared" si="8"/>
        <v>LLISPrevisão</v>
      </c>
      <c r="B295" t="str">
        <f t="shared" si="9"/>
        <v>LLISPrevisãoMar-2023</v>
      </c>
      <c r="C295" t="s">
        <v>254</v>
      </c>
      <c r="D295" t="s">
        <v>255</v>
      </c>
      <c r="E295" t="s">
        <v>245</v>
      </c>
      <c r="F295" t="s">
        <v>736</v>
      </c>
      <c r="G295" t="s">
        <v>737</v>
      </c>
      <c r="H295" t="s">
        <v>738</v>
      </c>
      <c r="I295" t="s">
        <v>739</v>
      </c>
      <c r="J295" t="s">
        <v>739</v>
      </c>
      <c r="K295" s="2">
        <v>45015</v>
      </c>
      <c r="L295">
        <v>-646.49594507067297</v>
      </c>
      <c r="M295">
        <v>-348923.05046843598</v>
      </c>
      <c r="N295">
        <v>209816.65420956101</v>
      </c>
      <c r="O295">
        <v>181795.89135043899</v>
      </c>
      <c r="P295">
        <v>348923.05046843598</v>
      </c>
      <c r="Q295">
        <v>-159489.64668249301</v>
      </c>
      <c r="R295">
        <v>63499.850609200599</v>
      </c>
      <c r="S295">
        <v>23424.618529147101</v>
      </c>
      <c r="T295">
        <v>-428793.79037476802</v>
      </c>
      <c r="U295">
        <v>-2684300.47783077</v>
      </c>
      <c r="V295">
        <v>241116.61609960801</v>
      </c>
    </row>
    <row r="296" spans="1:22" x14ac:dyDescent="0.3">
      <c r="A296" t="str">
        <f t="shared" si="8"/>
        <v>LLISPrevisão</v>
      </c>
      <c r="B296" t="str">
        <f t="shared" si="9"/>
        <v>LLISPrevisãoJun-2023</v>
      </c>
      <c r="C296" t="s">
        <v>254</v>
      </c>
      <c r="D296" t="s">
        <v>255</v>
      </c>
      <c r="E296" t="s">
        <v>245</v>
      </c>
      <c r="F296" t="s">
        <v>736</v>
      </c>
      <c r="G296" t="s">
        <v>737</v>
      </c>
      <c r="H296" t="s">
        <v>738</v>
      </c>
      <c r="I296" t="s">
        <v>739</v>
      </c>
      <c r="J296" t="s">
        <v>739</v>
      </c>
      <c r="K296" s="2">
        <v>45107</v>
      </c>
      <c r="L296">
        <v>39540.923245721402</v>
      </c>
      <c r="M296">
        <v>-1036717.47418526</v>
      </c>
      <c r="N296">
        <v>106489.12097445301</v>
      </c>
      <c r="O296">
        <v>176471.360807783</v>
      </c>
      <c r="P296">
        <v>1036717.47418526</v>
      </c>
      <c r="Q296">
        <v>-34264.755226366302</v>
      </c>
      <c r="R296">
        <v>64952.645630790401</v>
      </c>
      <c r="S296">
        <v>21172.691289817099</v>
      </c>
      <c r="T296">
        <v>-604772.75249683298</v>
      </c>
      <c r="U296">
        <v>-3428018.5254737199</v>
      </c>
      <c r="V296">
        <v>246653.18658275699</v>
      </c>
    </row>
    <row r="297" spans="1:22" x14ac:dyDescent="0.3">
      <c r="A297" t="str">
        <f t="shared" si="8"/>
        <v>LLISPrevisão</v>
      </c>
      <c r="B297" t="str">
        <f t="shared" si="9"/>
        <v>LLISPrevisãoSet-2023</v>
      </c>
      <c r="C297" t="s">
        <v>254</v>
      </c>
      <c r="D297" t="s">
        <v>255</v>
      </c>
      <c r="E297" t="s">
        <v>245</v>
      </c>
      <c r="F297" t="s">
        <v>736</v>
      </c>
      <c r="G297" t="s">
        <v>737</v>
      </c>
      <c r="H297" t="s">
        <v>738</v>
      </c>
      <c r="I297" t="s">
        <v>739</v>
      </c>
      <c r="J297" t="s">
        <v>739</v>
      </c>
      <c r="K297" s="2">
        <v>45199</v>
      </c>
      <c r="L297">
        <v>85403.521487022896</v>
      </c>
      <c r="M297">
        <v>-1792225.06651095</v>
      </c>
      <c r="N297">
        <v>-6963.2283628302303</v>
      </c>
      <c r="O297">
        <v>169446.74738617899</v>
      </c>
      <c r="P297">
        <v>1792225.06651095</v>
      </c>
      <c r="Q297">
        <v>102997.14833990599</v>
      </c>
      <c r="R297">
        <v>66376.020914177105</v>
      </c>
      <c r="S297">
        <v>18639.046503212299</v>
      </c>
      <c r="T297">
        <v>-802428.55113182799</v>
      </c>
      <c r="U297">
        <v>-4241014.10715611</v>
      </c>
      <c r="V297">
        <v>252952.08523998701</v>
      </c>
    </row>
    <row r="298" spans="1:22" x14ac:dyDescent="0.3">
      <c r="A298" t="str">
        <f t="shared" si="8"/>
        <v>OFSAPrevisão</v>
      </c>
      <c r="B298" t="str">
        <f t="shared" si="9"/>
        <v>OFSAPrevisãoDez-2022</v>
      </c>
      <c r="C298" t="s">
        <v>252</v>
      </c>
      <c r="D298" t="s">
        <v>253</v>
      </c>
      <c r="E298" t="s">
        <v>245</v>
      </c>
      <c r="F298" t="s">
        <v>736</v>
      </c>
      <c r="G298" t="s">
        <v>737</v>
      </c>
      <c r="H298" t="s">
        <v>738</v>
      </c>
      <c r="I298" t="s">
        <v>739</v>
      </c>
      <c r="J298" t="s">
        <v>739</v>
      </c>
      <c r="K298" s="2">
        <v>44925</v>
      </c>
      <c r="L298">
        <v>38398.344481605898</v>
      </c>
      <c r="M298">
        <v>791863.92675588804</v>
      </c>
      <c r="N298">
        <v>26946.131772577599</v>
      </c>
      <c r="O298">
        <v>0</v>
      </c>
      <c r="P298">
        <v>-791863.92675588804</v>
      </c>
      <c r="Q298">
        <v>-486.60936454763299</v>
      </c>
      <c r="R298">
        <v>1022.4685618729</v>
      </c>
      <c r="S298">
        <v>202.41304347827099</v>
      </c>
      <c r="T298">
        <v>205169.14113711799</v>
      </c>
      <c r="U298">
        <v>791209.24615385395</v>
      </c>
      <c r="V298">
        <v>37582.209030096397</v>
      </c>
    </row>
    <row r="299" spans="1:22" x14ac:dyDescent="0.3">
      <c r="A299" t="str">
        <f t="shared" si="8"/>
        <v>OFSAPrevisão</v>
      </c>
      <c r="B299" t="str">
        <f t="shared" si="9"/>
        <v>OFSAPrevisãoMar-2023</v>
      </c>
      <c r="C299" t="s">
        <v>252</v>
      </c>
      <c r="D299" t="s">
        <v>253</v>
      </c>
      <c r="E299" t="s">
        <v>245</v>
      </c>
      <c r="F299" t="s">
        <v>736</v>
      </c>
      <c r="G299" t="s">
        <v>737</v>
      </c>
      <c r="H299" t="s">
        <v>738</v>
      </c>
      <c r="I299" t="s">
        <v>739</v>
      </c>
      <c r="J299" t="s">
        <v>739</v>
      </c>
      <c r="K299" s="2">
        <v>45015</v>
      </c>
      <c r="L299">
        <v>41561.3283537725</v>
      </c>
      <c r="M299">
        <v>846247.88992943405</v>
      </c>
      <c r="N299">
        <v>21725.832218508502</v>
      </c>
      <c r="O299">
        <v>0</v>
      </c>
      <c r="P299">
        <v>-846247.88992943405</v>
      </c>
      <c r="Q299">
        <v>2137.4420289865802</v>
      </c>
      <c r="R299">
        <v>1133.9289483463299</v>
      </c>
      <c r="S299">
        <v>201.68550724638899</v>
      </c>
      <c r="T299">
        <v>235681.362839087</v>
      </c>
      <c r="U299">
        <v>848176.74786325695</v>
      </c>
      <c r="V299">
        <v>40630.832701593397</v>
      </c>
    </row>
    <row r="300" spans="1:22" x14ac:dyDescent="0.3">
      <c r="A300" t="str">
        <f t="shared" si="8"/>
        <v>OFSAPrevisão</v>
      </c>
      <c r="B300" t="str">
        <f t="shared" si="9"/>
        <v>OFSAPrevisãoJun-2023</v>
      </c>
      <c r="C300" t="s">
        <v>252</v>
      </c>
      <c r="D300" t="s">
        <v>253</v>
      </c>
      <c r="E300" t="s">
        <v>245</v>
      </c>
      <c r="F300" t="s">
        <v>736</v>
      </c>
      <c r="G300" t="s">
        <v>737</v>
      </c>
      <c r="H300" t="s">
        <v>738</v>
      </c>
      <c r="I300" t="s">
        <v>739</v>
      </c>
      <c r="J300" t="s">
        <v>739</v>
      </c>
      <c r="K300" s="2">
        <v>45107</v>
      </c>
      <c r="L300">
        <v>44818.130286139698</v>
      </c>
      <c r="M300">
        <v>906398.39893830603</v>
      </c>
      <c r="N300">
        <v>15000.069862507</v>
      </c>
      <c r="O300">
        <v>0</v>
      </c>
      <c r="P300">
        <v>-906398.39893830603</v>
      </c>
      <c r="Q300">
        <v>5267.4157562257597</v>
      </c>
      <c r="R300">
        <v>1254.3378775813401</v>
      </c>
      <c r="S300">
        <v>198.86669851888499</v>
      </c>
      <c r="T300">
        <v>269935.46558368398</v>
      </c>
      <c r="U300">
        <v>911411.35311356303</v>
      </c>
      <c r="V300">
        <v>43764.176259484098</v>
      </c>
    </row>
    <row r="301" spans="1:22" x14ac:dyDescent="0.3">
      <c r="A301" t="str">
        <f t="shared" si="8"/>
        <v>OFSAPrevisão</v>
      </c>
      <c r="B301" t="str">
        <f t="shared" si="9"/>
        <v>OFSAPrevisãoSet-2023</v>
      </c>
      <c r="C301" t="s">
        <v>252</v>
      </c>
      <c r="D301" t="s">
        <v>253</v>
      </c>
      <c r="E301" t="s">
        <v>245</v>
      </c>
      <c r="F301" t="s">
        <v>736</v>
      </c>
      <c r="G301" t="s">
        <v>737</v>
      </c>
      <c r="H301" t="s">
        <v>738</v>
      </c>
      <c r="I301" t="s">
        <v>739</v>
      </c>
      <c r="J301" t="s">
        <v>739</v>
      </c>
      <c r="K301" s="2">
        <v>45199</v>
      </c>
      <c r="L301">
        <v>48160.839057395096</v>
      </c>
      <c r="M301">
        <v>972666.55866980203</v>
      </c>
      <c r="N301">
        <v>6652.1079537178302</v>
      </c>
      <c r="O301">
        <v>0</v>
      </c>
      <c r="P301">
        <v>-972666.55866980203</v>
      </c>
      <c r="Q301">
        <v>8939.3912530929792</v>
      </c>
      <c r="R301">
        <v>1384.0668292227399</v>
      </c>
      <c r="S301">
        <v>193.790733570957</v>
      </c>
      <c r="T301">
        <v>308152.60111811402</v>
      </c>
      <c r="U301">
        <v>981299.93738370098</v>
      </c>
      <c r="V301">
        <v>46974.020970827398</v>
      </c>
    </row>
    <row r="302" spans="1:22" x14ac:dyDescent="0.3">
      <c r="A302" t="str">
        <f t="shared" si="8"/>
        <v>GMATPrevisão</v>
      </c>
      <c r="B302" t="str">
        <f t="shared" si="9"/>
        <v>GMATPrevisãoDez-2022</v>
      </c>
      <c r="C302" t="s">
        <v>250</v>
      </c>
      <c r="D302" t="s">
        <v>251</v>
      </c>
      <c r="E302" t="s">
        <v>245</v>
      </c>
      <c r="F302" t="s">
        <v>736</v>
      </c>
      <c r="G302" t="s">
        <v>737</v>
      </c>
      <c r="H302" t="s">
        <v>738</v>
      </c>
      <c r="I302" t="s">
        <v>739</v>
      </c>
      <c r="J302" t="s">
        <v>739</v>
      </c>
      <c r="K302" s="2">
        <v>44925</v>
      </c>
      <c r="L302">
        <v>406438.984126981</v>
      </c>
      <c r="M302">
        <v>6158466.6825397098</v>
      </c>
      <c r="N302">
        <v>-334340.20634921599</v>
      </c>
      <c r="O302">
        <v>0</v>
      </c>
      <c r="P302">
        <v>-6158466.6825397098</v>
      </c>
      <c r="Q302">
        <v>-8149.3888888888296</v>
      </c>
      <c r="R302">
        <v>8050.75396825398</v>
      </c>
      <c r="S302">
        <v>64.484126984126405</v>
      </c>
      <c r="T302">
        <v>2223091.0238095499</v>
      </c>
      <c r="U302">
        <v>6152058.3253969103</v>
      </c>
      <c r="V302">
        <v>411939.20634920901</v>
      </c>
    </row>
    <row r="303" spans="1:22" x14ac:dyDescent="0.3">
      <c r="A303" t="str">
        <f t="shared" si="8"/>
        <v>GMATPrevisão</v>
      </c>
      <c r="B303" t="str">
        <f t="shared" si="9"/>
        <v>GMATPrevisãoMar-2023</v>
      </c>
      <c r="C303" t="s">
        <v>250</v>
      </c>
      <c r="D303" t="s">
        <v>251</v>
      </c>
      <c r="E303" t="s">
        <v>245</v>
      </c>
      <c r="F303" t="s">
        <v>736</v>
      </c>
      <c r="G303" t="s">
        <v>737</v>
      </c>
      <c r="H303" t="s">
        <v>738</v>
      </c>
      <c r="I303" t="s">
        <v>739</v>
      </c>
      <c r="J303" t="s">
        <v>739</v>
      </c>
      <c r="K303" s="2">
        <v>45015</v>
      </c>
      <c r="L303">
        <v>565046.34126983699</v>
      </c>
      <c r="M303">
        <v>4830102.15873018</v>
      </c>
      <c r="N303">
        <v>-627668.896825423</v>
      </c>
      <c r="O303">
        <v>0</v>
      </c>
      <c r="P303">
        <v>-4830102.15873018</v>
      </c>
      <c r="Q303">
        <v>-12544.222222222101</v>
      </c>
      <c r="R303">
        <v>12504.373015873</v>
      </c>
      <c r="S303">
        <v>-49.825396825396297</v>
      </c>
      <c r="T303">
        <v>1916624.23809527</v>
      </c>
      <c r="U303">
        <v>4813869.9206350297</v>
      </c>
      <c r="V303">
        <v>584476.56349206704</v>
      </c>
    </row>
    <row r="304" spans="1:22" x14ac:dyDescent="0.3">
      <c r="A304" t="str">
        <f t="shared" si="8"/>
        <v>GMATPrevisão</v>
      </c>
      <c r="B304" t="str">
        <f t="shared" si="9"/>
        <v>GMATPrevisãoJun-2023</v>
      </c>
      <c r="C304" t="s">
        <v>250</v>
      </c>
      <c r="D304" t="s">
        <v>251</v>
      </c>
      <c r="E304" t="s">
        <v>245</v>
      </c>
      <c r="F304" t="s">
        <v>736</v>
      </c>
      <c r="G304" t="s">
        <v>737</v>
      </c>
      <c r="H304" t="s">
        <v>738</v>
      </c>
      <c r="I304" t="s">
        <v>739</v>
      </c>
      <c r="J304" t="s">
        <v>739</v>
      </c>
      <c r="K304" s="2">
        <v>45107</v>
      </c>
      <c r="L304">
        <v>786457.33910533204</v>
      </c>
      <c r="M304">
        <v>2823660.8578643799</v>
      </c>
      <c r="N304">
        <v>-860068.182539728</v>
      </c>
      <c r="O304">
        <v>0</v>
      </c>
      <c r="P304">
        <v>-2823660.8578643799</v>
      </c>
      <c r="Q304">
        <v>-18390.1616161614</v>
      </c>
      <c r="R304">
        <v>18434.847041846999</v>
      </c>
      <c r="S304">
        <v>-231.84271284271099</v>
      </c>
      <c r="T304">
        <v>1278641.9458875</v>
      </c>
      <c r="U304">
        <v>2789773.0483407001</v>
      </c>
      <c r="V304">
        <v>825536.75829726295</v>
      </c>
    </row>
    <row r="305" spans="1:22" x14ac:dyDescent="0.3">
      <c r="A305" t="str">
        <f t="shared" si="8"/>
        <v>GMATPrevisão</v>
      </c>
      <c r="B305" t="str">
        <f t="shared" si="9"/>
        <v>GMATPrevisãoSet-2023</v>
      </c>
      <c r="C305" t="s">
        <v>250</v>
      </c>
      <c r="D305" t="s">
        <v>251</v>
      </c>
      <c r="E305" t="s">
        <v>245</v>
      </c>
      <c r="F305" t="s">
        <v>736</v>
      </c>
      <c r="G305" t="s">
        <v>737</v>
      </c>
      <c r="H305" t="s">
        <v>738</v>
      </c>
      <c r="I305" t="s">
        <v>739</v>
      </c>
      <c r="J305" t="s">
        <v>739</v>
      </c>
      <c r="K305" s="2">
        <v>45199</v>
      </c>
      <c r="L305">
        <v>1080873.1038960901</v>
      </c>
      <c r="M305">
        <v>54115.896103922198</v>
      </c>
      <c r="N305">
        <v>-999136.74025981606</v>
      </c>
      <c r="O305">
        <v>0</v>
      </c>
      <c r="P305">
        <v>-54115.896103922198</v>
      </c>
      <c r="Q305">
        <v>-25894.333333333099</v>
      </c>
      <c r="R305">
        <v>26052.4891774891</v>
      </c>
      <c r="S305">
        <v>-493.53246753246401</v>
      </c>
      <c r="T305">
        <v>243465.662337747</v>
      </c>
      <c r="U305">
        <v>-6938.8268396407302</v>
      </c>
      <c r="V305">
        <v>1146152.3160173199</v>
      </c>
    </row>
    <row r="306" spans="1:22" x14ac:dyDescent="0.3">
      <c r="A306" t="str">
        <f t="shared" si="8"/>
        <v>BRMLPrevisão</v>
      </c>
      <c r="B306" t="str">
        <f t="shared" si="9"/>
        <v>BRMLPrevisãoDez-2022</v>
      </c>
      <c r="C306" t="s">
        <v>248</v>
      </c>
      <c r="D306" t="s">
        <v>249</v>
      </c>
      <c r="E306" t="s">
        <v>245</v>
      </c>
      <c r="F306" t="s">
        <v>736</v>
      </c>
      <c r="G306" t="s">
        <v>737</v>
      </c>
      <c r="H306" t="s">
        <v>738</v>
      </c>
      <c r="I306" t="s">
        <v>739</v>
      </c>
      <c r="J306" t="s">
        <v>739</v>
      </c>
      <c r="K306" s="2">
        <v>44925</v>
      </c>
      <c r="L306">
        <v>45011.213733955403</v>
      </c>
      <c r="M306">
        <v>16280862.885836599</v>
      </c>
      <c r="N306">
        <v>1225813.96451911</v>
      </c>
      <c r="O306">
        <v>173020.77998471301</v>
      </c>
      <c r="P306">
        <v>-16280862.885836599</v>
      </c>
      <c r="Q306">
        <v>-639759.06408675795</v>
      </c>
      <c r="R306">
        <v>44531.100840330197</v>
      </c>
      <c r="S306">
        <v>6616.1437908489397</v>
      </c>
      <c r="T306">
        <v>2011237.3614306201</v>
      </c>
      <c r="U306">
        <v>11089240.290893501</v>
      </c>
      <c r="V306">
        <v>98293.118580763097</v>
      </c>
    </row>
    <row r="307" spans="1:22" x14ac:dyDescent="0.3">
      <c r="A307" t="str">
        <f t="shared" si="8"/>
        <v>BRMLPrevisão</v>
      </c>
      <c r="B307" t="str">
        <f t="shared" si="9"/>
        <v>BRMLPrevisãoMar-2023</v>
      </c>
      <c r="C307" t="s">
        <v>248</v>
      </c>
      <c r="D307" t="s">
        <v>249</v>
      </c>
      <c r="E307" t="s">
        <v>245</v>
      </c>
      <c r="F307" t="s">
        <v>736</v>
      </c>
      <c r="G307" t="s">
        <v>737</v>
      </c>
      <c r="H307" t="s">
        <v>738</v>
      </c>
      <c r="I307" t="s">
        <v>739</v>
      </c>
      <c r="J307" t="s">
        <v>739</v>
      </c>
      <c r="K307" s="2">
        <v>45015</v>
      </c>
      <c r="L307">
        <v>52393.760076318897</v>
      </c>
      <c r="M307">
        <v>16798994.153299499</v>
      </c>
      <c r="N307">
        <v>1181967.57925145</v>
      </c>
      <c r="O307">
        <v>179505.25613389199</v>
      </c>
      <c r="P307">
        <v>-16798994.153299499</v>
      </c>
      <c r="Q307">
        <v>-740058.45098561095</v>
      </c>
      <c r="R307">
        <v>47583.577333629801</v>
      </c>
      <c r="S307">
        <v>6297.4480530943401</v>
      </c>
      <c r="T307">
        <v>2614586.1255587102</v>
      </c>
      <c r="U307">
        <v>11161082.196123701</v>
      </c>
      <c r="V307">
        <v>99338.617180201996</v>
      </c>
    </row>
    <row r="308" spans="1:22" x14ac:dyDescent="0.3">
      <c r="A308" t="str">
        <f t="shared" si="8"/>
        <v>BRMLPrevisão</v>
      </c>
      <c r="B308" t="str">
        <f t="shared" si="9"/>
        <v>BRMLPrevisãoJun-2023</v>
      </c>
      <c r="C308" t="s">
        <v>248</v>
      </c>
      <c r="D308" t="s">
        <v>249</v>
      </c>
      <c r="E308" t="s">
        <v>245</v>
      </c>
      <c r="F308" t="s">
        <v>736</v>
      </c>
      <c r="G308" t="s">
        <v>737</v>
      </c>
      <c r="H308" t="s">
        <v>738</v>
      </c>
      <c r="I308" t="s">
        <v>739</v>
      </c>
      <c r="J308" t="s">
        <v>739</v>
      </c>
      <c r="K308" s="2">
        <v>45107</v>
      </c>
      <c r="L308">
        <v>61057.034268078103</v>
      </c>
      <c r="M308">
        <v>17377718.7938863</v>
      </c>
      <c r="N308">
        <v>1125096.50557356</v>
      </c>
      <c r="O308">
        <v>186063.36637082</v>
      </c>
      <c r="P308">
        <v>-17377718.7938863</v>
      </c>
      <c r="Q308">
        <v>-857455.70026046305</v>
      </c>
      <c r="R308">
        <v>50862.960202566297</v>
      </c>
      <c r="S308">
        <v>5923.42943341316</v>
      </c>
      <c r="T308">
        <v>3318192.58956414</v>
      </c>
      <c r="U308">
        <v>11240515.792845899</v>
      </c>
      <c r="V308">
        <v>100097.851593738</v>
      </c>
    </row>
    <row r="309" spans="1:22" x14ac:dyDescent="0.3">
      <c r="A309" t="str">
        <f t="shared" si="8"/>
        <v>BRMLPrevisão</v>
      </c>
      <c r="B309" t="str">
        <f t="shared" si="9"/>
        <v>BRMLPrevisãoSet-2023</v>
      </c>
      <c r="C309" t="s">
        <v>248</v>
      </c>
      <c r="D309" t="s">
        <v>249</v>
      </c>
      <c r="E309" t="s">
        <v>245</v>
      </c>
      <c r="F309" t="s">
        <v>736</v>
      </c>
      <c r="G309" t="s">
        <v>737</v>
      </c>
      <c r="H309" t="s">
        <v>738</v>
      </c>
      <c r="I309" t="s">
        <v>739</v>
      </c>
      <c r="J309" t="s">
        <v>739</v>
      </c>
      <c r="K309" s="2">
        <v>45199</v>
      </c>
      <c r="L309">
        <v>71061.802682504203</v>
      </c>
      <c r="M309">
        <v>18020737.128802001</v>
      </c>
      <c r="N309">
        <v>1054439.8449417499</v>
      </c>
      <c r="O309">
        <v>192688.78279830699</v>
      </c>
      <c r="P309">
        <v>-18020737.128802001</v>
      </c>
      <c r="Q309">
        <v>-992963.56246311497</v>
      </c>
      <c r="R309">
        <v>54378.432903518398</v>
      </c>
      <c r="S309">
        <v>5491.8559796817899</v>
      </c>
      <c r="T309">
        <v>4127369.1176037998</v>
      </c>
      <c r="U309">
        <v>11328467.1736186</v>
      </c>
      <c r="V309">
        <v>100553.9335225</v>
      </c>
    </row>
    <row r="310" spans="1:22" x14ac:dyDescent="0.3">
      <c r="A310" t="str">
        <f t="shared" si="8"/>
        <v>CRFBPrevisão</v>
      </c>
      <c r="B310" t="str">
        <f t="shared" si="9"/>
        <v>CRFBPrevisãoDez-2022</v>
      </c>
      <c r="C310" t="s">
        <v>246</v>
      </c>
      <c r="D310" t="s">
        <v>247</v>
      </c>
      <c r="E310" t="s">
        <v>245</v>
      </c>
      <c r="F310" t="s">
        <v>736</v>
      </c>
      <c r="G310" t="s">
        <v>737</v>
      </c>
      <c r="H310" t="s">
        <v>738</v>
      </c>
      <c r="I310" t="s">
        <v>739</v>
      </c>
      <c r="J310" t="s">
        <v>739</v>
      </c>
      <c r="K310" s="2">
        <v>44925</v>
      </c>
      <c r="L310">
        <v>228468.95424838201</v>
      </c>
      <c r="M310">
        <v>50102129.0849673</v>
      </c>
      <c r="N310">
        <v>14124988.5620916</v>
      </c>
      <c r="O310">
        <v>3395189.5424836702</v>
      </c>
      <c r="P310">
        <v>-50102129.0849673</v>
      </c>
      <c r="Q310">
        <v>-22633269.607843</v>
      </c>
      <c r="R310">
        <v>539143.79084966495</v>
      </c>
      <c r="S310">
        <v>175921.568627467</v>
      </c>
      <c r="T310">
        <v>7740148.6928104199</v>
      </c>
      <c r="U310">
        <v>22519200.980390999</v>
      </c>
      <c r="V310">
        <v>17779297.385620799</v>
      </c>
    </row>
    <row r="311" spans="1:22" x14ac:dyDescent="0.3">
      <c r="A311" t="str">
        <f t="shared" si="8"/>
        <v>CRFBPrevisão</v>
      </c>
      <c r="B311" t="str">
        <f t="shared" si="9"/>
        <v>CRFBPrevisãoMar-2023</v>
      </c>
      <c r="C311" t="s">
        <v>246</v>
      </c>
      <c r="D311" t="s">
        <v>247</v>
      </c>
      <c r="E311" t="s">
        <v>245</v>
      </c>
      <c r="F311" t="s">
        <v>736</v>
      </c>
      <c r="G311" t="s">
        <v>737</v>
      </c>
      <c r="H311" t="s">
        <v>738</v>
      </c>
      <c r="I311" t="s">
        <v>739</v>
      </c>
      <c r="J311" t="s">
        <v>739</v>
      </c>
      <c r="K311" s="2">
        <v>45015</v>
      </c>
      <c r="L311">
        <v>22511.265909900001</v>
      </c>
      <c r="M311">
        <v>54129732.800137497</v>
      </c>
      <c r="N311">
        <v>14398877.364981299</v>
      </c>
      <c r="O311">
        <v>4011076.7973856302</v>
      </c>
      <c r="P311">
        <v>-54129732.800137497</v>
      </c>
      <c r="Q311">
        <v>-25291091.847265098</v>
      </c>
      <c r="R311">
        <v>579068.97144821798</v>
      </c>
      <c r="S311">
        <v>138429.05056761799</v>
      </c>
      <c r="T311">
        <v>8115160.3027175199</v>
      </c>
      <c r="U311">
        <v>24738317.853455801</v>
      </c>
      <c r="V311">
        <v>18982972.3082214</v>
      </c>
    </row>
    <row r="312" spans="1:22" x14ac:dyDescent="0.3">
      <c r="A312" t="str">
        <f t="shared" si="8"/>
        <v>CRFBPrevisão</v>
      </c>
      <c r="B312" t="str">
        <f t="shared" si="9"/>
        <v>CRFBPrevisãoJun-2023</v>
      </c>
      <c r="C312" t="s">
        <v>246</v>
      </c>
      <c r="D312" t="s">
        <v>247</v>
      </c>
      <c r="E312" t="s">
        <v>245</v>
      </c>
      <c r="F312" t="s">
        <v>736</v>
      </c>
      <c r="G312" t="s">
        <v>737</v>
      </c>
      <c r="H312" t="s">
        <v>738</v>
      </c>
      <c r="I312" t="s">
        <v>739</v>
      </c>
      <c r="J312" t="s">
        <v>739</v>
      </c>
      <c r="K312" s="2">
        <v>45107</v>
      </c>
      <c r="L312">
        <v>-237479.70416232399</v>
      </c>
      <c r="M312">
        <v>58472566.391468801</v>
      </c>
      <c r="N312">
        <v>14484991.916064899</v>
      </c>
      <c r="O312">
        <v>4713008.9439284597</v>
      </c>
      <c r="P312">
        <v>-58472566.391468801</v>
      </c>
      <c r="Q312">
        <v>-28155962.3323013</v>
      </c>
      <c r="R312">
        <v>624413.14069486095</v>
      </c>
      <c r="S312">
        <v>89868.937048533102</v>
      </c>
      <c r="T312">
        <v>8452770.7258341108</v>
      </c>
      <c r="U312">
        <v>27355481.424146801</v>
      </c>
      <c r="V312">
        <v>20267684.898520701</v>
      </c>
    </row>
    <row r="313" spans="1:22" x14ac:dyDescent="0.3">
      <c r="A313" t="str">
        <f t="shared" si="8"/>
        <v>CRFBPrevisão</v>
      </c>
      <c r="B313" t="str">
        <f t="shared" si="9"/>
        <v>CRFBPrevisãoSet-2023</v>
      </c>
      <c r="C313" t="s">
        <v>246</v>
      </c>
      <c r="D313" t="s">
        <v>247</v>
      </c>
      <c r="E313" t="s">
        <v>245</v>
      </c>
      <c r="F313" t="s">
        <v>736</v>
      </c>
      <c r="G313" t="s">
        <v>737</v>
      </c>
      <c r="H313" t="s">
        <v>738</v>
      </c>
      <c r="I313" t="s">
        <v>739</v>
      </c>
      <c r="J313" t="s">
        <v>739</v>
      </c>
      <c r="K313" s="2">
        <v>45199</v>
      </c>
      <c r="L313">
        <v>-556490.71207424498</v>
      </c>
      <c r="M313">
        <v>63143712.590299197</v>
      </c>
      <c r="N313">
        <v>14358786.3777094</v>
      </c>
      <c r="O313">
        <v>5506760.0619195104</v>
      </c>
      <c r="P313">
        <v>-63143712.590299197</v>
      </c>
      <c r="Q313">
        <v>-31231183.694530401</v>
      </c>
      <c r="R313">
        <v>675650.15479874494</v>
      </c>
      <c r="S313">
        <v>29149.122807055101</v>
      </c>
      <c r="T313">
        <v>8746376.6769864708</v>
      </c>
      <c r="U313">
        <v>30408313.725488</v>
      </c>
      <c r="V313">
        <v>21635732.714138199</v>
      </c>
    </row>
    <row r="314" spans="1:22" x14ac:dyDescent="0.3">
      <c r="A314" t="str">
        <f t="shared" si="8"/>
        <v>ALSOPrevisão</v>
      </c>
      <c r="B314" t="str">
        <f t="shared" si="9"/>
        <v>ALSOPrevisãoDez-2022</v>
      </c>
      <c r="C314" t="s">
        <v>243</v>
      </c>
      <c r="D314" t="s">
        <v>244</v>
      </c>
      <c r="E314" t="s">
        <v>245</v>
      </c>
      <c r="F314" t="s">
        <v>736</v>
      </c>
      <c r="G314" t="s">
        <v>737</v>
      </c>
      <c r="H314" t="s">
        <v>738</v>
      </c>
      <c r="I314" t="s">
        <v>739</v>
      </c>
      <c r="J314" t="s">
        <v>739</v>
      </c>
      <c r="K314" s="2">
        <v>44925</v>
      </c>
      <c r="L314">
        <v>80941.353620237307</v>
      </c>
      <c r="M314">
        <v>11478993.438077999</v>
      </c>
      <c r="N314">
        <v>2312917.24666841</v>
      </c>
      <c r="O314">
        <v>60193.2153467471</v>
      </c>
      <c r="P314">
        <v>-11478993.438077999</v>
      </c>
      <c r="Q314">
        <v>-661373.68237009598</v>
      </c>
      <c r="R314">
        <v>-11.383838383843001</v>
      </c>
      <c r="S314">
        <v>8537.8366861895502</v>
      </c>
      <c r="T314">
        <v>-59441.853577324102</v>
      </c>
      <c r="U314">
        <v>8402921.8952546995</v>
      </c>
      <c r="V314">
        <v>50808.158051104903</v>
      </c>
    </row>
    <row r="315" spans="1:22" x14ac:dyDescent="0.3">
      <c r="A315" t="str">
        <f t="shared" si="8"/>
        <v>ALSOPrevisão</v>
      </c>
      <c r="B315" t="str">
        <f t="shared" si="9"/>
        <v>ALSOPrevisãoMar-2023</v>
      </c>
      <c r="C315" t="s">
        <v>243</v>
      </c>
      <c r="D315" t="s">
        <v>244</v>
      </c>
      <c r="E315" t="s">
        <v>245</v>
      </c>
      <c r="F315" t="s">
        <v>736</v>
      </c>
      <c r="G315" t="s">
        <v>737</v>
      </c>
      <c r="H315" t="s">
        <v>738</v>
      </c>
      <c r="I315" t="s">
        <v>739</v>
      </c>
      <c r="J315" t="s">
        <v>739</v>
      </c>
      <c r="K315" s="2">
        <v>45015</v>
      </c>
      <c r="L315">
        <v>91531.6684744347</v>
      </c>
      <c r="M315">
        <v>12314267.312536901</v>
      </c>
      <c r="N315">
        <v>2604160.2381687099</v>
      </c>
      <c r="O315">
        <v>65897.575067047699</v>
      </c>
      <c r="P315">
        <v>-12314267.312536901</v>
      </c>
      <c r="Q315">
        <v>-746124.02518734999</v>
      </c>
      <c r="R315">
        <v>-15.0421292186039</v>
      </c>
      <c r="S315">
        <v>9497.9330874035604</v>
      </c>
      <c r="T315">
        <v>-128024.05357174099</v>
      </c>
      <c r="U315">
        <v>8920284.2096063998</v>
      </c>
      <c r="V315">
        <v>53987.282064346997</v>
      </c>
    </row>
    <row r="316" spans="1:22" x14ac:dyDescent="0.3">
      <c r="A316" t="str">
        <f t="shared" si="8"/>
        <v>ALSOPrevisão</v>
      </c>
      <c r="B316" t="str">
        <f t="shared" si="9"/>
        <v>ALSOPrevisãoJun-2023</v>
      </c>
      <c r="C316" t="s">
        <v>243</v>
      </c>
      <c r="D316" t="s">
        <v>244</v>
      </c>
      <c r="E316" t="s">
        <v>245</v>
      </c>
      <c r="F316" t="s">
        <v>736</v>
      </c>
      <c r="G316" t="s">
        <v>737</v>
      </c>
      <c r="H316" t="s">
        <v>738</v>
      </c>
      <c r="I316" t="s">
        <v>739</v>
      </c>
      <c r="J316" t="s">
        <v>739</v>
      </c>
      <c r="K316" s="2">
        <v>45107</v>
      </c>
      <c r="L316">
        <v>103127.043133441</v>
      </c>
      <c r="M316">
        <v>13198128.5204797</v>
      </c>
      <c r="N316">
        <v>2918712.5410787598</v>
      </c>
      <c r="O316">
        <v>71900.5837482387</v>
      </c>
      <c r="P316">
        <v>-13198128.5204797</v>
      </c>
      <c r="Q316">
        <v>-838373.66168069595</v>
      </c>
      <c r="R316">
        <v>-18.934645956321301</v>
      </c>
      <c r="S316">
        <v>10523.283999732699</v>
      </c>
      <c r="T316">
        <v>-196562.667569435</v>
      </c>
      <c r="U316">
        <v>9462200.3693552893</v>
      </c>
      <c r="V316">
        <v>57447.945174645203</v>
      </c>
    </row>
    <row r="317" spans="1:22" x14ac:dyDescent="0.3">
      <c r="A317" t="str">
        <f t="shared" si="8"/>
        <v>ALSOPrevisão</v>
      </c>
      <c r="B317" t="str">
        <f t="shared" si="9"/>
        <v>ALSOPrevisãoSet-2023</v>
      </c>
      <c r="C317" t="s">
        <v>243</v>
      </c>
      <c r="D317" t="s">
        <v>244</v>
      </c>
      <c r="E317" t="s">
        <v>245</v>
      </c>
      <c r="F317" t="s">
        <v>736</v>
      </c>
      <c r="G317" t="s">
        <v>737</v>
      </c>
      <c r="H317" t="s">
        <v>738</v>
      </c>
      <c r="I317" t="s">
        <v>739</v>
      </c>
      <c r="J317" t="s">
        <v>739</v>
      </c>
      <c r="K317" s="2">
        <v>45199</v>
      </c>
      <c r="L317">
        <v>115764.175382703</v>
      </c>
      <c r="M317">
        <v>14131948.4005365</v>
      </c>
      <c r="N317">
        <v>3257404.9313233998</v>
      </c>
      <c r="O317">
        <v>78208.215710545206</v>
      </c>
      <c r="P317">
        <v>-14131948.4005365</v>
      </c>
      <c r="Q317">
        <v>-938437.13059982203</v>
      </c>
      <c r="R317">
        <v>-23.064906198035899</v>
      </c>
      <c r="S317">
        <v>11615.930784051299</v>
      </c>
      <c r="T317">
        <v>-264836.81002572202</v>
      </c>
      <c r="U317">
        <v>10029144.0748167</v>
      </c>
      <c r="V317">
        <v>61197.962070207403</v>
      </c>
    </row>
    <row r="318" spans="1:22" x14ac:dyDescent="0.3">
      <c r="A318" t="str">
        <f t="shared" si="8"/>
        <v>ORVRPrevisão</v>
      </c>
      <c r="B318" t="str">
        <f t="shared" si="9"/>
        <v>ORVRPrevisãoDez-2022</v>
      </c>
      <c r="C318" t="s">
        <v>595</v>
      </c>
      <c r="D318" t="s">
        <v>596</v>
      </c>
      <c r="E318" t="s">
        <v>582</v>
      </c>
      <c r="F318" t="s">
        <v>736</v>
      </c>
      <c r="G318" t="s">
        <v>737</v>
      </c>
      <c r="H318" t="s">
        <v>738</v>
      </c>
      <c r="I318" t="s">
        <v>739</v>
      </c>
      <c r="J318" t="s">
        <v>739</v>
      </c>
      <c r="K318" s="2">
        <v>44925</v>
      </c>
      <c r="L318">
        <v>-35690.9000000007</v>
      </c>
      <c r="M318">
        <v>1342177.5666666899</v>
      </c>
      <c r="N318">
        <v>-197823.03333332701</v>
      </c>
      <c r="O318">
        <v>-13275.200000000101</v>
      </c>
      <c r="P318">
        <v>-1342177.5666666899</v>
      </c>
      <c r="Q318">
        <v>6715.6333333334996</v>
      </c>
      <c r="R318">
        <v>193.9333333333</v>
      </c>
      <c r="S318">
        <v>877.46666666674105</v>
      </c>
      <c r="T318">
        <v>0</v>
      </c>
      <c r="U318">
        <v>456339.36666667601</v>
      </c>
      <c r="V318">
        <v>-4162.1333333339699</v>
      </c>
    </row>
    <row r="319" spans="1:22" x14ac:dyDescent="0.3">
      <c r="A319" t="str">
        <f t="shared" si="8"/>
        <v>ORVRPrevisão</v>
      </c>
      <c r="B319" t="str">
        <f t="shared" si="9"/>
        <v>ORVRPrevisãoMar-2023</v>
      </c>
      <c r="C319" t="s">
        <v>595</v>
      </c>
      <c r="D319" t="s">
        <v>596</v>
      </c>
      <c r="E319" t="s">
        <v>582</v>
      </c>
      <c r="F319" t="s">
        <v>736</v>
      </c>
      <c r="G319" t="s">
        <v>737</v>
      </c>
      <c r="H319" t="s">
        <v>738</v>
      </c>
      <c r="I319" t="s">
        <v>739</v>
      </c>
      <c r="J319" t="s">
        <v>739</v>
      </c>
      <c r="K319" s="2">
        <v>45015</v>
      </c>
      <c r="L319">
        <v>-47469.612121213599</v>
      </c>
      <c r="M319">
        <v>1482136.8393939801</v>
      </c>
      <c r="N319">
        <v>-420477.91212120198</v>
      </c>
      <c r="O319">
        <v>-30250.5636363638</v>
      </c>
      <c r="P319">
        <v>-1482136.8393939801</v>
      </c>
      <c r="Q319">
        <v>25339.421212121299</v>
      </c>
      <c r="R319">
        <v>625.47878787875095</v>
      </c>
      <c r="S319">
        <v>2237.1030303031598</v>
      </c>
      <c r="T319">
        <v>0</v>
      </c>
      <c r="U319">
        <v>527477.139393955</v>
      </c>
      <c r="V319">
        <v>-25922.027272728701</v>
      </c>
    </row>
    <row r="320" spans="1:22" x14ac:dyDescent="0.3">
      <c r="A320" t="str">
        <f t="shared" si="8"/>
        <v>ORVRPrevisão</v>
      </c>
      <c r="B320" t="str">
        <f t="shared" si="9"/>
        <v>ORVRPrevisãoJun-2023</v>
      </c>
      <c r="C320" t="s">
        <v>595</v>
      </c>
      <c r="D320" t="s">
        <v>596</v>
      </c>
      <c r="E320" t="s">
        <v>582</v>
      </c>
      <c r="F320" t="s">
        <v>736</v>
      </c>
      <c r="G320" t="s">
        <v>737</v>
      </c>
      <c r="H320" t="s">
        <v>738</v>
      </c>
      <c r="I320" t="s">
        <v>739</v>
      </c>
      <c r="J320" t="s">
        <v>739</v>
      </c>
      <c r="K320" s="2">
        <v>45107</v>
      </c>
      <c r="L320">
        <v>-62757.884848487301</v>
      </c>
      <c r="M320">
        <v>1678963.7333334</v>
      </c>
      <c r="N320">
        <v>-698392.68484846898</v>
      </c>
      <c r="O320">
        <v>-53663.442424242799</v>
      </c>
      <c r="P320">
        <v>-1678963.7333334</v>
      </c>
      <c r="Q320">
        <v>50088.678787878896</v>
      </c>
      <c r="R320">
        <v>1326.1757575757199</v>
      </c>
      <c r="S320">
        <v>4306.3151515153504</v>
      </c>
      <c r="T320">
        <v>0</v>
      </c>
      <c r="U320">
        <v>638393.68484851101</v>
      </c>
      <c r="V320">
        <v>-58036.496969699503</v>
      </c>
    </row>
    <row r="321" spans="1:22" x14ac:dyDescent="0.3">
      <c r="A321" t="str">
        <f t="shared" si="8"/>
        <v>ORVRPrevisão</v>
      </c>
      <c r="B321" t="str">
        <f t="shared" si="9"/>
        <v>ORVRPrevisãoSet-2023</v>
      </c>
      <c r="C321" t="s">
        <v>595</v>
      </c>
      <c r="D321" t="s">
        <v>596</v>
      </c>
      <c r="E321" t="s">
        <v>582</v>
      </c>
      <c r="F321" t="s">
        <v>736</v>
      </c>
      <c r="G321" t="s">
        <v>737</v>
      </c>
      <c r="H321" t="s">
        <v>738</v>
      </c>
      <c r="I321" t="s">
        <v>739</v>
      </c>
      <c r="J321" t="s">
        <v>739</v>
      </c>
      <c r="K321" s="2">
        <v>45199</v>
      </c>
      <c r="L321">
        <v>-82073.682051285796</v>
      </c>
      <c r="M321">
        <v>1944592.0923077799</v>
      </c>
      <c r="N321">
        <v>-1035971.01118878</v>
      </c>
      <c r="O321">
        <v>-84415.554312355001</v>
      </c>
      <c r="P321">
        <v>-1944592.0923077799</v>
      </c>
      <c r="Q321">
        <v>81678.844289044297</v>
      </c>
      <c r="R321">
        <v>2345.5720279719899</v>
      </c>
      <c r="S321">
        <v>7206.3384615387504</v>
      </c>
      <c r="T321">
        <v>0</v>
      </c>
      <c r="U321">
        <v>798512.55431239202</v>
      </c>
      <c r="V321">
        <v>-102231.494638698</v>
      </c>
    </row>
    <row r="322" spans="1:22" x14ac:dyDescent="0.3">
      <c r="A322" t="str">
        <f t="shared" ref="A322:A385" si="10">_xlfn.CONCAT(D322,F322)</f>
        <v>IGSNPrevisão</v>
      </c>
      <c r="B322" t="str">
        <f t="shared" ref="B322:B385" si="11">_xlfn.CONCAT(D322,F322,PROPER(TEXT(K322,"mmm-aaaa")))</f>
        <v>IGSNPrevisãoDez-2022</v>
      </c>
      <c r="C322" t="s">
        <v>593</v>
      </c>
      <c r="D322" t="s">
        <v>594</v>
      </c>
      <c r="E322" t="s">
        <v>582</v>
      </c>
      <c r="F322" t="s">
        <v>736</v>
      </c>
      <c r="G322" t="s">
        <v>737</v>
      </c>
      <c r="H322" t="s">
        <v>738</v>
      </c>
      <c r="I322" t="s">
        <v>739</v>
      </c>
      <c r="J322" t="s">
        <v>739</v>
      </c>
      <c r="K322" s="2">
        <v>44925</v>
      </c>
      <c r="L322">
        <v>-190595.7684729</v>
      </c>
      <c r="M322">
        <v>6198908.9920816598</v>
      </c>
      <c r="N322">
        <v>829641.83451935195</v>
      </c>
      <c r="O322">
        <v>531526.61547160405</v>
      </c>
      <c r="P322">
        <v>-6198908.9920816598</v>
      </c>
      <c r="Q322">
        <v>-139246.93658101701</v>
      </c>
      <c r="R322">
        <v>-6.7090311986911697</v>
      </c>
      <c r="S322">
        <v>4386.1131545340604</v>
      </c>
      <c r="T322">
        <v>8630.4402846889207</v>
      </c>
      <c r="U322">
        <v>4274716.3404854601</v>
      </c>
      <c r="V322">
        <v>649.37547892640305</v>
      </c>
    </row>
    <row r="323" spans="1:22" x14ac:dyDescent="0.3">
      <c r="A323" t="str">
        <f t="shared" si="10"/>
        <v>IGSNPrevisão</v>
      </c>
      <c r="B323" t="str">
        <f t="shared" si="11"/>
        <v>IGSNPrevisãoMar-2023</v>
      </c>
      <c r="C323" t="s">
        <v>593</v>
      </c>
      <c r="D323" t="s">
        <v>594</v>
      </c>
      <c r="E323" t="s">
        <v>582</v>
      </c>
      <c r="F323" t="s">
        <v>736</v>
      </c>
      <c r="G323" t="s">
        <v>737</v>
      </c>
      <c r="H323" t="s">
        <v>738</v>
      </c>
      <c r="I323" t="s">
        <v>739</v>
      </c>
      <c r="J323" t="s">
        <v>739</v>
      </c>
      <c r="K323" s="2">
        <v>45015</v>
      </c>
      <c r="L323">
        <v>-232568.69029079101</v>
      </c>
      <c r="M323">
        <v>7127908.4864581199</v>
      </c>
      <c r="N323">
        <v>966512.27721583599</v>
      </c>
      <c r="O323">
        <v>542192.81710657396</v>
      </c>
      <c r="P323">
        <v>-7127908.4864581199</v>
      </c>
      <c r="Q323">
        <v>-161931.24201740499</v>
      </c>
      <c r="R323">
        <v>-12.2591662694037</v>
      </c>
      <c r="S323">
        <v>4828.1518394926798</v>
      </c>
      <c r="T323">
        <v>23791.272849982299</v>
      </c>
      <c r="U323">
        <v>4917418.69742529</v>
      </c>
      <c r="V323">
        <v>760.30503027964301</v>
      </c>
    </row>
    <row r="324" spans="1:22" x14ac:dyDescent="0.3">
      <c r="A324" t="str">
        <f t="shared" si="10"/>
        <v>IGSNPrevisão</v>
      </c>
      <c r="B324" t="str">
        <f t="shared" si="11"/>
        <v>IGSNPrevisãoJun-2023</v>
      </c>
      <c r="C324" t="s">
        <v>593</v>
      </c>
      <c r="D324" t="s">
        <v>594</v>
      </c>
      <c r="E324" t="s">
        <v>582</v>
      </c>
      <c r="F324" t="s">
        <v>736</v>
      </c>
      <c r="G324" t="s">
        <v>737</v>
      </c>
      <c r="H324" t="s">
        <v>738</v>
      </c>
      <c r="I324" t="s">
        <v>739</v>
      </c>
      <c r="J324" t="s">
        <v>739</v>
      </c>
      <c r="K324" s="2">
        <v>45107</v>
      </c>
      <c r="L324">
        <v>-279483.34151039901</v>
      </c>
      <c r="M324">
        <v>8149236.2513512</v>
      </c>
      <c r="N324">
        <v>1117930.4081991301</v>
      </c>
      <c r="O324">
        <v>552096.89044643706</v>
      </c>
      <c r="P324">
        <v>-8149236.2513512</v>
      </c>
      <c r="Q324">
        <v>-189133.092382464</v>
      </c>
      <c r="R324">
        <v>-19.301554637430701</v>
      </c>
      <c r="S324">
        <v>5305.8264007336002</v>
      </c>
      <c r="T324">
        <v>41427.3144305842</v>
      </c>
      <c r="U324">
        <v>5622913.5091914702</v>
      </c>
      <c r="V324">
        <v>921.67984488834702</v>
      </c>
    </row>
    <row r="325" spans="1:22" x14ac:dyDescent="0.3">
      <c r="A325" t="str">
        <f t="shared" si="10"/>
        <v>IGSNPrevisão</v>
      </c>
      <c r="B325" t="str">
        <f t="shared" si="11"/>
        <v>IGSNPrevisãoSet-2023</v>
      </c>
      <c r="C325" t="s">
        <v>593</v>
      </c>
      <c r="D325" t="s">
        <v>594</v>
      </c>
      <c r="E325" t="s">
        <v>582</v>
      </c>
      <c r="F325" t="s">
        <v>736</v>
      </c>
      <c r="G325" t="s">
        <v>737</v>
      </c>
      <c r="H325" t="s">
        <v>738</v>
      </c>
      <c r="I325" t="s">
        <v>739</v>
      </c>
      <c r="J325" t="s">
        <v>739</v>
      </c>
      <c r="K325" s="2">
        <v>45199</v>
      </c>
      <c r="L325">
        <v>-331591.42465472798</v>
      </c>
      <c r="M325">
        <v>9267140.7510482892</v>
      </c>
      <c r="N325">
        <v>1284596.6046218299</v>
      </c>
      <c r="O325">
        <v>561203.52833968005</v>
      </c>
      <c r="P325">
        <v>-9267140.7510482892</v>
      </c>
      <c r="Q325">
        <v>-221170.32337794401</v>
      </c>
      <c r="R325">
        <v>-27.9750290125167</v>
      </c>
      <c r="S325">
        <v>5820.6774871446396</v>
      </c>
      <c r="T325">
        <v>61683.482714217498</v>
      </c>
      <c r="U325">
        <v>6394038.9985155798</v>
      </c>
      <c r="V325">
        <v>1137.3423599161299</v>
      </c>
    </row>
    <row r="326" spans="1:22" x14ac:dyDescent="0.3">
      <c r="A326" t="str">
        <f t="shared" si="10"/>
        <v>SAPRPrevisão</v>
      </c>
      <c r="B326" t="str">
        <f t="shared" si="11"/>
        <v>SAPRPrevisãoDez-2022</v>
      </c>
      <c r="C326" t="s">
        <v>591</v>
      </c>
      <c r="D326" t="s">
        <v>592</v>
      </c>
      <c r="E326" t="s">
        <v>582</v>
      </c>
      <c r="F326" t="s">
        <v>736</v>
      </c>
      <c r="G326" t="s">
        <v>737</v>
      </c>
      <c r="H326" t="s">
        <v>738</v>
      </c>
      <c r="I326" t="s">
        <v>739</v>
      </c>
      <c r="J326" t="s">
        <v>739</v>
      </c>
      <c r="K326" s="2">
        <v>44925</v>
      </c>
      <c r="L326">
        <v>278894.86401832598</v>
      </c>
      <c r="M326">
        <v>16777144.0303877</v>
      </c>
      <c r="N326">
        <v>2831560.63534514</v>
      </c>
      <c r="O326">
        <v>1172283.80757147</v>
      </c>
      <c r="P326">
        <v>-16777144.0303877</v>
      </c>
      <c r="Q326">
        <v>-1382774.91486288</v>
      </c>
      <c r="R326">
        <v>64161.5893387869</v>
      </c>
      <c r="S326">
        <v>88248.308292999995</v>
      </c>
      <c r="T326">
        <v>3544487.3534506899</v>
      </c>
      <c r="U326">
        <v>8743184.2105947603</v>
      </c>
      <c r="V326">
        <v>1434296.89678295</v>
      </c>
    </row>
    <row r="327" spans="1:22" x14ac:dyDescent="0.3">
      <c r="A327" t="str">
        <f t="shared" si="10"/>
        <v>SAPRPrevisão</v>
      </c>
      <c r="B327" t="str">
        <f t="shared" si="11"/>
        <v>SAPRPrevisãoMar-2023</v>
      </c>
      <c r="C327" t="s">
        <v>591</v>
      </c>
      <c r="D327" t="s">
        <v>592</v>
      </c>
      <c r="E327" t="s">
        <v>582</v>
      </c>
      <c r="F327" t="s">
        <v>736</v>
      </c>
      <c r="G327" t="s">
        <v>737</v>
      </c>
      <c r="H327" t="s">
        <v>738</v>
      </c>
      <c r="I327" t="s">
        <v>739</v>
      </c>
      <c r="J327" t="s">
        <v>739</v>
      </c>
      <c r="K327" s="2">
        <v>45015</v>
      </c>
      <c r="L327">
        <v>279821.90084582899</v>
      </c>
      <c r="M327">
        <v>17366985.625223201</v>
      </c>
      <c r="N327">
        <v>3019963.7794755399</v>
      </c>
      <c r="O327">
        <v>1230453.59677856</v>
      </c>
      <c r="P327">
        <v>-17366985.625223201</v>
      </c>
      <c r="Q327">
        <v>-1354097.3343702301</v>
      </c>
      <c r="R327">
        <v>45997.604535036298</v>
      </c>
      <c r="S327">
        <v>84611.332725374406</v>
      </c>
      <c r="T327">
        <v>3638815.76825742</v>
      </c>
      <c r="U327">
        <v>9058293.5632470809</v>
      </c>
      <c r="V327">
        <v>1460418.8407467699</v>
      </c>
    </row>
    <row r="328" spans="1:22" x14ac:dyDescent="0.3">
      <c r="A328" t="str">
        <f t="shared" si="10"/>
        <v>SAPRPrevisão</v>
      </c>
      <c r="B328" t="str">
        <f t="shared" si="11"/>
        <v>SAPRPrevisãoJun-2023</v>
      </c>
      <c r="C328" t="s">
        <v>591</v>
      </c>
      <c r="D328" t="s">
        <v>592</v>
      </c>
      <c r="E328" t="s">
        <v>582</v>
      </c>
      <c r="F328" t="s">
        <v>736</v>
      </c>
      <c r="G328" t="s">
        <v>737</v>
      </c>
      <c r="H328" t="s">
        <v>738</v>
      </c>
      <c r="I328" t="s">
        <v>739</v>
      </c>
      <c r="J328" t="s">
        <v>739</v>
      </c>
      <c r="K328" s="2">
        <v>45107</v>
      </c>
      <c r="L328">
        <v>279817.25020201597</v>
      </c>
      <c r="M328">
        <v>17978502.626701102</v>
      </c>
      <c r="N328">
        <v>3219800.5386433098</v>
      </c>
      <c r="O328">
        <v>1291890.6816974599</v>
      </c>
      <c r="P328">
        <v>-17978502.626701102</v>
      </c>
      <c r="Q328">
        <v>-1318278.8770240101</v>
      </c>
      <c r="R328">
        <v>25237.8829203317</v>
      </c>
      <c r="S328">
        <v>80192.989915390499</v>
      </c>
      <c r="T328">
        <v>3727306.19699188</v>
      </c>
      <c r="U328">
        <v>9385489.2419468705</v>
      </c>
      <c r="V328">
        <v>1485844.96657443</v>
      </c>
    </row>
    <row r="329" spans="1:22" x14ac:dyDescent="0.3">
      <c r="A329" t="str">
        <f t="shared" si="10"/>
        <v>SAPRPrevisão</v>
      </c>
      <c r="B329" t="str">
        <f t="shared" si="11"/>
        <v>SAPRPrevisãoSet-2023</v>
      </c>
      <c r="C329" t="s">
        <v>591</v>
      </c>
      <c r="D329" t="s">
        <v>592</v>
      </c>
      <c r="E329" t="s">
        <v>582</v>
      </c>
      <c r="F329" t="s">
        <v>736</v>
      </c>
      <c r="G329" t="s">
        <v>737</v>
      </c>
      <c r="H329" t="s">
        <v>738</v>
      </c>
      <c r="I329" t="s">
        <v>739</v>
      </c>
      <c r="J329" t="s">
        <v>739</v>
      </c>
      <c r="K329" s="2">
        <v>45199</v>
      </c>
      <c r="L329">
        <v>278826.40592975199</v>
      </c>
      <c r="M329">
        <v>18612260.9949845</v>
      </c>
      <c r="N329">
        <v>3431456.0843519899</v>
      </c>
      <c r="O329">
        <v>1356713.6377508</v>
      </c>
      <c r="P329">
        <v>-18612260.9949845</v>
      </c>
      <c r="Q329">
        <v>-1274984.6528338999</v>
      </c>
      <c r="R329">
        <v>1757.3196492402899</v>
      </c>
      <c r="S329">
        <v>74953.184469315296</v>
      </c>
      <c r="T329">
        <v>3809408.3173960601</v>
      </c>
      <c r="U329">
        <v>9725179.3183072507</v>
      </c>
      <c r="V329">
        <v>1510530.14840491</v>
      </c>
    </row>
    <row r="330" spans="1:22" x14ac:dyDescent="0.3">
      <c r="A330" t="str">
        <f t="shared" si="10"/>
        <v>CSMGPrevisão</v>
      </c>
      <c r="B330" t="str">
        <f t="shared" si="11"/>
        <v>CSMGPrevisãoDez-2022</v>
      </c>
      <c r="C330" t="s">
        <v>589</v>
      </c>
      <c r="D330" t="s">
        <v>590</v>
      </c>
      <c r="E330" t="s">
        <v>582</v>
      </c>
      <c r="F330" t="s">
        <v>736</v>
      </c>
      <c r="G330" t="s">
        <v>737</v>
      </c>
      <c r="H330" t="s">
        <v>738</v>
      </c>
      <c r="I330" t="s">
        <v>739</v>
      </c>
      <c r="J330" t="s">
        <v>739</v>
      </c>
      <c r="K330" s="2">
        <v>44925</v>
      </c>
      <c r="L330">
        <v>175969.58798061</v>
      </c>
      <c r="M330">
        <v>12866686.5680339</v>
      </c>
      <c r="N330">
        <v>2131149.9520413298</v>
      </c>
      <c r="O330">
        <v>978308.47542649903</v>
      </c>
      <c r="P330">
        <v>-12866686.5680339</v>
      </c>
      <c r="Q330">
        <v>-1960178.8420337499</v>
      </c>
      <c r="R330">
        <v>243115.04473303599</v>
      </c>
      <c r="S330">
        <v>172482.74849333099</v>
      </c>
      <c r="T330">
        <v>3682181.9640088798</v>
      </c>
      <c r="U330">
        <v>7148760.3852812396</v>
      </c>
      <c r="V330">
        <v>1653571.35353539</v>
      </c>
    </row>
    <row r="331" spans="1:22" x14ac:dyDescent="0.3">
      <c r="A331" t="str">
        <f t="shared" si="10"/>
        <v>CSMGPrevisão</v>
      </c>
      <c r="B331" t="str">
        <f t="shared" si="11"/>
        <v>CSMGPrevisãoMar-2023</v>
      </c>
      <c r="C331" t="s">
        <v>589</v>
      </c>
      <c r="D331" t="s">
        <v>590</v>
      </c>
      <c r="E331" t="s">
        <v>582</v>
      </c>
      <c r="F331" t="s">
        <v>736</v>
      </c>
      <c r="G331" t="s">
        <v>737</v>
      </c>
      <c r="H331" t="s">
        <v>738</v>
      </c>
      <c r="I331" t="s">
        <v>739</v>
      </c>
      <c r="J331" t="s">
        <v>739</v>
      </c>
      <c r="K331" s="2">
        <v>45015</v>
      </c>
      <c r="L331">
        <v>170615.32731810401</v>
      </c>
      <c r="M331">
        <v>13073767.0693176</v>
      </c>
      <c r="N331">
        <v>2110658.1428616098</v>
      </c>
      <c r="O331">
        <v>905507.68306729395</v>
      </c>
      <c r="P331">
        <v>-13073767.0693176</v>
      </c>
      <c r="Q331">
        <v>-2052563.8444769899</v>
      </c>
      <c r="R331">
        <v>269679.87921227998</v>
      </c>
      <c r="S331">
        <v>183197.97898355901</v>
      </c>
      <c r="T331">
        <v>3811691.6037861002</v>
      </c>
      <c r="U331">
        <v>7205268.3501192797</v>
      </c>
      <c r="V331">
        <v>1714557.0023010499</v>
      </c>
    </row>
    <row r="332" spans="1:22" x14ac:dyDescent="0.3">
      <c r="A332" t="str">
        <f t="shared" si="10"/>
        <v>CSMGPrevisão</v>
      </c>
      <c r="B332" t="str">
        <f t="shared" si="11"/>
        <v>CSMGPrevisãoJun-2023</v>
      </c>
      <c r="C332" t="s">
        <v>589</v>
      </c>
      <c r="D332" t="s">
        <v>590</v>
      </c>
      <c r="E332" t="s">
        <v>582</v>
      </c>
      <c r="F332" t="s">
        <v>736</v>
      </c>
      <c r="G332" t="s">
        <v>737</v>
      </c>
      <c r="H332" t="s">
        <v>738</v>
      </c>
      <c r="I332" t="s">
        <v>739</v>
      </c>
      <c r="J332" t="s">
        <v>739</v>
      </c>
      <c r="K332" s="2">
        <v>45107</v>
      </c>
      <c r="L332">
        <v>163605.414390088</v>
      </c>
      <c r="M332">
        <v>13298449.3256154</v>
      </c>
      <c r="N332">
        <v>2082336.37548897</v>
      </c>
      <c r="O332">
        <v>826901.93227392097</v>
      </c>
      <c r="P332">
        <v>-13298449.3256154</v>
      </c>
      <c r="Q332">
        <v>-2151388.65483899</v>
      </c>
      <c r="R332">
        <v>297973.63319653098</v>
      </c>
      <c r="S332">
        <v>194516.898184291</v>
      </c>
      <c r="T332">
        <v>3953614.2810240099</v>
      </c>
      <c r="U332">
        <v>7261944.2620602204</v>
      </c>
      <c r="V332">
        <v>1779600.7189883599</v>
      </c>
    </row>
    <row r="333" spans="1:22" x14ac:dyDescent="0.3">
      <c r="A333" t="str">
        <f t="shared" si="10"/>
        <v>CSMGPrevisão</v>
      </c>
      <c r="B333" t="str">
        <f t="shared" si="11"/>
        <v>CSMGPrevisãoSet-2023</v>
      </c>
      <c r="C333" t="s">
        <v>589</v>
      </c>
      <c r="D333" t="s">
        <v>590</v>
      </c>
      <c r="E333" t="s">
        <v>582</v>
      </c>
      <c r="F333" t="s">
        <v>736</v>
      </c>
      <c r="G333" t="s">
        <v>737</v>
      </c>
      <c r="H333" t="s">
        <v>738</v>
      </c>
      <c r="I333" t="s">
        <v>739</v>
      </c>
      <c r="J333" t="s">
        <v>739</v>
      </c>
      <c r="K333" s="2">
        <v>45199</v>
      </c>
      <c r="L333">
        <v>154834.75651995701</v>
      </c>
      <c r="M333">
        <v>13541881.106485</v>
      </c>
      <c r="N333">
        <v>2045793.8602414599</v>
      </c>
      <c r="O333">
        <v>742346.54698743601</v>
      </c>
      <c r="P333">
        <v>-13541881.106485</v>
      </c>
      <c r="Q333">
        <v>-2256900.6201464101</v>
      </c>
      <c r="R333">
        <v>328047.38919896499</v>
      </c>
      <c r="S333">
        <v>206455.37248500399</v>
      </c>
      <c r="T333">
        <v>4108644.2718728101</v>
      </c>
      <c r="U333">
        <v>7318902.81461599</v>
      </c>
      <c r="V333">
        <v>1848867.31540065</v>
      </c>
    </row>
    <row r="334" spans="1:22" x14ac:dyDescent="0.3">
      <c r="A334" t="str">
        <f t="shared" si="10"/>
        <v>SBSPPrevisão</v>
      </c>
      <c r="B334" t="str">
        <f t="shared" si="11"/>
        <v>SBSPPrevisãoDez-2022</v>
      </c>
      <c r="C334" t="s">
        <v>587</v>
      </c>
      <c r="D334" t="s">
        <v>588</v>
      </c>
      <c r="E334" t="s">
        <v>582</v>
      </c>
      <c r="F334" t="s">
        <v>736</v>
      </c>
      <c r="G334" t="s">
        <v>737</v>
      </c>
      <c r="H334" t="s">
        <v>738</v>
      </c>
      <c r="I334" t="s">
        <v>739</v>
      </c>
      <c r="J334" t="s">
        <v>739</v>
      </c>
      <c r="K334" s="2">
        <v>44925</v>
      </c>
      <c r="L334">
        <v>823117.907563088</v>
      </c>
      <c r="M334">
        <v>56917037.1751974</v>
      </c>
      <c r="N334">
        <v>6971366.0494013401</v>
      </c>
      <c r="O334">
        <v>3615131.5097190202</v>
      </c>
      <c r="P334">
        <v>-56917037.1751974</v>
      </c>
      <c r="Q334">
        <v>-5012727.8957662303</v>
      </c>
      <c r="R334">
        <v>365528.31737542001</v>
      </c>
      <c r="S334">
        <v>301014.41303791502</v>
      </c>
      <c r="T334">
        <v>10477279.095493101</v>
      </c>
      <c r="U334">
        <v>28107324.4758505</v>
      </c>
      <c r="V334">
        <v>5705431.52516736</v>
      </c>
    </row>
    <row r="335" spans="1:22" x14ac:dyDescent="0.3">
      <c r="A335" t="str">
        <f t="shared" si="10"/>
        <v>SBSPPrevisão</v>
      </c>
      <c r="B335" t="str">
        <f t="shared" si="11"/>
        <v>SBSPPrevisãoMar-2023</v>
      </c>
      <c r="C335" t="s">
        <v>587</v>
      </c>
      <c r="D335" t="s">
        <v>588</v>
      </c>
      <c r="E335" t="s">
        <v>582</v>
      </c>
      <c r="F335" t="s">
        <v>736</v>
      </c>
      <c r="G335" t="s">
        <v>737</v>
      </c>
      <c r="H335" t="s">
        <v>738</v>
      </c>
      <c r="I335" t="s">
        <v>739</v>
      </c>
      <c r="J335" t="s">
        <v>739</v>
      </c>
      <c r="K335" s="2">
        <v>45015</v>
      </c>
      <c r="L335">
        <v>879942.87137564702</v>
      </c>
      <c r="M335">
        <v>57966703.205142602</v>
      </c>
      <c r="N335">
        <v>7075756.6248147199</v>
      </c>
      <c r="O335">
        <v>3781570.1590214898</v>
      </c>
      <c r="P335">
        <v>-57966703.205142602</v>
      </c>
      <c r="Q335">
        <v>-4792740.3701743102</v>
      </c>
      <c r="R335">
        <v>325574.62539543002</v>
      </c>
      <c r="S335">
        <v>298553.77449256199</v>
      </c>
      <c r="T335">
        <v>10976213.6363433</v>
      </c>
      <c r="U335">
        <v>29009652.765164301</v>
      </c>
      <c r="V335">
        <v>5883780.3010639297</v>
      </c>
    </row>
    <row r="336" spans="1:22" x14ac:dyDescent="0.3">
      <c r="A336" t="str">
        <f t="shared" si="10"/>
        <v>SBSPPrevisão</v>
      </c>
      <c r="B336" t="str">
        <f t="shared" si="11"/>
        <v>SBSPPrevisãoJun-2023</v>
      </c>
      <c r="C336" t="s">
        <v>587</v>
      </c>
      <c r="D336" t="s">
        <v>588</v>
      </c>
      <c r="E336" t="s">
        <v>582</v>
      </c>
      <c r="F336" t="s">
        <v>736</v>
      </c>
      <c r="G336" t="s">
        <v>737</v>
      </c>
      <c r="H336" t="s">
        <v>738</v>
      </c>
      <c r="I336" t="s">
        <v>739</v>
      </c>
      <c r="J336" t="s">
        <v>739</v>
      </c>
      <c r="K336" s="2">
        <v>45107</v>
      </c>
      <c r="L336">
        <v>941852.19503854797</v>
      </c>
      <c r="M336">
        <v>58991785.331060499</v>
      </c>
      <c r="N336">
        <v>7163532.9946947396</v>
      </c>
      <c r="O336">
        <v>3956198.93698062</v>
      </c>
      <c r="P336">
        <v>-58991785.331060499</v>
      </c>
      <c r="Q336">
        <v>-4526739.1241909396</v>
      </c>
      <c r="R336">
        <v>280714.720745812</v>
      </c>
      <c r="S336">
        <v>294129.25802759401</v>
      </c>
      <c r="T336">
        <v>11503604.0667057</v>
      </c>
      <c r="U336">
        <v>29942025.879264001</v>
      </c>
      <c r="V336">
        <v>6068317.5932494104</v>
      </c>
    </row>
    <row r="337" spans="1:22" x14ac:dyDescent="0.3">
      <c r="A337" t="str">
        <f t="shared" si="10"/>
        <v>SBSPPrevisão</v>
      </c>
      <c r="B337" t="str">
        <f t="shared" si="11"/>
        <v>SBSPPrevisãoSet-2023</v>
      </c>
      <c r="C337" t="s">
        <v>587</v>
      </c>
      <c r="D337" t="s">
        <v>588</v>
      </c>
      <c r="E337" t="s">
        <v>582</v>
      </c>
      <c r="F337" t="s">
        <v>736</v>
      </c>
      <c r="G337" t="s">
        <v>737</v>
      </c>
      <c r="H337" t="s">
        <v>738</v>
      </c>
      <c r="I337" t="s">
        <v>739</v>
      </c>
      <c r="J337" t="s">
        <v>739</v>
      </c>
      <c r="K337" s="2">
        <v>45199</v>
      </c>
      <c r="L337">
        <v>1009072.23077207</v>
      </c>
      <c r="M337">
        <v>59989780.223325796</v>
      </c>
      <c r="N337">
        <v>7233287.05090502</v>
      </c>
      <c r="O337">
        <v>4139209.4204314901</v>
      </c>
      <c r="P337">
        <v>-59989780.223325796</v>
      </c>
      <c r="Q337">
        <v>-4212178.9963842798</v>
      </c>
      <c r="R337">
        <v>230742.319408173</v>
      </c>
      <c r="S337">
        <v>287607.84381359298</v>
      </c>
      <c r="T337">
        <v>12060380.965103799</v>
      </c>
      <c r="U337">
        <v>30905107.8312844</v>
      </c>
      <c r="V337">
        <v>6259165.2776836399</v>
      </c>
    </row>
    <row r="338" spans="1:22" x14ac:dyDescent="0.3">
      <c r="A338" t="str">
        <f t="shared" si="10"/>
        <v>CEGRPrevisão</v>
      </c>
      <c r="B338" t="str">
        <f t="shared" si="11"/>
        <v>CEGRPrevisãoDez-2022</v>
      </c>
      <c r="C338" t="s">
        <v>585</v>
      </c>
      <c r="D338" t="s">
        <v>586</v>
      </c>
      <c r="E338" t="s">
        <v>582</v>
      </c>
      <c r="F338" t="s">
        <v>736</v>
      </c>
      <c r="G338" t="s">
        <v>737</v>
      </c>
      <c r="H338" t="s">
        <v>738</v>
      </c>
      <c r="I338" t="s">
        <v>739</v>
      </c>
      <c r="J338" t="s">
        <v>739</v>
      </c>
      <c r="K338" s="2">
        <v>44925</v>
      </c>
      <c r="L338">
        <v>138898.137509544</v>
      </c>
      <c r="M338">
        <v>4022195.29768271</v>
      </c>
      <c r="N338">
        <v>1220606.9994058299</v>
      </c>
      <c r="O338">
        <v>799987.10559374397</v>
      </c>
      <c r="P338">
        <v>-4022195.29768271</v>
      </c>
      <c r="Q338">
        <v>-1190141.38952556</v>
      </c>
      <c r="R338">
        <v>9678.8046006280092</v>
      </c>
      <c r="S338">
        <v>0</v>
      </c>
      <c r="T338">
        <v>310714.80646807101</v>
      </c>
      <c r="U338">
        <v>1066737.67617345</v>
      </c>
      <c r="V338">
        <v>1549382.5453693201</v>
      </c>
    </row>
    <row r="339" spans="1:22" x14ac:dyDescent="0.3">
      <c r="A339" t="str">
        <f t="shared" si="10"/>
        <v>CEGRPrevisão</v>
      </c>
      <c r="B339" t="str">
        <f t="shared" si="11"/>
        <v>CEGRPrevisãoMar-2023</v>
      </c>
      <c r="C339" t="s">
        <v>585</v>
      </c>
      <c r="D339" t="s">
        <v>586</v>
      </c>
      <c r="E339" t="s">
        <v>582</v>
      </c>
      <c r="F339" t="s">
        <v>736</v>
      </c>
      <c r="G339" t="s">
        <v>737</v>
      </c>
      <c r="H339" t="s">
        <v>738</v>
      </c>
      <c r="I339" t="s">
        <v>739</v>
      </c>
      <c r="J339" t="s">
        <v>739</v>
      </c>
      <c r="K339" s="2">
        <v>45015</v>
      </c>
      <c r="L339">
        <v>147989.95900177601</v>
      </c>
      <c r="M339">
        <v>4080212.1326643801</v>
      </c>
      <c r="N339">
        <v>1283995.70668531</v>
      </c>
      <c r="O339">
        <v>846716.26528514503</v>
      </c>
      <c r="P339">
        <v>-4080212.1326643801</v>
      </c>
      <c r="Q339">
        <v>-1206323.20387391</v>
      </c>
      <c r="R339">
        <v>9184.8318478905003</v>
      </c>
      <c r="S339">
        <v>0</v>
      </c>
      <c r="T339">
        <v>266160.84060458501</v>
      </c>
      <c r="U339">
        <v>1019466.44320557</v>
      </c>
      <c r="V339">
        <v>1645676.11879376</v>
      </c>
    </row>
    <row r="340" spans="1:22" x14ac:dyDescent="0.3">
      <c r="A340" t="str">
        <f t="shared" si="10"/>
        <v>CEGRPrevisão</v>
      </c>
      <c r="B340" t="str">
        <f t="shared" si="11"/>
        <v>CEGRPrevisãoJun-2023</v>
      </c>
      <c r="C340" t="s">
        <v>585</v>
      </c>
      <c r="D340" t="s">
        <v>586</v>
      </c>
      <c r="E340" t="s">
        <v>582</v>
      </c>
      <c r="F340" t="s">
        <v>736</v>
      </c>
      <c r="G340" t="s">
        <v>737</v>
      </c>
      <c r="H340" t="s">
        <v>738</v>
      </c>
      <c r="I340" t="s">
        <v>739</v>
      </c>
      <c r="J340" t="s">
        <v>739</v>
      </c>
      <c r="K340" s="2">
        <v>45107</v>
      </c>
      <c r="L340">
        <v>157840.46749659799</v>
      </c>
      <c r="M340">
        <v>4136669.2909271601</v>
      </c>
      <c r="N340">
        <v>1351584.5970203399</v>
      </c>
      <c r="O340">
        <v>897650.00727055501</v>
      </c>
      <c r="P340">
        <v>-4136669.2909271601</v>
      </c>
      <c r="Q340">
        <v>-1222027.1857867099</v>
      </c>
      <c r="R340">
        <v>8630.9114927316896</v>
      </c>
      <c r="S340">
        <v>0</v>
      </c>
      <c r="T340">
        <v>217565.93429886899</v>
      </c>
      <c r="U340">
        <v>966530.71564595599</v>
      </c>
      <c r="V340">
        <v>1750512.76415841</v>
      </c>
    </row>
    <row r="341" spans="1:22" x14ac:dyDescent="0.3">
      <c r="A341" t="str">
        <f t="shared" si="10"/>
        <v>CEGRPrevisão</v>
      </c>
      <c r="B341" t="str">
        <f t="shared" si="11"/>
        <v>CEGRPrevisãoSet-2023</v>
      </c>
      <c r="C341" t="s">
        <v>585</v>
      </c>
      <c r="D341" t="s">
        <v>586</v>
      </c>
      <c r="E341" t="s">
        <v>582</v>
      </c>
      <c r="F341" t="s">
        <v>736</v>
      </c>
      <c r="G341" t="s">
        <v>737</v>
      </c>
      <c r="H341" t="s">
        <v>738</v>
      </c>
      <c r="I341" t="s">
        <v>739</v>
      </c>
      <c r="J341" t="s">
        <v>739</v>
      </c>
      <c r="K341" s="2">
        <v>45199</v>
      </c>
      <c r="L341">
        <v>168480.22668795299</v>
      </c>
      <c r="M341">
        <v>4191451.7709490899</v>
      </c>
      <c r="N341">
        <v>1423536.9783121999</v>
      </c>
      <c r="O341">
        <v>952981.57702636998</v>
      </c>
      <c r="P341">
        <v>-4191451.7709490899</v>
      </c>
      <c r="Q341">
        <v>-1237218.7894498301</v>
      </c>
      <c r="R341">
        <v>8014.6131068883496</v>
      </c>
      <c r="S341">
        <v>0</v>
      </c>
      <c r="T341">
        <v>164794.361647618</v>
      </c>
      <c r="U341">
        <v>907718.67914734199</v>
      </c>
      <c r="V341">
        <v>1864279.9168089901</v>
      </c>
    </row>
    <row r="342" spans="1:22" x14ac:dyDescent="0.3">
      <c r="A342" t="str">
        <f t="shared" si="10"/>
        <v>CASNPrevisão</v>
      </c>
      <c r="B342" t="str">
        <f t="shared" si="11"/>
        <v>CASNPrevisãoDez-2022</v>
      </c>
      <c r="C342" t="s">
        <v>583</v>
      </c>
      <c r="D342" t="s">
        <v>584</v>
      </c>
      <c r="E342" t="s">
        <v>582</v>
      </c>
      <c r="F342" t="s">
        <v>736</v>
      </c>
      <c r="G342" t="s">
        <v>737</v>
      </c>
      <c r="H342" t="s">
        <v>738</v>
      </c>
      <c r="I342" t="s">
        <v>739</v>
      </c>
      <c r="J342" t="s">
        <v>739</v>
      </c>
      <c r="K342" s="2">
        <v>44925</v>
      </c>
      <c r="L342">
        <v>44054.786350913499</v>
      </c>
      <c r="M342">
        <v>4179355.7069858299</v>
      </c>
      <c r="N342">
        <v>451493.64060774102</v>
      </c>
      <c r="O342">
        <v>215900.03904588701</v>
      </c>
      <c r="P342">
        <v>-4179355.7069858299</v>
      </c>
      <c r="Q342">
        <v>-569176.64196585899</v>
      </c>
      <c r="R342">
        <v>62400.844325574399</v>
      </c>
      <c r="S342">
        <v>61459.705882349997</v>
      </c>
      <c r="T342">
        <v>507145.35192262201</v>
      </c>
      <c r="U342">
        <v>1925766.89627386</v>
      </c>
      <c r="V342">
        <v>337817.08403362503</v>
      </c>
    </row>
    <row r="343" spans="1:22" x14ac:dyDescent="0.3">
      <c r="A343" t="str">
        <f t="shared" si="10"/>
        <v>CASNPrevisão</v>
      </c>
      <c r="B343" t="str">
        <f t="shared" si="11"/>
        <v>CASNPrevisãoMar-2023</v>
      </c>
      <c r="C343" t="s">
        <v>583</v>
      </c>
      <c r="D343" t="s">
        <v>584</v>
      </c>
      <c r="E343" t="s">
        <v>582</v>
      </c>
      <c r="F343" t="s">
        <v>736</v>
      </c>
      <c r="G343" t="s">
        <v>737</v>
      </c>
      <c r="H343" t="s">
        <v>738</v>
      </c>
      <c r="I343" t="s">
        <v>739</v>
      </c>
      <c r="J343" t="s">
        <v>739</v>
      </c>
      <c r="K343" s="2">
        <v>45015</v>
      </c>
      <c r="L343">
        <v>49892.6351454705</v>
      </c>
      <c r="M343">
        <v>4234169.0003257701</v>
      </c>
      <c r="N343">
        <v>431142.81930132501</v>
      </c>
      <c r="O343">
        <v>202098.099479886</v>
      </c>
      <c r="P343">
        <v>-4234169.0003257701</v>
      </c>
      <c r="Q343">
        <v>-582760.35800656804</v>
      </c>
      <c r="R343">
        <v>64285.287666544697</v>
      </c>
      <c r="S343">
        <v>63474.035278973803</v>
      </c>
      <c r="T343">
        <v>555488.52352050995</v>
      </c>
      <c r="U343">
        <v>2046152.02191826</v>
      </c>
      <c r="V343">
        <v>342892.75781665399</v>
      </c>
    </row>
    <row r="344" spans="1:22" x14ac:dyDescent="0.3">
      <c r="A344" t="str">
        <f t="shared" si="10"/>
        <v>CASNPrevisão</v>
      </c>
      <c r="B344" t="str">
        <f t="shared" si="11"/>
        <v>CASNPrevisãoJun-2023</v>
      </c>
      <c r="C344" t="s">
        <v>583</v>
      </c>
      <c r="D344" t="s">
        <v>584</v>
      </c>
      <c r="E344" t="s">
        <v>582</v>
      </c>
      <c r="F344" t="s">
        <v>736</v>
      </c>
      <c r="G344" t="s">
        <v>737</v>
      </c>
      <c r="H344" t="s">
        <v>738</v>
      </c>
      <c r="I344" t="s">
        <v>739</v>
      </c>
      <c r="J344" t="s">
        <v>739</v>
      </c>
      <c r="K344" s="2">
        <v>45107</v>
      </c>
      <c r="L344">
        <v>56280.206138282403</v>
      </c>
      <c r="M344">
        <v>4286306.2592864996</v>
      </c>
      <c r="N344">
        <v>407509.88008052402</v>
      </c>
      <c r="O344">
        <v>186721.347075675</v>
      </c>
      <c r="P344">
        <v>-4286306.2592864996</v>
      </c>
      <c r="Q344">
        <v>-596019.65833173401</v>
      </c>
      <c r="R344">
        <v>66433.204471490099</v>
      </c>
      <c r="S344">
        <v>65664.849735624506</v>
      </c>
      <c r="T344">
        <v>608027.00571241695</v>
      </c>
      <c r="U344">
        <v>2179648.5230088001</v>
      </c>
      <c r="V344">
        <v>347854.83946752502</v>
      </c>
    </row>
    <row r="345" spans="1:22" x14ac:dyDescent="0.3">
      <c r="A345" t="str">
        <f t="shared" si="10"/>
        <v>CASNPrevisão</v>
      </c>
      <c r="B345" t="str">
        <f t="shared" si="11"/>
        <v>CASNPrevisãoSet-2023</v>
      </c>
      <c r="C345" t="s">
        <v>583</v>
      </c>
      <c r="D345" t="s">
        <v>584</v>
      </c>
      <c r="E345" t="s">
        <v>582</v>
      </c>
      <c r="F345" t="s">
        <v>736</v>
      </c>
      <c r="G345" t="s">
        <v>737</v>
      </c>
      <c r="H345" t="s">
        <v>738</v>
      </c>
      <c r="I345" t="s">
        <v>739</v>
      </c>
      <c r="J345" t="s">
        <v>739</v>
      </c>
      <c r="K345" s="2">
        <v>45199</v>
      </c>
      <c r="L345">
        <v>63241.169114226497</v>
      </c>
      <c r="M345">
        <v>4335590.6405477598</v>
      </c>
      <c r="N345">
        <v>380446.10667837801</v>
      </c>
      <c r="O345">
        <v>169712.259761225</v>
      </c>
      <c r="P345">
        <v>-4335590.6405477598</v>
      </c>
      <c r="Q345">
        <v>-608917.59146661905</v>
      </c>
      <c r="R345">
        <v>68862.746668930893</v>
      </c>
      <c r="S345">
        <v>68043.390744806704</v>
      </c>
      <c r="T345">
        <v>664946.38009073795</v>
      </c>
      <c r="U345">
        <v>2326890.9528378402</v>
      </c>
      <c r="V345">
        <v>352697.489374061</v>
      </c>
    </row>
    <row r="346" spans="1:22" x14ac:dyDescent="0.3">
      <c r="A346" t="str">
        <f t="shared" si="10"/>
        <v>AMBPPrevisão</v>
      </c>
      <c r="B346" t="str">
        <f t="shared" si="11"/>
        <v>AMBPPrevisãoDez-2022</v>
      </c>
      <c r="C346" t="s">
        <v>580</v>
      </c>
      <c r="D346" t="s">
        <v>581</v>
      </c>
      <c r="E346" t="s">
        <v>582</v>
      </c>
      <c r="F346" t="s">
        <v>736</v>
      </c>
      <c r="G346" t="s">
        <v>737</v>
      </c>
      <c r="H346" t="s">
        <v>738</v>
      </c>
      <c r="I346" t="s">
        <v>739</v>
      </c>
      <c r="J346" t="s">
        <v>739</v>
      </c>
      <c r="K346" s="2">
        <v>44925</v>
      </c>
      <c r="L346">
        <v>-40596.888888888803</v>
      </c>
      <c r="M346">
        <v>4237025.3412698302</v>
      </c>
      <c r="N346">
        <v>-225929.90476191201</v>
      </c>
      <c r="O346">
        <v>1565.3333333333301</v>
      </c>
      <c r="P346">
        <v>-4237025.3412698302</v>
      </c>
      <c r="Q346">
        <v>-112643.42063492</v>
      </c>
      <c r="R346">
        <v>3448.4365079365298</v>
      </c>
      <c r="S346">
        <v>2102.9523809523798</v>
      </c>
      <c r="T346">
        <v>283726.38095238101</v>
      </c>
      <c r="U346">
        <v>1094702.97619052</v>
      </c>
      <c r="V346">
        <v>93618.380952381907</v>
      </c>
    </row>
    <row r="347" spans="1:22" x14ac:dyDescent="0.3">
      <c r="A347" t="str">
        <f t="shared" si="10"/>
        <v>AMBPPrevisão</v>
      </c>
      <c r="B347" t="str">
        <f t="shared" si="11"/>
        <v>AMBPPrevisãoMar-2023</v>
      </c>
      <c r="C347" t="s">
        <v>580</v>
      </c>
      <c r="D347" t="s">
        <v>581</v>
      </c>
      <c r="E347" t="s">
        <v>582</v>
      </c>
      <c r="F347" t="s">
        <v>736</v>
      </c>
      <c r="G347" t="s">
        <v>737</v>
      </c>
      <c r="H347" t="s">
        <v>738</v>
      </c>
      <c r="I347" t="s">
        <v>739</v>
      </c>
      <c r="J347" t="s">
        <v>739</v>
      </c>
      <c r="K347" s="2">
        <v>45015</v>
      </c>
      <c r="L347">
        <v>-99333.5555555553</v>
      </c>
      <c r="M347">
        <v>5380194.41269839</v>
      </c>
      <c r="N347">
        <v>-795885.38095239201</v>
      </c>
      <c r="O347">
        <v>2249.3333333333298</v>
      </c>
      <c r="P347">
        <v>-5380194.41269839</v>
      </c>
      <c r="Q347">
        <v>-86775.206349205997</v>
      </c>
      <c r="R347">
        <v>3947.36507936512</v>
      </c>
      <c r="S347">
        <v>1978.19047619047</v>
      </c>
      <c r="T347">
        <v>272047.80952380999</v>
      </c>
      <c r="U347">
        <v>1312367.4285714801</v>
      </c>
      <c r="V347">
        <v>129467.80952381001</v>
      </c>
    </row>
    <row r="348" spans="1:22" x14ac:dyDescent="0.3">
      <c r="A348" t="str">
        <f t="shared" si="10"/>
        <v>AMBPPrevisão</v>
      </c>
      <c r="B348" t="str">
        <f t="shared" si="11"/>
        <v>AMBPPrevisãoJun-2023</v>
      </c>
      <c r="C348" t="s">
        <v>580</v>
      </c>
      <c r="D348" t="s">
        <v>581</v>
      </c>
      <c r="E348" t="s">
        <v>582</v>
      </c>
      <c r="F348" t="s">
        <v>736</v>
      </c>
      <c r="G348" t="s">
        <v>737</v>
      </c>
      <c r="H348" t="s">
        <v>738</v>
      </c>
      <c r="I348" t="s">
        <v>739</v>
      </c>
      <c r="J348" t="s">
        <v>739</v>
      </c>
      <c r="K348" s="2">
        <v>45107</v>
      </c>
      <c r="L348">
        <v>-179823.207070706</v>
      </c>
      <c r="M348">
        <v>6814016.2546897205</v>
      </c>
      <c r="N348">
        <v>-1558531.23160174</v>
      </c>
      <c r="O348">
        <v>3100.2424242424199</v>
      </c>
      <c r="P348">
        <v>-6814016.2546897205</v>
      </c>
      <c r="Q348">
        <v>-35173.589466089601</v>
      </c>
      <c r="R348">
        <v>4301.0382395383103</v>
      </c>
      <c r="S348">
        <v>1677.80519480518</v>
      </c>
      <c r="T348">
        <v>238595.58874459099</v>
      </c>
      <c r="U348">
        <v>1712006.0086580799</v>
      </c>
      <c r="V348">
        <v>177184.13419913501</v>
      </c>
    </row>
    <row r="349" spans="1:22" x14ac:dyDescent="0.3">
      <c r="A349" t="str">
        <f t="shared" si="10"/>
        <v>AMBPPrevisão</v>
      </c>
      <c r="B349" t="str">
        <f t="shared" si="11"/>
        <v>AMBPPrevisãoSet-2023</v>
      </c>
      <c r="C349" t="s">
        <v>580</v>
      </c>
      <c r="D349" t="s">
        <v>581</v>
      </c>
      <c r="E349" t="s">
        <v>582</v>
      </c>
      <c r="F349" t="s">
        <v>736</v>
      </c>
      <c r="G349" t="s">
        <v>737</v>
      </c>
      <c r="H349" t="s">
        <v>738</v>
      </c>
      <c r="I349" t="s">
        <v>739</v>
      </c>
      <c r="J349" t="s">
        <v>739</v>
      </c>
      <c r="K349" s="2">
        <v>45199</v>
      </c>
      <c r="L349">
        <v>-285077.21212121099</v>
      </c>
      <c r="M349">
        <v>8578275.8874458391</v>
      </c>
      <c r="N349">
        <v>-2537190.92640694</v>
      </c>
      <c r="O349">
        <v>4135.6666666666697</v>
      </c>
      <c r="P349">
        <v>-8578275.8874458391</v>
      </c>
      <c r="Q349">
        <v>47283.0562770549</v>
      </c>
      <c r="R349">
        <v>4462.47619047629</v>
      </c>
      <c r="S349">
        <v>1173.7056277056099</v>
      </c>
      <c r="T349">
        <v>179002.991341994</v>
      </c>
      <c r="U349">
        <v>2337605.3982684799</v>
      </c>
      <c r="V349">
        <v>238571.53679653801</v>
      </c>
    </row>
    <row r="350" spans="1:22" x14ac:dyDescent="0.3">
      <c r="A350" t="str">
        <f t="shared" si="10"/>
        <v>VAMOPrevisão</v>
      </c>
      <c r="B350" t="str">
        <f t="shared" si="11"/>
        <v>VAMOPrevisãoDez-2022</v>
      </c>
      <c r="C350" t="s">
        <v>391</v>
      </c>
      <c r="D350" t="s">
        <v>392</v>
      </c>
      <c r="E350" t="s">
        <v>388</v>
      </c>
      <c r="F350" t="s">
        <v>736</v>
      </c>
      <c r="G350" t="s">
        <v>737</v>
      </c>
      <c r="H350" t="s">
        <v>738</v>
      </c>
      <c r="I350" t="s">
        <v>739</v>
      </c>
      <c r="J350" t="s">
        <v>739</v>
      </c>
      <c r="K350" s="2">
        <v>44925</v>
      </c>
      <c r="L350">
        <v>160478.73737374099</v>
      </c>
      <c r="M350">
        <v>18434716.020201899</v>
      </c>
      <c r="N350">
        <v>5093357.84848483</v>
      </c>
      <c r="O350">
        <v>527796.55555555096</v>
      </c>
      <c r="P350">
        <v>-18434716.020201899</v>
      </c>
      <c r="Q350">
        <v>-3311762.8888888801</v>
      </c>
      <c r="R350">
        <v>30133.030303029998</v>
      </c>
      <c r="S350">
        <v>693.21212121089604</v>
      </c>
      <c r="T350">
        <v>369854.87878787902</v>
      </c>
      <c r="U350">
        <v>3967219.9696969502</v>
      </c>
      <c r="V350">
        <v>626579.59595959401</v>
      </c>
    </row>
    <row r="351" spans="1:22" x14ac:dyDescent="0.3">
      <c r="A351" t="str">
        <f t="shared" si="10"/>
        <v>VAMOPrevisão</v>
      </c>
      <c r="B351" t="str">
        <f t="shared" si="11"/>
        <v>VAMOPrevisãoMar-2023</v>
      </c>
      <c r="C351" t="s">
        <v>391</v>
      </c>
      <c r="D351" t="s">
        <v>392</v>
      </c>
      <c r="E351" t="s">
        <v>388</v>
      </c>
      <c r="F351" t="s">
        <v>736</v>
      </c>
      <c r="G351" t="s">
        <v>737</v>
      </c>
      <c r="H351" t="s">
        <v>738</v>
      </c>
      <c r="I351" t="s">
        <v>739</v>
      </c>
      <c r="J351" t="s">
        <v>739</v>
      </c>
      <c r="K351" s="2">
        <v>45015</v>
      </c>
      <c r="L351">
        <v>164086.59285159799</v>
      </c>
      <c r="M351">
        <v>23015261.801087599</v>
      </c>
      <c r="N351">
        <v>6250607.45687644</v>
      </c>
      <c r="O351">
        <v>638864.85159284598</v>
      </c>
      <c r="P351">
        <v>-23015261.801087599</v>
      </c>
      <c r="Q351">
        <v>-4524871.57653456</v>
      </c>
      <c r="R351">
        <v>35733.240093239699</v>
      </c>
      <c r="S351">
        <v>2024.8205128188499</v>
      </c>
      <c r="T351">
        <v>471429.45920745999</v>
      </c>
      <c r="U351">
        <v>4264988.8648018399</v>
      </c>
      <c r="V351">
        <v>765199.376845374</v>
      </c>
    </row>
    <row r="352" spans="1:22" x14ac:dyDescent="0.3">
      <c r="A352" t="str">
        <f t="shared" si="10"/>
        <v>VAMOPrevisão</v>
      </c>
      <c r="B352" t="str">
        <f t="shared" si="11"/>
        <v>VAMOPrevisãoJun-2023</v>
      </c>
      <c r="C352" t="s">
        <v>391</v>
      </c>
      <c r="D352" t="s">
        <v>392</v>
      </c>
      <c r="E352" t="s">
        <v>388</v>
      </c>
      <c r="F352" t="s">
        <v>736</v>
      </c>
      <c r="G352" t="s">
        <v>737</v>
      </c>
      <c r="H352" t="s">
        <v>738</v>
      </c>
      <c r="I352" t="s">
        <v>739</v>
      </c>
      <c r="J352" t="s">
        <v>739</v>
      </c>
      <c r="K352" s="2">
        <v>45107</v>
      </c>
      <c r="L352">
        <v>161861.492618499</v>
      </c>
      <c r="M352">
        <v>28424795.291930102</v>
      </c>
      <c r="N352">
        <v>7581807.5387945101</v>
      </c>
      <c r="O352">
        <v>772963.57853257097</v>
      </c>
      <c r="P352">
        <v>-28424795.291930102</v>
      </c>
      <c r="Q352">
        <v>-6018535.7300477196</v>
      </c>
      <c r="R352">
        <v>42263.498834498299</v>
      </c>
      <c r="S352">
        <v>4709.6886446864701</v>
      </c>
      <c r="T352">
        <v>588986.96869796899</v>
      </c>
      <c r="U352">
        <v>4463147.0666000396</v>
      </c>
      <c r="V352">
        <v>931128.51504051103</v>
      </c>
    </row>
    <row r="353" spans="1:22" x14ac:dyDescent="0.3">
      <c r="A353" t="str">
        <f t="shared" si="10"/>
        <v>VAMOPrevisão</v>
      </c>
      <c r="B353" t="str">
        <f t="shared" si="11"/>
        <v>VAMOPrevisãoSet-2023</v>
      </c>
      <c r="C353" t="s">
        <v>391</v>
      </c>
      <c r="D353" t="s">
        <v>392</v>
      </c>
      <c r="E353" t="s">
        <v>388</v>
      </c>
      <c r="F353" t="s">
        <v>736</v>
      </c>
      <c r="G353" t="s">
        <v>737</v>
      </c>
      <c r="H353" t="s">
        <v>738</v>
      </c>
      <c r="I353" t="s">
        <v>739</v>
      </c>
      <c r="J353" t="s">
        <v>739</v>
      </c>
      <c r="K353" s="2">
        <v>45199</v>
      </c>
      <c r="L353">
        <v>152771.183372192</v>
      </c>
      <c r="M353">
        <v>34734622.181928903</v>
      </c>
      <c r="N353">
        <v>9099002.1595071293</v>
      </c>
      <c r="O353">
        <v>932554.74181373103</v>
      </c>
      <c r="P353">
        <v>-34734622.181928903</v>
      </c>
      <c r="Q353">
        <v>-7820026.2546342397</v>
      </c>
      <c r="R353">
        <v>49807.599067598298</v>
      </c>
      <c r="S353">
        <v>8991.8887778860098</v>
      </c>
      <c r="T353">
        <v>723599.118215119</v>
      </c>
      <c r="U353">
        <v>4539762.6706626397</v>
      </c>
      <c r="V353">
        <v>1126953.9887889801</v>
      </c>
    </row>
    <row r="354" spans="1:22" x14ac:dyDescent="0.3">
      <c r="A354" t="str">
        <f t="shared" si="10"/>
        <v>TPISPrevisão</v>
      </c>
      <c r="B354" t="str">
        <f t="shared" si="11"/>
        <v>TPISPrevisãoDez-2022</v>
      </c>
      <c r="C354" t="s">
        <v>395</v>
      </c>
      <c r="D354" t="s">
        <v>396</v>
      </c>
      <c r="E354" t="s">
        <v>388</v>
      </c>
      <c r="F354" t="s">
        <v>736</v>
      </c>
      <c r="G354" t="s">
        <v>737</v>
      </c>
      <c r="H354" t="s">
        <v>738</v>
      </c>
      <c r="I354" t="s">
        <v>739</v>
      </c>
      <c r="J354" t="s">
        <v>739</v>
      </c>
      <c r="K354" s="2">
        <v>44925</v>
      </c>
      <c r="L354">
        <v>107618.695441816</v>
      </c>
      <c r="M354">
        <v>1365055.5769477</v>
      </c>
      <c r="N354">
        <v>211120.82166169901</v>
      </c>
      <c r="O354">
        <v>308164.52313047001</v>
      </c>
      <c r="P354">
        <v>-1365055.5769477</v>
      </c>
      <c r="Q354">
        <v>-19051.197776646299</v>
      </c>
      <c r="R354">
        <v>2086.06196417922</v>
      </c>
      <c r="S354">
        <v>1549.3117731944301</v>
      </c>
      <c r="T354">
        <v>223561.28240431301</v>
      </c>
      <c r="U354">
        <v>1302790.78354952</v>
      </c>
      <c r="V354">
        <v>115830.347933122</v>
      </c>
    </row>
    <row r="355" spans="1:22" x14ac:dyDescent="0.3">
      <c r="A355" t="str">
        <f t="shared" si="10"/>
        <v>TPISPrevisão</v>
      </c>
      <c r="B355" t="str">
        <f t="shared" si="11"/>
        <v>TPISPrevisãoMar-2023</v>
      </c>
      <c r="C355" t="s">
        <v>395</v>
      </c>
      <c r="D355" t="s">
        <v>396</v>
      </c>
      <c r="E355" t="s">
        <v>388</v>
      </c>
      <c r="F355" t="s">
        <v>736</v>
      </c>
      <c r="G355" t="s">
        <v>737</v>
      </c>
      <c r="H355" t="s">
        <v>738</v>
      </c>
      <c r="I355" t="s">
        <v>739</v>
      </c>
      <c r="J355" t="s">
        <v>739</v>
      </c>
      <c r="K355" s="2">
        <v>45015</v>
      </c>
      <c r="L355">
        <v>144422.952484193</v>
      </c>
      <c r="M355">
        <v>1580597.6384694099</v>
      </c>
      <c r="N355">
        <v>296232.56108179002</v>
      </c>
      <c r="O355">
        <v>342447.06852307601</v>
      </c>
      <c r="P355">
        <v>-1580597.6384694099</v>
      </c>
      <c r="Q355">
        <v>-24789.495018978101</v>
      </c>
      <c r="R355">
        <v>1996.5325111203699</v>
      </c>
      <c r="S355">
        <v>1713.0669883026701</v>
      </c>
      <c r="T355">
        <v>316146.89386765502</v>
      </c>
      <c r="U355">
        <v>1486559.47949375</v>
      </c>
      <c r="V355">
        <v>159303.166582946</v>
      </c>
    </row>
    <row r="356" spans="1:22" x14ac:dyDescent="0.3">
      <c r="A356" t="str">
        <f t="shared" si="10"/>
        <v>TPISPrevisão</v>
      </c>
      <c r="B356" t="str">
        <f t="shared" si="11"/>
        <v>TPISPrevisãoJun-2023</v>
      </c>
      <c r="C356" t="s">
        <v>395</v>
      </c>
      <c r="D356" t="s">
        <v>396</v>
      </c>
      <c r="E356" t="s">
        <v>388</v>
      </c>
      <c r="F356" t="s">
        <v>736</v>
      </c>
      <c r="G356" t="s">
        <v>737</v>
      </c>
      <c r="H356" t="s">
        <v>738</v>
      </c>
      <c r="I356" t="s">
        <v>739</v>
      </c>
      <c r="J356" t="s">
        <v>739</v>
      </c>
      <c r="K356" s="2">
        <v>45107</v>
      </c>
      <c r="L356">
        <v>185126.623603024</v>
      </c>
      <c r="M356">
        <v>1840224.1803896599</v>
      </c>
      <c r="N356">
        <v>397615.10003649298</v>
      </c>
      <c r="O356">
        <v>379565.53922469099</v>
      </c>
      <c r="P356">
        <v>-1840224.1803896599</v>
      </c>
      <c r="Q356">
        <v>-36125.009769244098</v>
      </c>
      <c r="R356">
        <v>1902.1838504095001</v>
      </c>
      <c r="S356">
        <v>1894.0228644072399</v>
      </c>
      <c r="T356">
        <v>424780.36021680897</v>
      </c>
      <c r="U356">
        <v>1698347.13681528</v>
      </c>
      <c r="V356">
        <v>207914.276558716</v>
      </c>
    </row>
    <row r="357" spans="1:22" x14ac:dyDescent="0.3">
      <c r="A357" t="str">
        <f t="shared" si="10"/>
        <v>TPISPrevisão</v>
      </c>
      <c r="B357" t="str">
        <f t="shared" si="11"/>
        <v>TPISPrevisãoSet-2023</v>
      </c>
      <c r="C357" t="s">
        <v>395</v>
      </c>
      <c r="D357" t="s">
        <v>396</v>
      </c>
      <c r="E357" t="s">
        <v>388</v>
      </c>
      <c r="F357" t="s">
        <v>736</v>
      </c>
      <c r="G357" t="s">
        <v>737</v>
      </c>
      <c r="H357" t="s">
        <v>738</v>
      </c>
      <c r="I357" t="s">
        <v>739</v>
      </c>
      <c r="J357" t="s">
        <v>739</v>
      </c>
      <c r="K357" s="2">
        <v>45199</v>
      </c>
      <c r="L357">
        <v>229892.56419209999</v>
      </c>
      <c r="M357">
        <v>2146498.9227049998</v>
      </c>
      <c r="N357">
        <v>516191.41468415299</v>
      </c>
      <c r="O357">
        <v>419632.67693460197</v>
      </c>
      <c r="P357">
        <v>-2146498.9227049998</v>
      </c>
      <c r="Q357">
        <v>-53480.013538471801</v>
      </c>
      <c r="R357">
        <v>1803.16271595496</v>
      </c>
      <c r="S357">
        <v>2093.0509778627002</v>
      </c>
      <c r="T357">
        <v>550357.28511311498</v>
      </c>
      <c r="U357">
        <v>1939587.3160043899</v>
      </c>
      <c r="V357">
        <v>261897.78640538</v>
      </c>
    </row>
    <row r="358" spans="1:22" x14ac:dyDescent="0.3">
      <c r="A358" t="str">
        <f t="shared" si="10"/>
        <v>STBPPrevisão</v>
      </c>
      <c r="B358" t="str">
        <f t="shared" si="11"/>
        <v>STBPPrevisãoDez-2022</v>
      </c>
      <c r="C358" t="s">
        <v>389</v>
      </c>
      <c r="D358" t="s">
        <v>390</v>
      </c>
      <c r="E358" t="s">
        <v>388</v>
      </c>
      <c r="F358" t="s">
        <v>736</v>
      </c>
      <c r="G358" t="s">
        <v>737</v>
      </c>
      <c r="H358" t="s">
        <v>738</v>
      </c>
      <c r="I358" t="s">
        <v>739</v>
      </c>
      <c r="J358" t="s">
        <v>739</v>
      </c>
      <c r="K358" s="2">
        <v>44925</v>
      </c>
      <c r="L358">
        <v>147043.95306001199</v>
      </c>
      <c r="M358">
        <v>5346068.31729047</v>
      </c>
      <c r="N358">
        <v>1256326.3836686099</v>
      </c>
      <c r="O358">
        <v>211603.84856973001</v>
      </c>
      <c r="P358">
        <v>-5346068.31729047</v>
      </c>
      <c r="Q358">
        <v>-468488.02062644903</v>
      </c>
      <c r="R358">
        <v>66099.240726603006</v>
      </c>
      <c r="S358">
        <v>38987.032934380397</v>
      </c>
      <c r="T358">
        <v>170721.91664536501</v>
      </c>
      <c r="U358">
        <v>2721077.61904736</v>
      </c>
      <c r="V358">
        <v>451385.18945745099</v>
      </c>
    </row>
    <row r="359" spans="1:22" x14ac:dyDescent="0.3">
      <c r="A359" t="str">
        <f t="shared" si="10"/>
        <v>STBPPrevisão</v>
      </c>
      <c r="B359" t="str">
        <f t="shared" si="11"/>
        <v>STBPPrevisãoMar-2023</v>
      </c>
      <c r="C359" t="s">
        <v>389</v>
      </c>
      <c r="D359" t="s">
        <v>390</v>
      </c>
      <c r="E359" t="s">
        <v>388</v>
      </c>
      <c r="F359" t="s">
        <v>736</v>
      </c>
      <c r="G359" t="s">
        <v>737</v>
      </c>
      <c r="H359" t="s">
        <v>738</v>
      </c>
      <c r="I359" t="s">
        <v>739</v>
      </c>
      <c r="J359" t="s">
        <v>739</v>
      </c>
      <c r="K359" s="2">
        <v>45015</v>
      </c>
      <c r="L359">
        <v>174592.31553325601</v>
      </c>
      <c r="M359">
        <v>5712552.0290985098</v>
      </c>
      <c r="N359">
        <v>1372821.8533965501</v>
      </c>
      <c r="O359">
        <v>242122.40957152899</v>
      </c>
      <c r="P359">
        <v>-5712552.0290985098</v>
      </c>
      <c r="Q359">
        <v>-510593.94055707997</v>
      </c>
      <c r="R359">
        <v>73209.684232754094</v>
      </c>
      <c r="S359">
        <v>44864.846023251899</v>
      </c>
      <c r="T359">
        <v>174289.462099911</v>
      </c>
      <c r="U359">
        <v>2934729.4372773399</v>
      </c>
      <c r="V359">
        <v>520294.83383902803</v>
      </c>
    </row>
    <row r="360" spans="1:22" x14ac:dyDescent="0.3">
      <c r="A360" t="str">
        <f t="shared" si="10"/>
        <v>STBPPrevisão</v>
      </c>
      <c r="B360" t="str">
        <f t="shared" si="11"/>
        <v>STBPPrevisãoJun-2023</v>
      </c>
      <c r="C360" t="s">
        <v>389</v>
      </c>
      <c r="D360" t="s">
        <v>390</v>
      </c>
      <c r="E360" t="s">
        <v>388</v>
      </c>
      <c r="F360" t="s">
        <v>736</v>
      </c>
      <c r="G360" t="s">
        <v>737</v>
      </c>
      <c r="H360" t="s">
        <v>738</v>
      </c>
      <c r="I360" t="s">
        <v>739</v>
      </c>
      <c r="J360" t="s">
        <v>739</v>
      </c>
      <c r="K360" s="2">
        <v>45107</v>
      </c>
      <c r="L360">
        <v>204850.82454244501</v>
      </c>
      <c r="M360">
        <v>6104248.72616453</v>
      </c>
      <c r="N360">
        <v>1497873.3899732099</v>
      </c>
      <c r="O360">
        <v>276165.48197576898</v>
      </c>
      <c r="P360">
        <v>-6104248.72616453</v>
      </c>
      <c r="Q360">
        <v>-556849.89180570899</v>
      </c>
      <c r="R360">
        <v>81139.011395510199</v>
      </c>
      <c r="S360">
        <v>51342.653668176703</v>
      </c>
      <c r="T360">
        <v>179634.745059081</v>
      </c>
      <c r="U360">
        <v>3168673.06808327</v>
      </c>
      <c r="V360">
        <v>597377.242098068</v>
      </c>
    </row>
    <row r="361" spans="1:22" x14ac:dyDescent="0.3">
      <c r="A361" t="str">
        <f t="shared" si="10"/>
        <v>STBPPrevisão</v>
      </c>
      <c r="B361" t="str">
        <f t="shared" si="11"/>
        <v>STBPPrevisãoSet-2023</v>
      </c>
      <c r="C361" t="s">
        <v>389</v>
      </c>
      <c r="D361" t="s">
        <v>390</v>
      </c>
      <c r="E361" t="s">
        <v>388</v>
      </c>
      <c r="F361" t="s">
        <v>736</v>
      </c>
      <c r="G361" t="s">
        <v>737</v>
      </c>
      <c r="H361" t="s">
        <v>738</v>
      </c>
      <c r="I361" t="s">
        <v>739</v>
      </c>
      <c r="J361" t="s">
        <v>739</v>
      </c>
      <c r="K361" s="2">
        <v>45199</v>
      </c>
      <c r="L361">
        <v>237926.34959773999</v>
      </c>
      <c r="M361">
        <v>6521973.20556085</v>
      </c>
      <c r="N361">
        <v>1631785.5808797099</v>
      </c>
      <c r="O361">
        <v>313899.54988735099</v>
      </c>
      <c r="P361">
        <v>-6521973.20556085</v>
      </c>
      <c r="Q361">
        <v>-607418.17336283298</v>
      </c>
      <c r="R361">
        <v>89928.392216673295</v>
      </c>
      <c r="S361">
        <v>58446.770585612001</v>
      </c>
      <c r="T361">
        <v>186894.645698379</v>
      </c>
      <c r="U361">
        <v>3423775.1320440602</v>
      </c>
      <c r="V361">
        <v>683032.75637913705</v>
      </c>
    </row>
    <row r="362" spans="1:22" x14ac:dyDescent="0.3">
      <c r="A362" t="str">
        <f t="shared" si="10"/>
        <v>RAILPrevisão</v>
      </c>
      <c r="B362" t="str">
        <f t="shared" si="11"/>
        <v>RAILPrevisãoDez-2022</v>
      </c>
      <c r="C362" t="s">
        <v>393</v>
      </c>
      <c r="D362" t="s">
        <v>394</v>
      </c>
      <c r="E362" t="s">
        <v>388</v>
      </c>
      <c r="F362" t="s">
        <v>736</v>
      </c>
      <c r="G362" t="s">
        <v>737</v>
      </c>
      <c r="H362" t="s">
        <v>738</v>
      </c>
      <c r="I362" t="s">
        <v>739</v>
      </c>
      <c r="J362" t="s">
        <v>739</v>
      </c>
      <c r="K362" s="2">
        <v>44925</v>
      </c>
      <c r="L362">
        <v>166511.741787376</v>
      </c>
      <c r="M362">
        <v>28751774.630845699</v>
      </c>
      <c r="N362">
        <v>2006791.09371004</v>
      </c>
      <c r="O362">
        <v>48688.330022918599</v>
      </c>
      <c r="P362">
        <v>-28751774.630845699</v>
      </c>
      <c r="Q362">
        <v>-762033.63585425296</v>
      </c>
      <c r="R362">
        <v>2003.1341991330501</v>
      </c>
      <c r="S362">
        <v>175.39860792727899</v>
      </c>
      <c r="T362">
        <v>35728.346574924501</v>
      </c>
      <c r="U362">
        <v>18198383.750443898</v>
      </c>
      <c r="V362">
        <v>231666.90162126301</v>
      </c>
    </row>
    <row r="363" spans="1:22" x14ac:dyDescent="0.3">
      <c r="A363" t="str">
        <f t="shared" si="10"/>
        <v>RAILPrevisão</v>
      </c>
      <c r="B363" t="str">
        <f t="shared" si="11"/>
        <v>RAILPrevisãoMar-2023</v>
      </c>
      <c r="C363" t="s">
        <v>393</v>
      </c>
      <c r="D363" t="s">
        <v>394</v>
      </c>
      <c r="E363" t="s">
        <v>388</v>
      </c>
      <c r="F363" t="s">
        <v>736</v>
      </c>
      <c r="G363" t="s">
        <v>737</v>
      </c>
      <c r="H363" t="s">
        <v>738</v>
      </c>
      <c r="I363" t="s">
        <v>739</v>
      </c>
      <c r="J363" t="s">
        <v>739</v>
      </c>
      <c r="K363" s="2">
        <v>45015</v>
      </c>
      <c r="L363">
        <v>159105.22462615499</v>
      </c>
      <c r="M363">
        <v>30888306.3110292</v>
      </c>
      <c r="N363">
        <v>2140136.6039268202</v>
      </c>
      <c r="O363">
        <v>55668.120379354499</v>
      </c>
      <c r="P363">
        <v>-30888306.3110292</v>
      </c>
      <c r="Q363">
        <v>-780188.47126952105</v>
      </c>
      <c r="R363">
        <v>854.48607354306603</v>
      </c>
      <c r="S363">
        <v>298.18842065814999</v>
      </c>
      <c r="T363">
        <v>35727.875890326897</v>
      </c>
      <c r="U363">
        <v>19305461.1160964</v>
      </c>
      <c r="V363">
        <v>227115.12355671599</v>
      </c>
    </row>
    <row r="364" spans="1:22" x14ac:dyDescent="0.3">
      <c r="A364" t="str">
        <f t="shared" si="10"/>
        <v>RAILPrevisão</v>
      </c>
      <c r="B364" t="str">
        <f t="shared" si="11"/>
        <v>RAILPrevisãoJun-2023</v>
      </c>
      <c r="C364" t="s">
        <v>393</v>
      </c>
      <c r="D364" t="s">
        <v>394</v>
      </c>
      <c r="E364" t="s">
        <v>388</v>
      </c>
      <c r="F364" t="s">
        <v>736</v>
      </c>
      <c r="G364" t="s">
        <v>737</v>
      </c>
      <c r="H364" t="s">
        <v>738</v>
      </c>
      <c r="I364" t="s">
        <v>739</v>
      </c>
      <c r="J364" t="s">
        <v>739</v>
      </c>
      <c r="K364" s="2">
        <v>45107</v>
      </c>
      <c r="L364">
        <v>147608.11742681701</v>
      </c>
      <c r="M364">
        <v>33158374.9852213</v>
      </c>
      <c r="N364">
        <v>2274836.0074126599</v>
      </c>
      <c r="O364">
        <v>63593.622358031003</v>
      </c>
      <c r="P364">
        <v>-33158374.9852213</v>
      </c>
      <c r="Q364">
        <v>-801639.88414992101</v>
      </c>
      <c r="R364">
        <v>-468.241040166267</v>
      </c>
      <c r="S364">
        <v>460.16810429405302</v>
      </c>
      <c r="T364">
        <v>38906.778646557003</v>
      </c>
      <c r="U364">
        <v>20447842.327835701</v>
      </c>
      <c r="V364">
        <v>220381.49694936301</v>
      </c>
    </row>
    <row r="365" spans="1:22" x14ac:dyDescent="0.3">
      <c r="A365" t="str">
        <f t="shared" si="10"/>
        <v>RAILPrevisão</v>
      </c>
      <c r="B365" t="str">
        <f t="shared" si="11"/>
        <v>RAILPrevisãoSet-2023</v>
      </c>
      <c r="C365" t="s">
        <v>393</v>
      </c>
      <c r="D365" t="s">
        <v>394</v>
      </c>
      <c r="E365" t="s">
        <v>388</v>
      </c>
      <c r="F365" t="s">
        <v>736</v>
      </c>
      <c r="G365" t="s">
        <v>737</v>
      </c>
      <c r="H365" t="s">
        <v>738</v>
      </c>
      <c r="I365" t="s">
        <v>739</v>
      </c>
      <c r="J365" t="s">
        <v>739</v>
      </c>
      <c r="K365" s="2">
        <v>45199</v>
      </c>
      <c r="L365">
        <v>131723.50147192701</v>
      </c>
      <c r="M365">
        <v>35566031.582239702</v>
      </c>
      <c r="N365">
        <v>2410533.7878600201</v>
      </c>
      <c r="O365">
        <v>72508.503595191796</v>
      </c>
      <c r="P365">
        <v>-35566031.582239702</v>
      </c>
      <c r="Q365">
        <v>-826641.87022802501</v>
      </c>
      <c r="R365">
        <v>-1974.4101510886001</v>
      </c>
      <c r="S365">
        <v>662.99740869287803</v>
      </c>
      <c r="T365">
        <v>45467.649563429499</v>
      </c>
      <c r="U365">
        <v>21625136.141617201</v>
      </c>
      <c r="V365">
        <v>211334.178640364</v>
      </c>
    </row>
    <row r="366" spans="1:22" x14ac:dyDescent="0.3">
      <c r="A366" t="str">
        <f t="shared" si="10"/>
        <v>IVPRPrevisão</v>
      </c>
      <c r="B366" t="str">
        <f t="shared" si="11"/>
        <v>IVPRPrevisãoDez-2022</v>
      </c>
      <c r="C366" t="s">
        <v>401</v>
      </c>
      <c r="D366" t="s">
        <v>402</v>
      </c>
      <c r="E366" t="s">
        <v>388</v>
      </c>
      <c r="F366" t="s">
        <v>736</v>
      </c>
      <c r="G366" t="s">
        <v>737</v>
      </c>
      <c r="H366" t="s">
        <v>738</v>
      </c>
      <c r="I366" t="s">
        <v>739</v>
      </c>
      <c r="J366" t="s">
        <v>739</v>
      </c>
      <c r="K366" s="2">
        <v>44925</v>
      </c>
      <c r="L366">
        <v>-134495.26975633801</v>
      </c>
      <c r="M366">
        <v>853252.39775813301</v>
      </c>
      <c r="N366">
        <v>1346743.04430902</v>
      </c>
      <c r="O366">
        <v>66419.279517878094</v>
      </c>
      <c r="P366">
        <v>-853252.39775813301</v>
      </c>
      <c r="Q366">
        <v>-658064.32713754894</v>
      </c>
      <c r="R366">
        <v>-8761.7641116932991</v>
      </c>
      <c r="S366">
        <v>799.42500636586999</v>
      </c>
      <c r="T366">
        <v>6134.3992869914</v>
      </c>
      <c r="U366">
        <v>-2211813.3807839402</v>
      </c>
      <c r="V366">
        <v>-47698.809863300798</v>
      </c>
    </row>
    <row r="367" spans="1:22" x14ac:dyDescent="0.3">
      <c r="A367" t="str">
        <f t="shared" si="10"/>
        <v>IVPRPrevisão</v>
      </c>
      <c r="B367" t="str">
        <f t="shared" si="11"/>
        <v>IVPRPrevisãoMar-2023</v>
      </c>
      <c r="C367" t="s">
        <v>401</v>
      </c>
      <c r="D367" t="s">
        <v>402</v>
      </c>
      <c r="E367" t="s">
        <v>388</v>
      </c>
      <c r="F367" t="s">
        <v>736</v>
      </c>
      <c r="G367" t="s">
        <v>737</v>
      </c>
      <c r="H367" t="s">
        <v>738</v>
      </c>
      <c r="I367" t="s">
        <v>739</v>
      </c>
      <c r="J367" t="s">
        <v>739</v>
      </c>
      <c r="K367" s="2">
        <v>45015</v>
      </c>
      <c r="L367">
        <v>-92813.263596617093</v>
      </c>
      <c r="M367">
        <v>504667.83995662001</v>
      </c>
      <c r="N367">
        <v>1368535.6821179399</v>
      </c>
      <c r="O367">
        <v>21920.936604300601</v>
      </c>
      <c r="P367">
        <v>-504667.83995662001</v>
      </c>
      <c r="Q367">
        <v>-452767.62000261497</v>
      </c>
      <c r="R367">
        <v>-17954.917677787598</v>
      </c>
      <c r="S367">
        <v>887.99936682252803</v>
      </c>
      <c r="T367">
        <v>8885.6391647622295</v>
      </c>
      <c r="U367">
        <v>-2454422.8021839801</v>
      </c>
      <c r="V367">
        <v>-16687.1150684239</v>
      </c>
    </row>
    <row r="368" spans="1:22" x14ac:dyDescent="0.3">
      <c r="A368" t="str">
        <f t="shared" si="10"/>
        <v>IVPRPrevisão</v>
      </c>
      <c r="B368" t="str">
        <f t="shared" si="11"/>
        <v>IVPRPrevisãoJun-2023</v>
      </c>
      <c r="C368" t="s">
        <v>401</v>
      </c>
      <c r="D368" t="s">
        <v>402</v>
      </c>
      <c r="E368" t="s">
        <v>388</v>
      </c>
      <c r="F368" t="s">
        <v>736</v>
      </c>
      <c r="G368" t="s">
        <v>737</v>
      </c>
      <c r="H368" t="s">
        <v>738</v>
      </c>
      <c r="I368" t="s">
        <v>739</v>
      </c>
      <c r="J368" t="s">
        <v>739</v>
      </c>
      <c r="K368" s="2">
        <v>45107</v>
      </c>
      <c r="L368">
        <v>-45275.687084507197</v>
      </c>
      <c r="M368">
        <v>145941.91630805799</v>
      </c>
      <c r="N368">
        <v>1383968.5159277699</v>
      </c>
      <c r="O368">
        <v>-27990.316925896801</v>
      </c>
      <c r="P368">
        <v>-145941.91630805799</v>
      </c>
      <c r="Q368">
        <v>-213932.084957819</v>
      </c>
      <c r="R368">
        <v>-28219.8207154798</v>
      </c>
      <c r="S368">
        <v>999.264742648219</v>
      </c>
      <c r="T368">
        <v>12056.2267773856</v>
      </c>
      <c r="U368">
        <v>-2677231.5054220799</v>
      </c>
      <c r="V368">
        <v>18244.7218757999</v>
      </c>
    </row>
    <row r="369" spans="1:22" x14ac:dyDescent="0.3">
      <c r="A369" t="str">
        <f t="shared" si="10"/>
        <v>IVPRPrevisão</v>
      </c>
      <c r="B369" t="str">
        <f t="shared" si="11"/>
        <v>IVPRPrevisãoSet-2023</v>
      </c>
      <c r="C369" t="s">
        <v>401</v>
      </c>
      <c r="D369" t="s">
        <v>402</v>
      </c>
      <c r="E369" t="s">
        <v>388</v>
      </c>
      <c r="F369" t="s">
        <v>736</v>
      </c>
      <c r="G369" t="s">
        <v>737</v>
      </c>
      <c r="H369" t="s">
        <v>738</v>
      </c>
      <c r="I369" t="s">
        <v>739</v>
      </c>
      <c r="J369" t="s">
        <v>739</v>
      </c>
      <c r="K369" s="2">
        <v>45199</v>
      </c>
      <c r="L369">
        <v>8388.5845283730796</v>
      </c>
      <c r="M369">
        <v>-222361.696994798</v>
      </c>
      <c r="N369">
        <v>1392542.6550779401</v>
      </c>
      <c r="O369">
        <v>-83543.448118934597</v>
      </c>
      <c r="P369">
        <v>222361.696994798</v>
      </c>
      <c r="Q369">
        <v>60184.4738062303</v>
      </c>
      <c r="R369">
        <v>-39603.9871489215</v>
      </c>
      <c r="S369">
        <v>1134.5930464253699</v>
      </c>
      <c r="T369">
        <v>15665.0417020942</v>
      </c>
      <c r="U369">
        <v>-2878079.6539326399</v>
      </c>
      <c r="V369">
        <v>57269.850211123703</v>
      </c>
    </row>
    <row r="370" spans="1:22" x14ac:dyDescent="0.3">
      <c r="A370" t="str">
        <f t="shared" si="10"/>
        <v>GOLLPrevisão</v>
      </c>
      <c r="B370" t="str">
        <f t="shared" si="11"/>
        <v>GOLLPrevisãoDez-2022</v>
      </c>
      <c r="C370" t="s">
        <v>399</v>
      </c>
      <c r="D370" t="s">
        <v>400</v>
      </c>
      <c r="E370" t="s">
        <v>388</v>
      </c>
      <c r="F370" t="s">
        <v>736</v>
      </c>
      <c r="G370" t="s">
        <v>737</v>
      </c>
      <c r="H370" t="s">
        <v>738</v>
      </c>
      <c r="I370" t="s">
        <v>739</v>
      </c>
      <c r="J370" t="s">
        <v>739</v>
      </c>
      <c r="K370" s="2">
        <v>44925</v>
      </c>
      <c r="L370">
        <v>-1514589.22731499</v>
      </c>
      <c r="M370">
        <v>8060948.3002297599</v>
      </c>
      <c r="N370">
        <v>22305.127493405998</v>
      </c>
      <c r="O370">
        <v>-16540.761565238699</v>
      </c>
      <c r="P370">
        <v>-8060948.3002297599</v>
      </c>
      <c r="Q370">
        <v>-302652.99278519902</v>
      </c>
      <c r="R370">
        <v>422.00364994460898</v>
      </c>
      <c r="S370">
        <v>-2849.0578898251702</v>
      </c>
      <c r="T370">
        <v>-105313.086834819</v>
      </c>
      <c r="U370">
        <v>-24724055.239962101</v>
      </c>
      <c r="V370">
        <v>-1328466.95509727</v>
      </c>
    </row>
    <row r="371" spans="1:22" x14ac:dyDescent="0.3">
      <c r="A371" t="str">
        <f t="shared" si="10"/>
        <v>GOLLPrevisão</v>
      </c>
      <c r="B371" t="str">
        <f t="shared" si="11"/>
        <v>GOLLPrevisãoMar-2023</v>
      </c>
      <c r="C371" t="s">
        <v>399</v>
      </c>
      <c r="D371" t="s">
        <v>400</v>
      </c>
      <c r="E371" t="s">
        <v>388</v>
      </c>
      <c r="F371" t="s">
        <v>736</v>
      </c>
      <c r="G371" t="s">
        <v>737</v>
      </c>
      <c r="H371" t="s">
        <v>738</v>
      </c>
      <c r="I371" t="s">
        <v>739</v>
      </c>
      <c r="J371" t="s">
        <v>739</v>
      </c>
      <c r="K371" s="2">
        <v>45015</v>
      </c>
      <c r="L371">
        <v>-1612294.34040587</v>
      </c>
      <c r="M371">
        <v>8290604.4617999597</v>
      </c>
      <c r="N371">
        <v>-81718.943580725594</v>
      </c>
      <c r="O371">
        <v>-30499.720649613799</v>
      </c>
      <c r="P371">
        <v>-8290604.4617999597</v>
      </c>
      <c r="Q371">
        <v>-186400.47761302299</v>
      </c>
      <c r="R371">
        <v>537.91118544038795</v>
      </c>
      <c r="S371">
        <v>-4267.5854846474704</v>
      </c>
      <c r="T371">
        <v>-149811.57422980099</v>
      </c>
      <c r="U371">
        <v>-26881631.321573101</v>
      </c>
      <c r="V371">
        <v>-1425804.03501521</v>
      </c>
    </row>
    <row r="372" spans="1:22" x14ac:dyDescent="0.3">
      <c r="A372" t="str">
        <f t="shared" si="10"/>
        <v>GOLLPrevisão</v>
      </c>
      <c r="B372" t="str">
        <f t="shared" si="11"/>
        <v>GOLLPrevisãoJun-2023</v>
      </c>
      <c r="C372" t="s">
        <v>399</v>
      </c>
      <c r="D372" t="s">
        <v>400</v>
      </c>
      <c r="E372" t="s">
        <v>388</v>
      </c>
      <c r="F372" t="s">
        <v>736</v>
      </c>
      <c r="G372" t="s">
        <v>737</v>
      </c>
      <c r="H372" t="s">
        <v>738</v>
      </c>
      <c r="I372" t="s">
        <v>739</v>
      </c>
      <c r="J372" t="s">
        <v>739</v>
      </c>
      <c r="K372" s="2">
        <v>45107</v>
      </c>
      <c r="L372">
        <v>-1713787.8953149</v>
      </c>
      <c r="M372">
        <v>8500774.6280896198</v>
      </c>
      <c r="N372">
        <v>-195897.14444493401</v>
      </c>
      <c r="O372">
        <v>-46368.399774805403</v>
      </c>
      <c r="P372">
        <v>-8500774.6280896198</v>
      </c>
      <c r="Q372">
        <v>-51535.4182135339</v>
      </c>
      <c r="R372">
        <v>672.60915923744506</v>
      </c>
      <c r="S372">
        <v>-5839.8633932510902</v>
      </c>
      <c r="T372">
        <v>-201627.309338666</v>
      </c>
      <c r="U372">
        <v>-29171973.685846299</v>
      </c>
      <c r="V372">
        <v>-1527492.34248569</v>
      </c>
    </row>
    <row r="373" spans="1:22" x14ac:dyDescent="0.3">
      <c r="A373" t="str">
        <f t="shared" si="10"/>
        <v>GOLLPrevisão</v>
      </c>
      <c r="B373" t="str">
        <f t="shared" si="11"/>
        <v>GOLLPrevisãoSet-2023</v>
      </c>
      <c r="C373" t="s">
        <v>399</v>
      </c>
      <c r="D373" t="s">
        <v>400</v>
      </c>
      <c r="E373" t="s">
        <v>388</v>
      </c>
      <c r="F373" t="s">
        <v>736</v>
      </c>
      <c r="G373" t="s">
        <v>737</v>
      </c>
      <c r="H373" t="s">
        <v>738</v>
      </c>
      <c r="I373" t="s">
        <v>739</v>
      </c>
      <c r="J373" t="s">
        <v>739</v>
      </c>
      <c r="K373" s="2">
        <v>45199</v>
      </c>
      <c r="L373">
        <v>-1819089.8035452</v>
      </c>
      <c r="M373">
        <v>8689344.3820948992</v>
      </c>
      <c r="N373">
        <v>-320615.59421003901</v>
      </c>
      <c r="O373">
        <v>-64242.313170798698</v>
      </c>
      <c r="P373">
        <v>-8689344.3820948992</v>
      </c>
      <c r="Q373">
        <v>102910.551235654</v>
      </c>
      <c r="R373">
        <v>827.13550218485898</v>
      </c>
      <c r="S373">
        <v>-7572.7211295986999</v>
      </c>
      <c r="T373">
        <v>-261215.875391226</v>
      </c>
      <c r="U373">
        <v>-31599646.945817702</v>
      </c>
      <c r="V373">
        <v>-1633582.3782295799</v>
      </c>
    </row>
    <row r="374" spans="1:22" x14ac:dyDescent="0.3">
      <c r="A374" t="str">
        <f t="shared" si="10"/>
        <v>CCROPrevisão</v>
      </c>
      <c r="B374" t="str">
        <f t="shared" si="11"/>
        <v>CCROPrevisãoDez-2022</v>
      </c>
      <c r="C374" t="s">
        <v>386</v>
      </c>
      <c r="D374" t="s">
        <v>387</v>
      </c>
      <c r="E374" t="s">
        <v>388</v>
      </c>
      <c r="F374" t="s">
        <v>736</v>
      </c>
      <c r="G374" t="s">
        <v>737</v>
      </c>
      <c r="H374" t="s">
        <v>738</v>
      </c>
      <c r="I374" t="s">
        <v>739</v>
      </c>
      <c r="J374" t="s">
        <v>739</v>
      </c>
      <c r="K374" s="2">
        <v>44925</v>
      </c>
      <c r="L374">
        <v>1160994.1932776801</v>
      </c>
      <c r="M374">
        <v>20531302.999915</v>
      </c>
      <c r="N374">
        <v>1680124.37552003</v>
      </c>
      <c r="O374">
        <v>665819.729140279</v>
      </c>
      <c r="P374">
        <v>-20531302.999915</v>
      </c>
      <c r="Q374">
        <v>-1350365.1729899701</v>
      </c>
      <c r="R374">
        <v>148893.341482041</v>
      </c>
      <c r="S374">
        <v>-1564.91732450633</v>
      </c>
      <c r="T374">
        <v>589365.19446583197</v>
      </c>
      <c r="U374">
        <v>10703434.210762899</v>
      </c>
      <c r="V374">
        <v>34752.201680673701</v>
      </c>
    </row>
    <row r="375" spans="1:22" x14ac:dyDescent="0.3">
      <c r="A375" t="str">
        <f t="shared" si="10"/>
        <v>CCROPrevisão</v>
      </c>
      <c r="B375" t="str">
        <f t="shared" si="11"/>
        <v>CCROPrevisãoMar-2023</v>
      </c>
      <c r="C375" t="s">
        <v>386</v>
      </c>
      <c r="D375" t="s">
        <v>387</v>
      </c>
      <c r="E375" t="s">
        <v>388</v>
      </c>
      <c r="F375" t="s">
        <v>736</v>
      </c>
      <c r="G375" t="s">
        <v>737</v>
      </c>
      <c r="H375" t="s">
        <v>738</v>
      </c>
      <c r="I375" t="s">
        <v>739</v>
      </c>
      <c r="J375" t="s">
        <v>739</v>
      </c>
      <c r="K375" s="2">
        <v>45015</v>
      </c>
      <c r="L375">
        <v>1306550.64955756</v>
      </c>
      <c r="M375">
        <v>21524887.395299699</v>
      </c>
      <c r="N375">
        <v>1546288.6293414901</v>
      </c>
      <c r="O375">
        <v>771081.53863658302</v>
      </c>
      <c r="P375">
        <v>-21524887.395299699</v>
      </c>
      <c r="Q375">
        <v>-1466884.34780188</v>
      </c>
      <c r="R375">
        <v>167684.04198239101</v>
      </c>
      <c r="S375">
        <v>-3452.6050236649198</v>
      </c>
      <c r="T375">
        <v>468081.31635932601</v>
      </c>
      <c r="U375">
        <v>10718907.784834201</v>
      </c>
      <c r="V375">
        <v>36768.661518663001</v>
      </c>
    </row>
    <row r="376" spans="1:22" x14ac:dyDescent="0.3">
      <c r="A376" t="str">
        <f t="shared" si="10"/>
        <v>CCROPrevisão</v>
      </c>
      <c r="B376" t="str">
        <f t="shared" si="11"/>
        <v>CCROPrevisãoJun-2023</v>
      </c>
      <c r="C376" t="s">
        <v>386</v>
      </c>
      <c r="D376" t="s">
        <v>387</v>
      </c>
      <c r="E376" t="s">
        <v>388</v>
      </c>
      <c r="F376" t="s">
        <v>736</v>
      </c>
      <c r="G376" t="s">
        <v>737</v>
      </c>
      <c r="H376" t="s">
        <v>738</v>
      </c>
      <c r="I376" t="s">
        <v>739</v>
      </c>
      <c r="J376" t="s">
        <v>739</v>
      </c>
      <c r="K376" s="2">
        <v>45107</v>
      </c>
      <c r="L376">
        <v>1467091.2909663899</v>
      </c>
      <c r="M376">
        <v>22552605.049296301</v>
      </c>
      <c r="N376">
        <v>1390457.9363317101</v>
      </c>
      <c r="O376">
        <v>886054.56165991398</v>
      </c>
      <c r="P376">
        <v>-22552605.049296301</v>
      </c>
      <c r="Q376">
        <v>-1597358.16373858</v>
      </c>
      <c r="R376">
        <v>188285.11002828399</v>
      </c>
      <c r="S376">
        <v>-5554.0041378692904</v>
      </c>
      <c r="T376">
        <v>334189.50100002001</v>
      </c>
      <c r="U376">
        <v>10693131.733121101</v>
      </c>
      <c r="V376">
        <v>38973.941782119698</v>
      </c>
    </row>
    <row r="377" spans="1:22" x14ac:dyDescent="0.3">
      <c r="A377" t="str">
        <f t="shared" si="10"/>
        <v>CCROPrevisão</v>
      </c>
      <c r="B377" t="str">
        <f t="shared" si="11"/>
        <v>CCROPrevisãoSet-2023</v>
      </c>
      <c r="C377" t="s">
        <v>386</v>
      </c>
      <c r="D377" t="s">
        <v>387</v>
      </c>
      <c r="E377" t="s">
        <v>388</v>
      </c>
      <c r="F377" t="s">
        <v>736</v>
      </c>
      <c r="G377" t="s">
        <v>737</v>
      </c>
      <c r="H377" t="s">
        <v>738</v>
      </c>
      <c r="I377" t="s">
        <v>739</v>
      </c>
      <c r="J377" t="s">
        <v>739</v>
      </c>
      <c r="K377" s="2">
        <v>45199</v>
      </c>
      <c r="L377">
        <v>1643304.87881802</v>
      </c>
      <c r="M377">
        <v>23614837.129225802</v>
      </c>
      <c r="N377">
        <v>1211582.95495084</v>
      </c>
      <c r="O377">
        <v>1011136.63157933</v>
      </c>
      <c r="P377">
        <v>-23614837.129225802</v>
      </c>
      <c r="Q377">
        <v>-1742535.4637847201</v>
      </c>
      <c r="R377">
        <v>210776.08119222999</v>
      </c>
      <c r="S377">
        <v>-7878.4313989935099</v>
      </c>
      <c r="T377">
        <v>187154.632683</v>
      </c>
      <c r="U377">
        <v>10623644.515802201</v>
      </c>
      <c r="V377">
        <v>41374.045268792797</v>
      </c>
    </row>
    <row r="378" spans="1:22" x14ac:dyDescent="0.3">
      <c r="A378" t="str">
        <f t="shared" si="10"/>
        <v>AZULPrevisão</v>
      </c>
      <c r="B378" t="str">
        <f t="shared" si="11"/>
        <v>AZULPrevisãoDez-2022</v>
      </c>
      <c r="C378" t="s">
        <v>397</v>
      </c>
      <c r="D378" t="s">
        <v>398</v>
      </c>
      <c r="E378" t="s">
        <v>388</v>
      </c>
      <c r="F378" t="s">
        <v>736</v>
      </c>
      <c r="G378" t="s">
        <v>737</v>
      </c>
      <c r="H378" t="s">
        <v>738</v>
      </c>
      <c r="I378" t="s">
        <v>739</v>
      </c>
      <c r="J378" t="s">
        <v>739</v>
      </c>
      <c r="K378" s="2">
        <v>44925</v>
      </c>
      <c r="L378">
        <v>-184355.73039215</v>
      </c>
      <c r="M378">
        <v>2119639.4379087202</v>
      </c>
      <c r="N378">
        <v>337886.55065359699</v>
      </c>
      <c r="O378">
        <v>5367.1323529410402</v>
      </c>
      <c r="P378">
        <v>-2119639.4379087202</v>
      </c>
      <c r="Q378">
        <v>24175.911764648401</v>
      </c>
      <c r="R378">
        <v>6133.6160130718899</v>
      </c>
      <c r="S378">
        <v>-2580.0081699347102</v>
      </c>
      <c r="T378">
        <v>0</v>
      </c>
      <c r="U378">
        <v>-16050967.622548001</v>
      </c>
      <c r="V378">
        <v>-154078.01470586899</v>
      </c>
    </row>
    <row r="379" spans="1:22" x14ac:dyDescent="0.3">
      <c r="A379" t="str">
        <f t="shared" si="10"/>
        <v>AZULPrevisão</v>
      </c>
      <c r="B379" t="str">
        <f t="shared" si="11"/>
        <v>AZULPrevisãoMar-2023</v>
      </c>
      <c r="C379" t="s">
        <v>397</v>
      </c>
      <c r="D379" t="s">
        <v>398</v>
      </c>
      <c r="E379" t="s">
        <v>388</v>
      </c>
      <c r="F379" t="s">
        <v>736</v>
      </c>
      <c r="G379" t="s">
        <v>737</v>
      </c>
      <c r="H379" t="s">
        <v>738</v>
      </c>
      <c r="I379" t="s">
        <v>739</v>
      </c>
      <c r="J379" t="s">
        <v>739</v>
      </c>
      <c r="K379" s="2">
        <v>45015</v>
      </c>
      <c r="L379">
        <v>420491.23142416799</v>
      </c>
      <c r="M379">
        <v>2940021.59838347</v>
      </c>
      <c r="N379">
        <v>310227.55374957703</v>
      </c>
      <c r="O379">
        <v>7601.1122291019901</v>
      </c>
      <c r="P379">
        <v>-2940021.59838347</v>
      </c>
      <c r="Q379">
        <v>87607.172342546604</v>
      </c>
      <c r="R379">
        <v>7294.3177674578601</v>
      </c>
      <c r="S379">
        <v>-5618.7308221535404</v>
      </c>
      <c r="T379">
        <v>0</v>
      </c>
      <c r="U379">
        <v>-12930825.6736315</v>
      </c>
      <c r="V379">
        <v>472611.140866898</v>
      </c>
    </row>
    <row r="380" spans="1:22" x14ac:dyDescent="0.3">
      <c r="A380" t="str">
        <f t="shared" si="10"/>
        <v>AZULPrevisão</v>
      </c>
      <c r="B380" t="str">
        <f t="shared" si="11"/>
        <v>AZULPrevisãoJun-2023</v>
      </c>
      <c r="C380" t="s">
        <v>397</v>
      </c>
      <c r="D380" t="s">
        <v>398</v>
      </c>
      <c r="E380" t="s">
        <v>388</v>
      </c>
      <c r="F380" t="s">
        <v>736</v>
      </c>
      <c r="G380" t="s">
        <v>737</v>
      </c>
      <c r="H380" t="s">
        <v>738</v>
      </c>
      <c r="I380" t="s">
        <v>739</v>
      </c>
      <c r="J380" t="s">
        <v>739</v>
      </c>
      <c r="K380" s="2">
        <v>45107</v>
      </c>
      <c r="L380">
        <v>1151509.31217754</v>
      </c>
      <c r="M380">
        <v>3995533.6112834001</v>
      </c>
      <c r="N380">
        <v>264668.84296526801</v>
      </c>
      <c r="O380">
        <v>10294.0201238387</v>
      </c>
      <c r="P380">
        <v>-3995533.6112834001</v>
      </c>
      <c r="Q380">
        <v>169275.81527338299</v>
      </c>
      <c r="R380">
        <v>8598.9733402132897</v>
      </c>
      <c r="S380">
        <v>-9265.9898520813495</v>
      </c>
      <c r="T380">
        <v>0</v>
      </c>
      <c r="U380">
        <v>-8512607.4071196094</v>
      </c>
      <c r="V380">
        <v>1232715.4989680401</v>
      </c>
    </row>
    <row r="381" spans="1:22" x14ac:dyDescent="0.3">
      <c r="A381" t="str">
        <f t="shared" si="10"/>
        <v>AZULPrevisão</v>
      </c>
      <c r="B381" t="str">
        <f t="shared" si="11"/>
        <v>AZULPrevisãoSet-2023</v>
      </c>
      <c r="C381" t="s">
        <v>397</v>
      </c>
      <c r="D381" t="s">
        <v>398</v>
      </c>
      <c r="E381" t="s">
        <v>388</v>
      </c>
      <c r="F381" t="s">
        <v>736</v>
      </c>
      <c r="G381" t="s">
        <v>737</v>
      </c>
      <c r="H381" t="s">
        <v>738</v>
      </c>
      <c r="I381" t="s">
        <v>739</v>
      </c>
      <c r="J381" t="s">
        <v>739</v>
      </c>
      <c r="K381" s="2">
        <v>45199</v>
      </c>
      <c r="L381">
        <v>2017506.79824567</v>
      </c>
      <c r="M381">
        <v>5308567.5655318098</v>
      </c>
      <c r="N381">
        <v>199184.57946338301</v>
      </c>
      <c r="O381">
        <v>13483.8663570688</v>
      </c>
      <c r="P381">
        <v>-5308567.5655318098</v>
      </c>
      <c r="Q381">
        <v>271120.99690390797</v>
      </c>
      <c r="R381">
        <v>10055.5794633643</v>
      </c>
      <c r="S381">
        <v>-13567.911248710199</v>
      </c>
      <c r="T381">
        <v>0</v>
      </c>
      <c r="U381">
        <v>-2665235.7084611398</v>
      </c>
      <c r="V381">
        <v>2135876.1795666199</v>
      </c>
    </row>
    <row r="382" spans="1:22" x14ac:dyDescent="0.3">
      <c r="A382" t="str">
        <f t="shared" si="10"/>
        <v>TOTSPrevisão</v>
      </c>
      <c r="B382" t="str">
        <f t="shared" si="11"/>
        <v>TOTSPrevisãoDez-2022</v>
      </c>
      <c r="C382" t="s">
        <v>160</v>
      </c>
      <c r="D382" t="s">
        <v>161</v>
      </c>
      <c r="E382" t="s">
        <v>151</v>
      </c>
      <c r="F382" t="s">
        <v>736</v>
      </c>
      <c r="G382" t="s">
        <v>737</v>
      </c>
      <c r="H382" t="s">
        <v>738</v>
      </c>
      <c r="I382" t="s">
        <v>739</v>
      </c>
      <c r="J382" t="s">
        <v>739</v>
      </c>
      <c r="K382" s="2">
        <v>44925</v>
      </c>
      <c r="L382">
        <v>157899.64646459901</v>
      </c>
      <c r="M382">
        <v>8180122.1443839502</v>
      </c>
      <c r="N382">
        <v>2915911.2677197298</v>
      </c>
      <c r="O382">
        <v>419428.35743984999</v>
      </c>
      <c r="P382">
        <v>-8180122.1443839502</v>
      </c>
      <c r="Q382">
        <v>-687158.42721330398</v>
      </c>
      <c r="R382">
        <v>221467.57855867801</v>
      </c>
      <c r="S382">
        <v>57208.573720408698</v>
      </c>
      <c r="T382">
        <v>628344.42865679797</v>
      </c>
      <c r="U382">
        <v>5211215.8583313897</v>
      </c>
      <c r="V382">
        <v>653431.73822248599</v>
      </c>
    </row>
    <row r="383" spans="1:22" x14ac:dyDescent="0.3">
      <c r="A383" t="str">
        <f t="shared" si="10"/>
        <v>TOTSPrevisão</v>
      </c>
      <c r="B383" t="str">
        <f t="shared" si="11"/>
        <v>TOTSPrevisãoMar-2023</v>
      </c>
      <c r="C383" t="s">
        <v>160</v>
      </c>
      <c r="D383" t="s">
        <v>161</v>
      </c>
      <c r="E383" t="s">
        <v>151</v>
      </c>
      <c r="F383" t="s">
        <v>736</v>
      </c>
      <c r="G383" t="s">
        <v>737</v>
      </c>
      <c r="H383" t="s">
        <v>738</v>
      </c>
      <c r="I383" t="s">
        <v>739</v>
      </c>
      <c r="J383" t="s">
        <v>739</v>
      </c>
      <c r="K383" s="2">
        <v>45015</v>
      </c>
      <c r="L383">
        <v>178809.55542474001</v>
      </c>
      <c r="M383">
        <v>8983157.7458333205</v>
      </c>
      <c r="N383">
        <v>3251765.3787735798</v>
      </c>
      <c r="O383">
        <v>451219.442024055</v>
      </c>
      <c r="P383">
        <v>-8983157.7458333205</v>
      </c>
      <c r="Q383">
        <v>-695730.026061196</v>
      </c>
      <c r="R383">
        <v>233120.608806648</v>
      </c>
      <c r="S383">
        <v>57912.386561516003</v>
      </c>
      <c r="T383">
        <v>734427.16590903106</v>
      </c>
      <c r="U383">
        <v>5706771.2377765803</v>
      </c>
      <c r="V383">
        <v>697803.56414007698</v>
      </c>
    </row>
    <row r="384" spans="1:22" x14ac:dyDescent="0.3">
      <c r="A384" t="str">
        <f t="shared" si="10"/>
        <v>TOTSPrevisão</v>
      </c>
      <c r="B384" t="str">
        <f t="shared" si="11"/>
        <v>TOTSPrevisãoJun-2023</v>
      </c>
      <c r="C384" t="s">
        <v>160</v>
      </c>
      <c r="D384" t="s">
        <v>161</v>
      </c>
      <c r="E384" t="s">
        <v>151</v>
      </c>
      <c r="F384" t="s">
        <v>736</v>
      </c>
      <c r="G384" t="s">
        <v>737</v>
      </c>
      <c r="H384" t="s">
        <v>738</v>
      </c>
      <c r="I384" t="s">
        <v>739</v>
      </c>
      <c r="J384" t="s">
        <v>739</v>
      </c>
      <c r="K384" s="2">
        <v>45107</v>
      </c>
      <c r="L384">
        <v>201905.08673023799</v>
      </c>
      <c r="M384">
        <v>9852775.9627895299</v>
      </c>
      <c r="N384">
        <v>3619692.6813167999</v>
      </c>
      <c r="O384">
        <v>487745.43555464002</v>
      </c>
      <c r="P384">
        <v>-9852775.9627895299</v>
      </c>
      <c r="Q384">
        <v>-703323.74376925395</v>
      </c>
      <c r="R384">
        <v>245680.72130859899</v>
      </c>
      <c r="S384">
        <v>58346.530801651199</v>
      </c>
      <c r="T384">
        <v>854929.737229386</v>
      </c>
      <c r="U384">
        <v>6241501.60495234</v>
      </c>
      <c r="V384">
        <v>746781.91968604701</v>
      </c>
    </row>
    <row r="385" spans="1:22" x14ac:dyDescent="0.3">
      <c r="A385" t="str">
        <f t="shared" si="10"/>
        <v>TOTSPrevisão</v>
      </c>
      <c r="B385" t="str">
        <f t="shared" si="11"/>
        <v>TOTSPrevisãoSet-2023</v>
      </c>
      <c r="C385" t="s">
        <v>160</v>
      </c>
      <c r="D385" t="s">
        <v>161</v>
      </c>
      <c r="E385" t="s">
        <v>151</v>
      </c>
      <c r="F385" t="s">
        <v>736</v>
      </c>
      <c r="G385" t="s">
        <v>737</v>
      </c>
      <c r="H385" t="s">
        <v>738</v>
      </c>
      <c r="I385" t="s">
        <v>739</v>
      </c>
      <c r="J385" t="s">
        <v>739</v>
      </c>
      <c r="K385" s="2">
        <v>45199</v>
      </c>
      <c r="L385">
        <v>227284.99822003199</v>
      </c>
      <c r="M385">
        <v>10791666.823848501</v>
      </c>
      <c r="N385">
        <v>4021112.0549749099</v>
      </c>
      <c r="O385">
        <v>529273.49410759797</v>
      </c>
      <c r="P385">
        <v>-10791666.823848501</v>
      </c>
      <c r="Q385">
        <v>-709878.54192154598</v>
      </c>
      <c r="R385">
        <v>259189.60112097301</v>
      </c>
      <c r="S385">
        <v>58492.538993415001</v>
      </c>
      <c r="T385">
        <v>990610.680211575</v>
      </c>
      <c r="U385">
        <v>6816939.8692905903</v>
      </c>
      <c r="V385">
        <v>800592.29960769205</v>
      </c>
    </row>
    <row r="386" spans="1:22" x14ac:dyDescent="0.3">
      <c r="A386" t="str">
        <f t="shared" ref="A386:A449" si="12">_xlfn.CONCAT(D386,F386)</f>
        <v>SQIAPrevisão</v>
      </c>
      <c r="B386" t="str">
        <f t="shared" ref="B386:B449" si="13">_xlfn.CONCAT(D386,F386,PROPER(TEXT(K386,"mmm-aaaa")))</f>
        <v>SQIAPrevisãoDez-2022</v>
      </c>
      <c r="C386" t="s">
        <v>158</v>
      </c>
      <c r="D386" t="s">
        <v>159</v>
      </c>
      <c r="E386" t="s">
        <v>151</v>
      </c>
      <c r="F386" t="s">
        <v>736</v>
      </c>
      <c r="G386" t="s">
        <v>737</v>
      </c>
      <c r="H386" t="s">
        <v>738</v>
      </c>
      <c r="I386" t="s">
        <v>739</v>
      </c>
      <c r="J386" t="s">
        <v>739</v>
      </c>
      <c r="K386" s="2">
        <v>44925</v>
      </c>
      <c r="L386">
        <v>874707.27371913905</v>
      </c>
      <c r="M386">
        <v>33794915.530097798</v>
      </c>
      <c r="N386">
        <v>18539638.9803578</v>
      </c>
      <c r="O386">
        <v>1044502.1257974</v>
      </c>
      <c r="P386">
        <v>-33794915.530097798</v>
      </c>
      <c r="Q386">
        <v>-3193521.1456152699</v>
      </c>
      <c r="R386">
        <v>1583381.3040169401</v>
      </c>
      <c r="S386">
        <v>157410.99268991101</v>
      </c>
      <c r="T386">
        <v>63941.678583748901</v>
      </c>
      <c r="U386">
        <v>27917062.948713999</v>
      </c>
      <c r="V386">
        <v>1861891.3635933199</v>
      </c>
    </row>
    <row r="387" spans="1:22" x14ac:dyDescent="0.3">
      <c r="A387" t="str">
        <f t="shared" si="12"/>
        <v>SQIAPrevisão</v>
      </c>
      <c r="B387" t="str">
        <f t="shared" si="13"/>
        <v>SQIAPrevisãoMar-2023</v>
      </c>
      <c r="C387" t="s">
        <v>158</v>
      </c>
      <c r="D387" t="s">
        <v>159</v>
      </c>
      <c r="E387" t="s">
        <v>151</v>
      </c>
      <c r="F387" t="s">
        <v>736</v>
      </c>
      <c r="G387" t="s">
        <v>737</v>
      </c>
      <c r="H387" t="s">
        <v>738</v>
      </c>
      <c r="I387" t="s">
        <v>739</v>
      </c>
      <c r="J387" t="s">
        <v>739</v>
      </c>
      <c r="K387" s="2">
        <v>45015</v>
      </c>
      <c r="L387">
        <v>1235028.77459395</v>
      </c>
      <c r="M387">
        <v>47615917.822436497</v>
      </c>
      <c r="N387">
        <v>26236045.056548499</v>
      </c>
      <c r="O387">
        <v>1459361.2586338299</v>
      </c>
      <c r="P387">
        <v>-47615917.822436497</v>
      </c>
      <c r="Q387">
        <v>-4489184.5333744697</v>
      </c>
      <c r="R387">
        <v>2242355.2666733498</v>
      </c>
      <c r="S387">
        <v>216098.98317446699</v>
      </c>
      <c r="T387">
        <v>70675.945809407101</v>
      </c>
      <c r="U387">
        <v>39415548.902823597</v>
      </c>
      <c r="V387">
        <v>2577792.2005532002</v>
      </c>
    </row>
    <row r="388" spans="1:22" x14ac:dyDescent="0.3">
      <c r="A388" t="str">
        <f t="shared" si="12"/>
        <v>SQIAPrevisão</v>
      </c>
      <c r="B388" t="str">
        <f t="shared" si="13"/>
        <v>SQIAPrevisãoJun-2023</v>
      </c>
      <c r="C388" t="s">
        <v>158</v>
      </c>
      <c r="D388" t="s">
        <v>159</v>
      </c>
      <c r="E388" t="s">
        <v>151</v>
      </c>
      <c r="F388" t="s">
        <v>736</v>
      </c>
      <c r="G388" t="s">
        <v>737</v>
      </c>
      <c r="H388" t="s">
        <v>738</v>
      </c>
      <c r="I388" t="s">
        <v>739</v>
      </c>
      <c r="J388" t="s">
        <v>739</v>
      </c>
      <c r="K388" s="2">
        <v>45107</v>
      </c>
      <c r="L388">
        <v>1649031.1894451999</v>
      </c>
      <c r="M388">
        <v>63561271.751997702</v>
      </c>
      <c r="N388">
        <v>35120960.875246897</v>
      </c>
      <c r="O388">
        <v>1933056.47582833</v>
      </c>
      <c r="P388">
        <v>-63561271.751997702</v>
      </c>
      <c r="Q388">
        <v>-5980437.8167231502</v>
      </c>
      <c r="R388">
        <v>3002634.08140535</v>
      </c>
      <c r="S388">
        <v>282139.86655004398</v>
      </c>
      <c r="T388">
        <v>77820.936843356903</v>
      </c>
      <c r="U388">
        <v>52693224.333864197</v>
      </c>
      <c r="V388">
        <v>3390789.3588759098</v>
      </c>
    </row>
    <row r="389" spans="1:22" x14ac:dyDescent="0.3">
      <c r="A389" t="str">
        <f t="shared" si="12"/>
        <v>SQIAPrevisão</v>
      </c>
      <c r="B389" t="str">
        <f t="shared" si="13"/>
        <v>SQIAPrevisãoSet-2023</v>
      </c>
      <c r="C389" t="s">
        <v>158</v>
      </c>
      <c r="D389" t="s">
        <v>159</v>
      </c>
      <c r="E389" t="s">
        <v>151</v>
      </c>
      <c r="F389" t="s">
        <v>736</v>
      </c>
      <c r="G389" t="s">
        <v>737</v>
      </c>
      <c r="H389" t="s">
        <v>738</v>
      </c>
      <c r="I389" t="s">
        <v>739</v>
      </c>
      <c r="J389" t="s">
        <v>739</v>
      </c>
      <c r="K389" s="2">
        <v>45199</v>
      </c>
      <c r="L389">
        <v>2119317.4801333998</v>
      </c>
      <c r="M389">
        <v>81741849.542202398</v>
      </c>
      <c r="N389">
        <v>45256985.720266603</v>
      </c>
      <c r="O389">
        <v>2468095.3434578902</v>
      </c>
      <c r="P389">
        <v>-81741849.542202398</v>
      </c>
      <c r="Q389">
        <v>-7677054.1676158998</v>
      </c>
      <c r="R389">
        <v>3869448.6173987398</v>
      </c>
      <c r="S389">
        <v>355750.84633931599</v>
      </c>
      <c r="T389">
        <v>85387.405521070905</v>
      </c>
      <c r="U389">
        <v>67844441.875673905</v>
      </c>
      <c r="V389">
        <v>4304555.50319771</v>
      </c>
    </row>
    <row r="390" spans="1:22" x14ac:dyDescent="0.3">
      <c r="A390" t="str">
        <f t="shared" si="12"/>
        <v>POSIPrevisão</v>
      </c>
      <c r="B390" t="str">
        <f t="shared" si="13"/>
        <v>POSIPrevisãoDez-2022</v>
      </c>
      <c r="C390" t="s">
        <v>156</v>
      </c>
      <c r="D390" t="s">
        <v>157</v>
      </c>
      <c r="E390" t="s">
        <v>151</v>
      </c>
      <c r="F390" t="s">
        <v>736</v>
      </c>
      <c r="G390" t="s">
        <v>737</v>
      </c>
      <c r="H390" t="s">
        <v>738</v>
      </c>
      <c r="I390" t="s">
        <v>739</v>
      </c>
      <c r="J390" t="s">
        <v>739</v>
      </c>
      <c r="K390" s="2">
        <v>44925</v>
      </c>
      <c r="L390">
        <v>90097.801799492707</v>
      </c>
      <c r="M390">
        <v>4504066.0685865702</v>
      </c>
      <c r="N390">
        <v>3403753.2419999898</v>
      </c>
      <c r="O390">
        <v>773596.43697479204</v>
      </c>
      <c r="P390">
        <v>-4504066.0685865702</v>
      </c>
      <c r="Q390">
        <v>-1880034.8805700501</v>
      </c>
      <c r="R390">
        <v>49710.189627360502</v>
      </c>
      <c r="S390">
        <v>13704.179356586301</v>
      </c>
      <c r="T390">
        <v>471928.125710911</v>
      </c>
      <c r="U390">
        <v>1574846.35234695</v>
      </c>
      <c r="V390">
        <v>1347372.23232319</v>
      </c>
    </row>
    <row r="391" spans="1:22" x14ac:dyDescent="0.3">
      <c r="A391" t="str">
        <f t="shared" si="12"/>
        <v>POSIPrevisão</v>
      </c>
      <c r="B391" t="str">
        <f t="shared" si="13"/>
        <v>POSIPrevisãoMar-2023</v>
      </c>
      <c r="C391" t="s">
        <v>156</v>
      </c>
      <c r="D391" t="s">
        <v>157</v>
      </c>
      <c r="E391" t="s">
        <v>151</v>
      </c>
      <c r="F391" t="s">
        <v>736</v>
      </c>
      <c r="G391" t="s">
        <v>737</v>
      </c>
      <c r="H391" t="s">
        <v>738</v>
      </c>
      <c r="I391" t="s">
        <v>739</v>
      </c>
      <c r="J391" t="s">
        <v>739</v>
      </c>
      <c r="K391" s="2">
        <v>45015</v>
      </c>
      <c r="L391">
        <v>104731.323709485</v>
      </c>
      <c r="M391">
        <v>4930887.35156189</v>
      </c>
      <c r="N391">
        <v>3718441.4962757099</v>
      </c>
      <c r="O391">
        <v>858148.75304717</v>
      </c>
      <c r="P391">
        <v>-4930887.35156189</v>
      </c>
      <c r="Q391">
        <v>-2005826.3154525801</v>
      </c>
      <c r="R391">
        <v>55475.831490001699</v>
      </c>
      <c r="S391">
        <v>12086.1537197954</v>
      </c>
      <c r="T391">
        <v>551541.16428655596</v>
      </c>
      <c r="U391">
        <v>1726755.51401358</v>
      </c>
      <c r="V391">
        <v>1511101.3448429001</v>
      </c>
    </row>
    <row r="392" spans="1:22" x14ac:dyDescent="0.3">
      <c r="A392" t="str">
        <f t="shared" si="12"/>
        <v>POSIPrevisão</v>
      </c>
      <c r="B392" t="str">
        <f t="shared" si="13"/>
        <v>POSIPrevisãoJun-2023</v>
      </c>
      <c r="C392" t="s">
        <v>156</v>
      </c>
      <c r="D392" t="s">
        <v>157</v>
      </c>
      <c r="E392" t="s">
        <v>151</v>
      </c>
      <c r="F392" t="s">
        <v>736</v>
      </c>
      <c r="G392" t="s">
        <v>737</v>
      </c>
      <c r="H392" t="s">
        <v>738</v>
      </c>
      <c r="I392" t="s">
        <v>739</v>
      </c>
      <c r="J392" t="s">
        <v>739</v>
      </c>
      <c r="K392" s="2">
        <v>45107</v>
      </c>
      <c r="L392">
        <v>120828.725997182</v>
      </c>
      <c r="M392">
        <v>5397189.0425546803</v>
      </c>
      <c r="N392">
        <v>4062118.0981645701</v>
      </c>
      <c r="O392">
        <v>950678.01758371503</v>
      </c>
      <c r="P392">
        <v>-5397189.0425546803</v>
      </c>
      <c r="Q392">
        <v>-2142825.7897416898</v>
      </c>
      <c r="R392">
        <v>61910.139222042599</v>
      </c>
      <c r="S392">
        <v>10299.992170525</v>
      </c>
      <c r="T392">
        <v>640172.32047883398</v>
      </c>
      <c r="U392">
        <v>1892298.47269118</v>
      </c>
      <c r="V392">
        <v>1691167.82252505</v>
      </c>
    </row>
    <row r="393" spans="1:22" x14ac:dyDescent="0.3">
      <c r="A393" t="str">
        <f t="shared" si="12"/>
        <v>POSIPrevisão</v>
      </c>
      <c r="B393" t="str">
        <f t="shared" si="13"/>
        <v>POSIPrevisãoSet-2023</v>
      </c>
      <c r="C393" t="s">
        <v>156</v>
      </c>
      <c r="D393" t="s">
        <v>157</v>
      </c>
      <c r="E393" t="s">
        <v>151</v>
      </c>
      <c r="F393" t="s">
        <v>736</v>
      </c>
      <c r="G393" t="s">
        <v>737</v>
      </c>
      <c r="H393" t="s">
        <v>738</v>
      </c>
      <c r="I393" t="s">
        <v>739</v>
      </c>
      <c r="J393" t="s">
        <v>739</v>
      </c>
      <c r="K393" s="2">
        <v>45199</v>
      </c>
      <c r="L393">
        <v>138457.76336634299</v>
      </c>
      <c r="M393">
        <v>5904661.6134259701</v>
      </c>
      <c r="N393">
        <v>4436025.8965295702</v>
      </c>
      <c r="O393">
        <v>1051493.0441243199</v>
      </c>
      <c r="P393">
        <v>-5904661.6134259701</v>
      </c>
      <c r="Q393">
        <v>-2291546.4328401</v>
      </c>
      <c r="R393">
        <v>69042.991543745593</v>
      </c>
      <c r="S393">
        <v>8340.3145185433295</v>
      </c>
      <c r="T393">
        <v>738243.16164921399</v>
      </c>
      <c r="U393">
        <v>2072020.7365024099</v>
      </c>
      <c r="V393">
        <v>1888278.6376002</v>
      </c>
    </row>
    <row r="394" spans="1:22" x14ac:dyDescent="0.3">
      <c r="A394" t="str">
        <f t="shared" si="12"/>
        <v>CASHPrevisão</v>
      </c>
      <c r="B394" t="str">
        <f t="shared" si="13"/>
        <v>CASHPrevisãoDez-2022</v>
      </c>
      <c r="C394" t="s">
        <v>162</v>
      </c>
      <c r="D394" t="s">
        <v>163</v>
      </c>
      <c r="E394" t="s">
        <v>151</v>
      </c>
      <c r="F394" t="s">
        <v>736</v>
      </c>
      <c r="G394" t="s">
        <v>737</v>
      </c>
      <c r="H394" t="s">
        <v>738</v>
      </c>
      <c r="I394" t="s">
        <v>739</v>
      </c>
      <c r="J394" t="s">
        <v>739</v>
      </c>
      <c r="K394" s="2">
        <v>44925</v>
      </c>
      <c r="L394">
        <v>-22689.420634920902</v>
      </c>
      <c r="M394">
        <v>773941.65873016405</v>
      </c>
      <c r="N394">
        <v>161900.19047619199</v>
      </c>
      <c r="O394">
        <v>-25037.968253966301</v>
      </c>
      <c r="P394">
        <v>-773941.65873016405</v>
      </c>
      <c r="Q394">
        <v>-74901.825396825399</v>
      </c>
      <c r="R394">
        <v>29566.746031745999</v>
      </c>
      <c r="S394">
        <v>3717.0158730159601</v>
      </c>
      <c r="T394">
        <v>7319.7142857143699</v>
      </c>
      <c r="U394">
        <v>594257.18253968004</v>
      </c>
      <c r="V394">
        <v>49342.714285714297</v>
      </c>
    </row>
    <row r="395" spans="1:22" x14ac:dyDescent="0.3">
      <c r="A395" t="str">
        <f t="shared" si="12"/>
        <v>CASHPrevisão</v>
      </c>
      <c r="B395" t="str">
        <f t="shared" si="13"/>
        <v>CASHPrevisãoMar-2023</v>
      </c>
      <c r="C395" t="s">
        <v>162</v>
      </c>
      <c r="D395" t="s">
        <v>163</v>
      </c>
      <c r="E395" t="s">
        <v>151</v>
      </c>
      <c r="F395" t="s">
        <v>736</v>
      </c>
      <c r="G395" t="s">
        <v>737</v>
      </c>
      <c r="H395" t="s">
        <v>738</v>
      </c>
      <c r="I395" t="s">
        <v>739</v>
      </c>
      <c r="J395" t="s">
        <v>739</v>
      </c>
      <c r="K395" s="2">
        <v>45015</v>
      </c>
      <c r="L395">
        <v>-21513.039682540199</v>
      </c>
      <c r="M395">
        <v>422017.42063493101</v>
      </c>
      <c r="N395">
        <v>-293102.59523809102</v>
      </c>
      <c r="O395">
        <v>-99662.015873012802</v>
      </c>
      <c r="P395">
        <v>-422017.42063493101</v>
      </c>
      <c r="Q395">
        <v>-90243.753968253994</v>
      </c>
      <c r="R395">
        <v>36992.793650793603</v>
      </c>
      <c r="S395">
        <v>4042.49206349221</v>
      </c>
      <c r="T395">
        <v>19251.6428571428</v>
      </c>
      <c r="U395">
        <v>264075.49206348899</v>
      </c>
      <c r="V395">
        <v>24683.142857143001</v>
      </c>
    </row>
    <row r="396" spans="1:22" x14ac:dyDescent="0.3">
      <c r="A396" t="str">
        <f t="shared" si="12"/>
        <v>CASHPrevisão</v>
      </c>
      <c r="B396" t="str">
        <f t="shared" si="13"/>
        <v>CASHPrevisãoJun-2023</v>
      </c>
      <c r="C396" t="s">
        <v>162</v>
      </c>
      <c r="D396" t="s">
        <v>163</v>
      </c>
      <c r="E396" t="s">
        <v>151</v>
      </c>
      <c r="F396" t="s">
        <v>736</v>
      </c>
      <c r="G396" t="s">
        <v>737</v>
      </c>
      <c r="H396" t="s">
        <v>738</v>
      </c>
      <c r="I396" t="s">
        <v>739</v>
      </c>
      <c r="J396" t="s">
        <v>739</v>
      </c>
      <c r="K396" s="2">
        <v>45107</v>
      </c>
      <c r="L396">
        <v>-17045.574314574998</v>
      </c>
      <c r="M396">
        <v>-151140.08802307001</v>
      </c>
      <c r="N396">
        <v>-969235.766233759</v>
      </c>
      <c r="O396">
        <v>-208899.466089461</v>
      </c>
      <c r="P396">
        <v>151140.08802307001</v>
      </c>
      <c r="Q396">
        <v>-107228.45743145701</v>
      </c>
      <c r="R396">
        <v>45406.819624819604</v>
      </c>
      <c r="S396">
        <v>4222.9487734490003</v>
      </c>
      <c r="T396">
        <v>36847.846320346303</v>
      </c>
      <c r="U396">
        <v>-259714.03607503601</v>
      </c>
      <c r="V396">
        <v>-13563.850649350199</v>
      </c>
    </row>
    <row r="397" spans="1:22" x14ac:dyDescent="0.3">
      <c r="A397" t="str">
        <f t="shared" si="12"/>
        <v>CASHPrevisão</v>
      </c>
      <c r="B397" t="str">
        <f t="shared" si="13"/>
        <v>CASHPrevisãoSet-2023</v>
      </c>
      <c r="C397" t="s">
        <v>162</v>
      </c>
      <c r="D397" t="s">
        <v>163</v>
      </c>
      <c r="E397" t="s">
        <v>151</v>
      </c>
      <c r="F397" t="s">
        <v>736</v>
      </c>
      <c r="G397" t="s">
        <v>737</v>
      </c>
      <c r="H397" t="s">
        <v>738</v>
      </c>
      <c r="I397" t="s">
        <v>739</v>
      </c>
      <c r="J397" t="s">
        <v>739</v>
      </c>
      <c r="K397" s="2">
        <v>45199</v>
      </c>
      <c r="L397">
        <v>-8625.3376623387703</v>
      </c>
      <c r="M397">
        <v>-982238.82683980197</v>
      </c>
      <c r="N397">
        <v>-1901224.8225108101</v>
      </c>
      <c r="O397">
        <v>-358375.692640686</v>
      </c>
      <c r="P397">
        <v>982238.82683980197</v>
      </c>
      <c r="Q397">
        <v>-125849.44588744501</v>
      </c>
      <c r="R397">
        <v>54835.207792207802</v>
      </c>
      <c r="S397">
        <v>4202.1385281388602</v>
      </c>
      <c r="T397">
        <v>61056.415584415401</v>
      </c>
      <c r="U397">
        <v>-1008434.55844155</v>
      </c>
      <c r="V397">
        <v>-67643.341991341396</v>
      </c>
    </row>
    <row r="398" spans="1:22" x14ac:dyDescent="0.3">
      <c r="A398" t="str">
        <f t="shared" si="12"/>
        <v>LWSAPrevisão</v>
      </c>
      <c r="B398" t="str">
        <f t="shared" si="13"/>
        <v>LWSAPrevisãoDez-2022</v>
      </c>
      <c r="C398" t="s">
        <v>154</v>
      </c>
      <c r="D398" t="s">
        <v>155</v>
      </c>
      <c r="E398" t="s">
        <v>151</v>
      </c>
      <c r="F398" t="s">
        <v>736</v>
      </c>
      <c r="G398" t="s">
        <v>737</v>
      </c>
      <c r="H398" t="s">
        <v>738</v>
      </c>
      <c r="I398" t="s">
        <v>739</v>
      </c>
      <c r="J398" t="s">
        <v>739</v>
      </c>
      <c r="K398" s="2">
        <v>44925</v>
      </c>
      <c r="L398">
        <v>95.131313131231707</v>
      </c>
      <c r="M398">
        <v>2937335.4747475199</v>
      </c>
      <c r="N398">
        <v>361895.24242422997</v>
      </c>
      <c r="O398">
        <v>30082.030303030198</v>
      </c>
      <c r="P398">
        <v>-2937335.4747475199</v>
      </c>
      <c r="Q398">
        <v>-381747.616161616</v>
      </c>
      <c r="R398">
        <v>-27005.505050502601</v>
      </c>
      <c r="S398">
        <v>2666.3333333333499</v>
      </c>
      <c r="T398">
        <v>-7900.0808080815896</v>
      </c>
      <c r="U398">
        <v>1939928.8484848901</v>
      </c>
      <c r="V398">
        <v>105017.232323231</v>
      </c>
    </row>
    <row r="399" spans="1:22" x14ac:dyDescent="0.3">
      <c r="A399" t="str">
        <f t="shared" si="12"/>
        <v>LWSAPrevisão</v>
      </c>
      <c r="B399" t="str">
        <f t="shared" si="13"/>
        <v>LWSAPrevisãoMar-2023</v>
      </c>
      <c r="C399" t="s">
        <v>154</v>
      </c>
      <c r="D399" t="s">
        <v>155</v>
      </c>
      <c r="E399" t="s">
        <v>151</v>
      </c>
      <c r="F399" t="s">
        <v>736</v>
      </c>
      <c r="G399" t="s">
        <v>737</v>
      </c>
      <c r="H399" t="s">
        <v>738</v>
      </c>
      <c r="I399" t="s">
        <v>739</v>
      </c>
      <c r="J399" t="s">
        <v>739</v>
      </c>
      <c r="K399" s="2">
        <v>45015</v>
      </c>
      <c r="L399">
        <v>-1147.50971250979</v>
      </c>
      <c r="M399">
        <v>1799899.38150744</v>
      </c>
      <c r="N399">
        <v>-758045.55477857206</v>
      </c>
      <c r="O399">
        <v>36905.037296037197</v>
      </c>
      <c r="P399">
        <v>-1799899.38150744</v>
      </c>
      <c r="Q399">
        <v>-500780.69541569502</v>
      </c>
      <c r="R399">
        <v>-56104.383838380498</v>
      </c>
      <c r="S399">
        <v>2728.7599067599399</v>
      </c>
      <c r="T399">
        <v>-18174.365190366199</v>
      </c>
      <c r="U399">
        <v>639686.31701638096</v>
      </c>
      <c r="V399">
        <v>118616.523698522</v>
      </c>
    </row>
    <row r="400" spans="1:22" x14ac:dyDescent="0.3">
      <c r="A400" t="str">
        <f t="shared" si="12"/>
        <v>LWSAPrevisão</v>
      </c>
      <c r="B400" t="str">
        <f t="shared" si="13"/>
        <v>LWSAPrevisãoJun-2023</v>
      </c>
      <c r="C400" t="s">
        <v>154</v>
      </c>
      <c r="D400" t="s">
        <v>155</v>
      </c>
      <c r="E400" t="s">
        <v>151</v>
      </c>
      <c r="F400" t="s">
        <v>736</v>
      </c>
      <c r="G400" t="s">
        <v>737</v>
      </c>
      <c r="H400" t="s">
        <v>738</v>
      </c>
      <c r="I400" t="s">
        <v>739</v>
      </c>
      <c r="J400" t="s">
        <v>739</v>
      </c>
      <c r="K400" s="2">
        <v>45107</v>
      </c>
      <c r="L400">
        <v>-2807.2662892663602</v>
      </c>
      <c r="M400">
        <v>126796.736485819</v>
      </c>
      <c r="N400">
        <v>-2267573.5887446101</v>
      </c>
      <c r="O400">
        <v>45793.063270063198</v>
      </c>
      <c r="P400">
        <v>-126796.736485819</v>
      </c>
      <c r="Q400">
        <v>-651795.533244533</v>
      </c>
      <c r="R400">
        <v>-94863.462093457696</v>
      </c>
      <c r="S400">
        <v>2655.93972693977</v>
      </c>
      <c r="T400">
        <v>-30395.401487402902</v>
      </c>
      <c r="U400">
        <v>-1213453.3762902999</v>
      </c>
      <c r="V400">
        <v>135253.88267288101</v>
      </c>
    </row>
    <row r="401" spans="1:22" x14ac:dyDescent="0.3">
      <c r="A401" t="str">
        <f t="shared" si="12"/>
        <v>LWSAPrevisão</v>
      </c>
      <c r="B401" t="str">
        <f t="shared" si="13"/>
        <v>LWSAPrevisãoSet-2023</v>
      </c>
      <c r="C401" t="s">
        <v>154</v>
      </c>
      <c r="D401" t="s">
        <v>155</v>
      </c>
      <c r="E401" t="s">
        <v>151</v>
      </c>
      <c r="F401" t="s">
        <v>736</v>
      </c>
      <c r="G401" t="s">
        <v>737</v>
      </c>
      <c r="H401" t="s">
        <v>738</v>
      </c>
      <c r="I401" t="s">
        <v>739</v>
      </c>
      <c r="J401" t="s">
        <v>739</v>
      </c>
      <c r="K401" s="2">
        <v>45199</v>
      </c>
      <c r="L401">
        <v>-4941.6830946831496</v>
      </c>
      <c r="M401">
        <v>-2152365.6382505302</v>
      </c>
      <c r="N401">
        <v>-4212337.9247419601</v>
      </c>
      <c r="O401">
        <v>56993.0406260405</v>
      </c>
      <c r="P401">
        <v>2152365.6382505302</v>
      </c>
      <c r="Q401">
        <v>-838422.37751137698</v>
      </c>
      <c r="R401">
        <v>-144541.76701076099</v>
      </c>
      <c r="S401">
        <v>2416.49983349989</v>
      </c>
      <c r="T401">
        <v>-44666.401043402897</v>
      </c>
      <c r="U401">
        <v>-3690130.9913418898</v>
      </c>
      <c r="V401">
        <v>155244.03574203301</v>
      </c>
    </row>
    <row r="402" spans="1:22" x14ac:dyDescent="0.3">
      <c r="A402" t="str">
        <f t="shared" si="12"/>
        <v>FLEXPrevisão</v>
      </c>
      <c r="B402" t="str">
        <f t="shared" si="13"/>
        <v>FLEXPrevisãoDez-2022</v>
      </c>
      <c r="C402" t="s">
        <v>164</v>
      </c>
      <c r="D402" t="s">
        <v>165</v>
      </c>
      <c r="E402" t="s">
        <v>151</v>
      </c>
      <c r="F402" t="s">
        <v>736</v>
      </c>
      <c r="G402" t="s">
        <v>737</v>
      </c>
      <c r="H402" t="s">
        <v>738</v>
      </c>
      <c r="I402" t="s">
        <v>739</v>
      </c>
      <c r="J402" t="s">
        <v>739</v>
      </c>
      <c r="K402" s="2">
        <v>44925</v>
      </c>
      <c r="L402">
        <v>-111010.696078434</v>
      </c>
      <c r="M402">
        <v>226102.34313724699</v>
      </c>
      <c r="N402">
        <v>143824.02941176901</v>
      </c>
      <c r="O402">
        <v>92151.720588236494</v>
      </c>
      <c r="P402">
        <v>-226102.34313724699</v>
      </c>
      <c r="Q402">
        <v>-476703.84477124398</v>
      </c>
      <c r="R402">
        <v>110147.186274509</v>
      </c>
      <c r="S402">
        <v>218818.85620915701</v>
      </c>
      <c r="T402">
        <v>5829.1666666655101</v>
      </c>
      <c r="U402">
        <v>-215548.77287581901</v>
      </c>
      <c r="V402">
        <v>103033.20588235201</v>
      </c>
    </row>
    <row r="403" spans="1:22" x14ac:dyDescent="0.3">
      <c r="A403" t="str">
        <f t="shared" si="12"/>
        <v>FLEXPrevisão</v>
      </c>
      <c r="B403" t="str">
        <f t="shared" si="13"/>
        <v>FLEXPrevisãoMar-2023</v>
      </c>
      <c r="C403" t="s">
        <v>164</v>
      </c>
      <c r="D403" t="s">
        <v>165</v>
      </c>
      <c r="E403" t="s">
        <v>151</v>
      </c>
      <c r="F403" t="s">
        <v>736</v>
      </c>
      <c r="G403" t="s">
        <v>737</v>
      </c>
      <c r="H403" t="s">
        <v>738</v>
      </c>
      <c r="I403" t="s">
        <v>739</v>
      </c>
      <c r="J403" t="s">
        <v>739</v>
      </c>
      <c r="K403" s="2">
        <v>45015</v>
      </c>
      <c r="L403">
        <v>-149124.27631579101</v>
      </c>
      <c r="M403">
        <v>142729.697626409</v>
      </c>
      <c r="N403">
        <v>114261.18653251301</v>
      </c>
      <c r="O403">
        <v>64225.768059856899</v>
      </c>
      <c r="P403">
        <v>-142729.697626409</v>
      </c>
      <c r="Q403">
        <v>-563982.72583419399</v>
      </c>
      <c r="R403">
        <v>131886.21929824399</v>
      </c>
      <c r="S403">
        <v>275519.69754042698</v>
      </c>
      <c r="T403">
        <v>10105.78353973</v>
      </c>
      <c r="U403">
        <v>-289976.68412452802</v>
      </c>
      <c r="V403">
        <v>98836.007997936395</v>
      </c>
    </row>
    <row r="404" spans="1:22" x14ac:dyDescent="0.3">
      <c r="A404" t="str">
        <f t="shared" si="12"/>
        <v>FLEXPrevisão</v>
      </c>
      <c r="B404" t="str">
        <f t="shared" si="13"/>
        <v>FLEXPrevisãoJun-2023</v>
      </c>
      <c r="C404" t="s">
        <v>164</v>
      </c>
      <c r="D404" t="s">
        <v>165</v>
      </c>
      <c r="E404" t="s">
        <v>151</v>
      </c>
      <c r="F404" t="s">
        <v>736</v>
      </c>
      <c r="G404" t="s">
        <v>737</v>
      </c>
      <c r="H404" t="s">
        <v>738</v>
      </c>
      <c r="I404" t="s">
        <v>739</v>
      </c>
      <c r="J404" t="s">
        <v>739</v>
      </c>
      <c r="K404" s="2">
        <v>45107</v>
      </c>
      <c r="L404">
        <v>-194528.960784316</v>
      </c>
      <c r="M404">
        <v>42938.321981412199</v>
      </c>
      <c r="N404">
        <v>78502.202270388298</v>
      </c>
      <c r="O404">
        <v>30551.553663572398</v>
      </c>
      <c r="P404">
        <v>-42938.321981412199</v>
      </c>
      <c r="Q404">
        <v>-666800.61695906403</v>
      </c>
      <c r="R404">
        <v>157694.112487098</v>
      </c>
      <c r="S404">
        <v>341967.40316478303</v>
      </c>
      <c r="T404">
        <v>15715.601651184599</v>
      </c>
      <c r="U404">
        <v>-376284.295321638</v>
      </c>
      <c r="V404">
        <v>93716.023735811294</v>
      </c>
    </row>
    <row r="405" spans="1:22" x14ac:dyDescent="0.3">
      <c r="A405" t="str">
        <f t="shared" si="12"/>
        <v>FLEXPrevisão</v>
      </c>
      <c r="B405" t="str">
        <f t="shared" si="13"/>
        <v>FLEXPrevisãoSet-2023</v>
      </c>
      <c r="C405" t="s">
        <v>164</v>
      </c>
      <c r="D405" t="s">
        <v>165</v>
      </c>
      <c r="E405" t="s">
        <v>151</v>
      </c>
      <c r="F405" t="s">
        <v>736</v>
      </c>
      <c r="G405" t="s">
        <v>737</v>
      </c>
      <c r="H405" t="s">
        <v>738</v>
      </c>
      <c r="I405" t="s">
        <v>739</v>
      </c>
      <c r="J405" t="s">
        <v>739</v>
      </c>
      <c r="K405" s="2">
        <v>45199</v>
      </c>
      <c r="L405">
        <v>-247824.93446852599</v>
      </c>
      <c r="M405">
        <v>-74438.735810128303</v>
      </c>
      <c r="N405">
        <v>36100.9654282841</v>
      </c>
      <c r="O405">
        <v>-9290.1780185737407</v>
      </c>
      <c r="P405">
        <v>74438.735810128303</v>
      </c>
      <c r="Q405">
        <v>-786434.52115582803</v>
      </c>
      <c r="R405">
        <v>187896.510835911</v>
      </c>
      <c r="S405">
        <v>418918.61248710903</v>
      </c>
      <c r="T405">
        <v>22793.301857582399</v>
      </c>
      <c r="U405">
        <v>-475337.47213622299</v>
      </c>
      <c r="V405">
        <v>87581.028379775205</v>
      </c>
    </row>
    <row r="406" spans="1:22" x14ac:dyDescent="0.3">
      <c r="A406" t="str">
        <f t="shared" si="12"/>
        <v>BRQBPrevisão</v>
      </c>
      <c r="B406" t="str">
        <f t="shared" si="13"/>
        <v>BRQBPrevisãoDez-2022</v>
      </c>
      <c r="C406" t="s">
        <v>152</v>
      </c>
      <c r="D406" t="s">
        <v>153</v>
      </c>
      <c r="E406" t="s">
        <v>151</v>
      </c>
      <c r="F406" t="s">
        <v>736</v>
      </c>
      <c r="G406" t="s">
        <v>737</v>
      </c>
      <c r="H406" t="s">
        <v>738</v>
      </c>
      <c r="I406" t="s">
        <v>739</v>
      </c>
      <c r="J406" t="s">
        <v>739</v>
      </c>
      <c r="K406" s="2">
        <v>44925</v>
      </c>
      <c r="L406">
        <v>42586.0750988156</v>
      </c>
      <c r="M406">
        <v>387875.58563900797</v>
      </c>
      <c r="N406">
        <v>229344.27272724401</v>
      </c>
      <c r="O406">
        <v>102200.283926219</v>
      </c>
      <c r="P406">
        <v>-387875.58563900797</v>
      </c>
      <c r="Q406">
        <v>-129050.865612662</v>
      </c>
      <c r="R406">
        <v>52576.725296438999</v>
      </c>
      <c r="S406">
        <v>33391.488801054598</v>
      </c>
      <c r="T406">
        <v>50641.207509878601</v>
      </c>
      <c r="U406">
        <v>161763.27733860401</v>
      </c>
      <c r="V406">
        <v>184520.10474307201</v>
      </c>
    </row>
    <row r="407" spans="1:22" x14ac:dyDescent="0.3">
      <c r="A407" t="str">
        <f t="shared" si="12"/>
        <v>BRQBPrevisão</v>
      </c>
      <c r="B407" t="str">
        <f t="shared" si="13"/>
        <v>BRQBPrevisãoMar-2023</v>
      </c>
      <c r="C407" t="s">
        <v>152</v>
      </c>
      <c r="D407" t="s">
        <v>153</v>
      </c>
      <c r="E407" t="s">
        <v>151</v>
      </c>
      <c r="F407" t="s">
        <v>736</v>
      </c>
      <c r="G407" t="s">
        <v>737</v>
      </c>
      <c r="H407" t="s">
        <v>738</v>
      </c>
      <c r="I407" t="s">
        <v>739</v>
      </c>
      <c r="J407" t="s">
        <v>739</v>
      </c>
      <c r="K407" s="2">
        <v>45015</v>
      </c>
      <c r="L407">
        <v>51290.608695653798</v>
      </c>
      <c r="M407">
        <v>404607.934650868</v>
      </c>
      <c r="N407">
        <v>223366.298814195</v>
      </c>
      <c r="O407">
        <v>101986.160210804</v>
      </c>
      <c r="P407">
        <v>-404607.934650868</v>
      </c>
      <c r="Q407">
        <v>-131314.58063242701</v>
      </c>
      <c r="R407">
        <v>50689.026086952203</v>
      </c>
      <c r="S407">
        <v>38767.889196311597</v>
      </c>
      <c r="T407">
        <v>53687.733992091598</v>
      </c>
      <c r="U407">
        <v>170495.116864296</v>
      </c>
      <c r="V407">
        <v>194573.91581026401</v>
      </c>
    </row>
    <row r="408" spans="1:22" x14ac:dyDescent="0.3">
      <c r="A408" t="str">
        <f t="shared" si="12"/>
        <v>BRQBPrevisão</v>
      </c>
      <c r="B408" t="str">
        <f t="shared" si="13"/>
        <v>BRQBPrevisãoJun-2023</v>
      </c>
      <c r="C408" t="s">
        <v>152</v>
      </c>
      <c r="D408" t="s">
        <v>153</v>
      </c>
      <c r="E408" t="s">
        <v>151</v>
      </c>
      <c r="F408" t="s">
        <v>736</v>
      </c>
      <c r="G408" t="s">
        <v>737</v>
      </c>
      <c r="H408" t="s">
        <v>738</v>
      </c>
      <c r="I408" t="s">
        <v>739</v>
      </c>
      <c r="J408" t="s">
        <v>739</v>
      </c>
      <c r="K408" s="2">
        <v>45107</v>
      </c>
      <c r="L408">
        <v>61162.473821832296</v>
      </c>
      <c r="M408">
        <v>420475.529451721</v>
      </c>
      <c r="N408">
        <v>213841.804043743</v>
      </c>
      <c r="O408">
        <v>100921.926583561</v>
      </c>
      <c r="P408">
        <v>-420475.529451721</v>
      </c>
      <c r="Q408">
        <v>-132558.88336882301</v>
      </c>
      <c r="R408">
        <v>47750.652234716799</v>
      </c>
      <c r="S408">
        <v>44778.187524070898</v>
      </c>
      <c r="T408">
        <v>56711.8514442042</v>
      </c>
      <c r="U408">
        <v>179576.59305766801</v>
      </c>
      <c r="V408">
        <v>204654.69331102201</v>
      </c>
    </row>
    <row r="409" spans="1:22" x14ac:dyDescent="0.3">
      <c r="A409" t="str">
        <f t="shared" si="12"/>
        <v>BRQBPrevisão</v>
      </c>
      <c r="B409" t="str">
        <f t="shared" si="13"/>
        <v>BRQBPrevisãoSet-2023</v>
      </c>
      <c r="C409" t="s">
        <v>152</v>
      </c>
      <c r="D409" t="s">
        <v>153</v>
      </c>
      <c r="E409" t="s">
        <v>151</v>
      </c>
      <c r="F409" t="s">
        <v>736</v>
      </c>
      <c r="G409" t="s">
        <v>737</v>
      </c>
      <c r="H409" t="s">
        <v>738</v>
      </c>
      <c r="I409" t="s">
        <v>739</v>
      </c>
      <c r="J409" t="s">
        <v>739</v>
      </c>
      <c r="K409" s="2">
        <v>45199</v>
      </c>
      <c r="L409">
        <v>72273.727269351206</v>
      </c>
      <c r="M409">
        <v>435303.21855456801</v>
      </c>
      <c r="N409">
        <v>200447.31419879899</v>
      </c>
      <c r="O409">
        <v>98917.566814184698</v>
      </c>
      <c r="P409">
        <v>-435303.21855456801</v>
      </c>
      <c r="Q409">
        <v>-132659.698456154</v>
      </c>
      <c r="R409">
        <v>43655.115996075401</v>
      </c>
      <c r="S409">
        <v>51458.761005822802</v>
      </c>
      <c r="T409">
        <v>59693.254086006302</v>
      </c>
      <c r="U409">
        <v>188999.50632523801</v>
      </c>
      <c r="V409">
        <v>214702.151200956</v>
      </c>
    </row>
    <row r="410" spans="1:22" x14ac:dyDescent="0.3">
      <c r="A410" t="str">
        <f t="shared" si="12"/>
        <v>BMOBPrevisão</v>
      </c>
      <c r="B410" t="str">
        <f t="shared" si="13"/>
        <v>BMOBPrevisãoDez-2022</v>
      </c>
      <c r="C410" t="s">
        <v>149</v>
      </c>
      <c r="D410" t="s">
        <v>150</v>
      </c>
      <c r="E410" t="s">
        <v>151</v>
      </c>
      <c r="F410" t="s">
        <v>736</v>
      </c>
      <c r="G410" t="s">
        <v>737</v>
      </c>
      <c r="H410" t="s">
        <v>738</v>
      </c>
      <c r="I410" t="s">
        <v>739</v>
      </c>
      <c r="J410" t="s">
        <v>739</v>
      </c>
      <c r="K410" s="2">
        <v>44925</v>
      </c>
      <c r="L410">
        <v>42883.468253968102</v>
      </c>
      <c r="M410">
        <v>968511.57936509605</v>
      </c>
      <c r="N410">
        <v>348450.206349204</v>
      </c>
      <c r="O410">
        <v>50640.452380952796</v>
      </c>
      <c r="P410">
        <v>-968511.57936509605</v>
      </c>
      <c r="Q410">
        <v>-112472.071428574</v>
      </c>
      <c r="R410">
        <v>13711.722222222599</v>
      </c>
      <c r="S410">
        <v>4700.8492063491403</v>
      </c>
      <c r="T410">
        <v>173703.82539682399</v>
      </c>
      <c r="U410">
        <v>703781.357142856</v>
      </c>
      <c r="V410">
        <v>46685.817460317703</v>
      </c>
    </row>
    <row r="411" spans="1:22" x14ac:dyDescent="0.3">
      <c r="A411" t="str">
        <f t="shared" si="12"/>
        <v>BMOBPrevisão</v>
      </c>
      <c r="B411" t="str">
        <f t="shared" si="13"/>
        <v>BMOBPrevisãoMar-2023</v>
      </c>
      <c r="C411" t="s">
        <v>149</v>
      </c>
      <c r="D411" t="s">
        <v>150</v>
      </c>
      <c r="E411" t="s">
        <v>151</v>
      </c>
      <c r="F411" t="s">
        <v>736</v>
      </c>
      <c r="G411" t="s">
        <v>737</v>
      </c>
      <c r="H411" t="s">
        <v>738</v>
      </c>
      <c r="I411" t="s">
        <v>739</v>
      </c>
      <c r="J411" t="s">
        <v>739</v>
      </c>
      <c r="K411" s="2">
        <v>45015</v>
      </c>
      <c r="L411">
        <v>62034.682539682202</v>
      </c>
      <c r="M411">
        <v>847268.12698414701</v>
      </c>
      <c r="N411">
        <v>243897.23015872299</v>
      </c>
      <c r="O411">
        <v>53944.857142858003</v>
      </c>
      <c r="P411">
        <v>-847268.12698414701</v>
      </c>
      <c r="Q411">
        <v>-264889.54761904897</v>
      </c>
      <c r="R411">
        <v>13743.555555556</v>
      </c>
      <c r="S411">
        <v>4635.8253968253202</v>
      </c>
      <c r="T411">
        <v>225307.58730158501</v>
      </c>
      <c r="U411">
        <v>241886.90476190299</v>
      </c>
      <c r="V411">
        <v>48443.841269841701</v>
      </c>
    </row>
    <row r="412" spans="1:22" x14ac:dyDescent="0.3">
      <c r="A412" t="str">
        <f t="shared" si="12"/>
        <v>BMOBPrevisão</v>
      </c>
      <c r="B412" t="str">
        <f t="shared" si="13"/>
        <v>BMOBPrevisãoJun-2023</v>
      </c>
      <c r="C412" t="s">
        <v>149</v>
      </c>
      <c r="D412" t="s">
        <v>150</v>
      </c>
      <c r="E412" t="s">
        <v>151</v>
      </c>
      <c r="F412" t="s">
        <v>736</v>
      </c>
      <c r="G412" t="s">
        <v>737</v>
      </c>
      <c r="H412" t="s">
        <v>738</v>
      </c>
      <c r="I412" t="s">
        <v>739</v>
      </c>
      <c r="J412" t="s">
        <v>739</v>
      </c>
      <c r="K412" s="2">
        <v>45107</v>
      </c>
      <c r="L412">
        <v>88133.405483405004</v>
      </c>
      <c r="M412">
        <v>703889.68326120602</v>
      </c>
      <c r="N412">
        <v>160295.86435784801</v>
      </c>
      <c r="O412">
        <v>55897.729437230701</v>
      </c>
      <c r="P412">
        <v>-703889.68326120602</v>
      </c>
      <c r="Q412">
        <v>-512350.64069264103</v>
      </c>
      <c r="R412">
        <v>14316.4494949502</v>
      </c>
      <c r="S412">
        <v>4249.1154401153499</v>
      </c>
      <c r="T412">
        <v>282458.39682539401</v>
      </c>
      <c r="U412">
        <v>-430313.55411255499</v>
      </c>
      <c r="V412">
        <v>49585.975468976103</v>
      </c>
    </row>
    <row r="413" spans="1:22" x14ac:dyDescent="0.3">
      <c r="A413" t="str">
        <f t="shared" si="12"/>
        <v>BMOBPrevisão</v>
      </c>
      <c r="B413" t="str">
        <f t="shared" si="13"/>
        <v>BMOBPrevisãoSet-2023</v>
      </c>
      <c r="C413" t="s">
        <v>149</v>
      </c>
      <c r="D413" t="s">
        <v>150</v>
      </c>
      <c r="E413" t="s">
        <v>151</v>
      </c>
      <c r="F413" t="s">
        <v>736</v>
      </c>
      <c r="G413" t="s">
        <v>737</v>
      </c>
      <c r="H413" t="s">
        <v>738</v>
      </c>
      <c r="I413" t="s">
        <v>739</v>
      </c>
      <c r="J413" t="s">
        <v>739</v>
      </c>
      <c r="K413" s="2">
        <v>45199</v>
      </c>
      <c r="L413">
        <v>122246.51082251</v>
      </c>
      <c r="M413">
        <v>543311.17748920305</v>
      </c>
      <c r="N413">
        <v>111178.012986986</v>
      </c>
      <c r="O413">
        <v>55993.735930737901</v>
      </c>
      <c r="P413">
        <v>-543311.17748920305</v>
      </c>
      <c r="Q413">
        <v>-873338.07792207506</v>
      </c>
      <c r="R413">
        <v>15624.121212122</v>
      </c>
      <c r="S413">
        <v>3462.8961038960101</v>
      </c>
      <c r="T413">
        <v>344907.80952380702</v>
      </c>
      <c r="U413">
        <v>-1342443.9740259701</v>
      </c>
      <c r="V413">
        <v>49903.588744589702</v>
      </c>
    </row>
    <row r="414" spans="1:22" x14ac:dyDescent="0.3">
      <c r="A414" t="str">
        <f t="shared" si="12"/>
        <v>RDORPrevisão</v>
      </c>
      <c r="B414" t="str">
        <f t="shared" si="13"/>
        <v>RDORPrevisãoDez-2022</v>
      </c>
      <c r="C414" t="s">
        <v>619</v>
      </c>
      <c r="D414" t="s">
        <v>620</v>
      </c>
      <c r="E414" t="s">
        <v>610</v>
      </c>
      <c r="F414" t="s">
        <v>736</v>
      </c>
      <c r="G414" t="s">
        <v>737</v>
      </c>
      <c r="H414" t="s">
        <v>738</v>
      </c>
      <c r="I414" t="s">
        <v>739</v>
      </c>
      <c r="J414" t="s">
        <v>739</v>
      </c>
      <c r="K414" s="2">
        <v>44925</v>
      </c>
      <c r="L414">
        <v>206382.22222226</v>
      </c>
      <c r="M414">
        <v>44656147.252525099</v>
      </c>
      <c r="N414">
        <v>13979225.858585799</v>
      </c>
      <c r="O414">
        <v>4371074.0606060401</v>
      </c>
      <c r="P414">
        <v>-44656147.252525099</v>
      </c>
      <c r="Q414">
        <v>-8517338.8686868604</v>
      </c>
      <c r="R414">
        <v>599627.84848482499</v>
      </c>
      <c r="S414">
        <v>232582.07070707099</v>
      </c>
      <c r="T414">
        <v>102734.050505006</v>
      </c>
      <c r="U414">
        <v>8910591.7575760707</v>
      </c>
      <c r="V414">
        <v>3009780.30303032</v>
      </c>
    </row>
    <row r="415" spans="1:22" x14ac:dyDescent="0.3">
      <c r="A415" t="str">
        <f t="shared" si="12"/>
        <v>RDORPrevisão</v>
      </c>
      <c r="B415" t="str">
        <f t="shared" si="13"/>
        <v>RDORPrevisãoMar-2023</v>
      </c>
      <c r="C415" t="s">
        <v>619</v>
      </c>
      <c r="D415" t="s">
        <v>620</v>
      </c>
      <c r="E415" t="s">
        <v>610</v>
      </c>
      <c r="F415" t="s">
        <v>736</v>
      </c>
      <c r="G415" t="s">
        <v>737</v>
      </c>
      <c r="H415" t="s">
        <v>738</v>
      </c>
      <c r="I415" t="s">
        <v>739</v>
      </c>
      <c r="J415" t="s">
        <v>739</v>
      </c>
      <c r="K415" s="2">
        <v>45015</v>
      </c>
      <c r="L415">
        <v>27740.937839990002</v>
      </c>
      <c r="M415">
        <v>42236510.940170698</v>
      </c>
      <c r="N415">
        <v>10292593.2175602</v>
      </c>
      <c r="O415">
        <v>4499190.4452214297</v>
      </c>
      <c r="P415">
        <v>-42236510.940170698</v>
      </c>
      <c r="Q415">
        <v>-10826134.789432701</v>
      </c>
      <c r="R415">
        <v>694522.48484845296</v>
      </c>
      <c r="S415">
        <v>198059.67443667501</v>
      </c>
      <c r="T415">
        <v>-859647.92385398597</v>
      </c>
      <c r="U415">
        <v>3079070.3659677701</v>
      </c>
      <c r="V415">
        <v>2917560.6596736801</v>
      </c>
    </row>
    <row r="416" spans="1:22" x14ac:dyDescent="0.3">
      <c r="A416" t="str">
        <f t="shared" si="12"/>
        <v>RDORPrevisão</v>
      </c>
      <c r="B416" t="str">
        <f t="shared" si="13"/>
        <v>RDORPrevisãoJun-2023</v>
      </c>
      <c r="C416" t="s">
        <v>619</v>
      </c>
      <c r="D416" t="s">
        <v>620</v>
      </c>
      <c r="E416" t="s">
        <v>610</v>
      </c>
      <c r="F416" t="s">
        <v>736</v>
      </c>
      <c r="G416" t="s">
        <v>737</v>
      </c>
      <c r="H416" t="s">
        <v>738</v>
      </c>
      <c r="I416" t="s">
        <v>739</v>
      </c>
      <c r="J416" t="s">
        <v>739</v>
      </c>
      <c r="K416" s="2">
        <v>45107</v>
      </c>
      <c r="L416">
        <v>-231816.94860687901</v>
      </c>
      <c r="M416">
        <v>37899893.3304471</v>
      </c>
      <c r="N416">
        <v>4895343.4220224004</v>
      </c>
      <c r="O416">
        <v>4570364.4392274097</v>
      </c>
      <c r="P416">
        <v>-37899893.3304471</v>
      </c>
      <c r="Q416">
        <v>-13648662.738816701</v>
      </c>
      <c r="R416">
        <v>829949.14718610398</v>
      </c>
      <c r="S416">
        <v>146351.471306472</v>
      </c>
      <c r="T416">
        <v>-2021048.33011441</v>
      </c>
      <c r="U416">
        <v>-5147597.4781879503</v>
      </c>
      <c r="V416">
        <v>2722835.2031302298</v>
      </c>
    </row>
    <row r="417" spans="1:22" x14ac:dyDescent="0.3">
      <c r="A417" t="str">
        <f t="shared" si="12"/>
        <v>RDORPrevisão</v>
      </c>
      <c r="B417" t="str">
        <f t="shared" si="13"/>
        <v>RDORPrevisãoSet-2023</v>
      </c>
      <c r="C417" t="s">
        <v>619</v>
      </c>
      <c r="D417" t="s">
        <v>620</v>
      </c>
      <c r="E417" t="s">
        <v>610</v>
      </c>
      <c r="F417" t="s">
        <v>736</v>
      </c>
      <c r="G417" t="s">
        <v>737</v>
      </c>
      <c r="H417" t="s">
        <v>738</v>
      </c>
      <c r="I417" t="s">
        <v>739</v>
      </c>
      <c r="J417" t="s">
        <v>739</v>
      </c>
      <c r="K417" s="2">
        <v>45199</v>
      </c>
      <c r="L417">
        <v>-584142.18459309696</v>
      </c>
      <c r="M417">
        <v>31388823.181706801</v>
      </c>
      <c r="N417">
        <v>-2435387.6041736398</v>
      </c>
      <c r="O417">
        <v>4573794.6906426596</v>
      </c>
      <c r="P417">
        <v>-31388823.181706801</v>
      </c>
      <c r="Q417">
        <v>-17037588.806970701</v>
      </c>
      <c r="R417">
        <v>1012249.57908752</v>
      </c>
      <c r="S417">
        <v>75191.128760129795</v>
      </c>
      <c r="T417">
        <v>-3395597.7914308999</v>
      </c>
      <c r="U417">
        <v>-16080427.2760565</v>
      </c>
      <c r="V417">
        <v>2409175.72594077</v>
      </c>
    </row>
    <row r="418" spans="1:22" x14ac:dyDescent="0.3">
      <c r="A418" t="str">
        <f t="shared" si="12"/>
        <v>ODPVPrevisão</v>
      </c>
      <c r="B418" t="str">
        <f t="shared" si="13"/>
        <v>ODPVPrevisãoDez-2022</v>
      </c>
      <c r="C418" t="s">
        <v>617</v>
      </c>
      <c r="D418" t="s">
        <v>618</v>
      </c>
      <c r="E418" t="s">
        <v>610</v>
      </c>
      <c r="F418" t="s">
        <v>736</v>
      </c>
      <c r="G418" t="s">
        <v>737</v>
      </c>
      <c r="H418" t="s">
        <v>738</v>
      </c>
      <c r="I418" t="s">
        <v>739</v>
      </c>
      <c r="J418" t="s">
        <v>739</v>
      </c>
      <c r="K418" s="2">
        <v>44925</v>
      </c>
      <c r="L418">
        <v>111207.628554454</v>
      </c>
      <c r="M418">
        <v>2117423.8520498602</v>
      </c>
      <c r="N418">
        <v>466466.11798664898</v>
      </c>
      <c r="O418">
        <v>181898.48187762001</v>
      </c>
      <c r="P418">
        <v>-2117423.8520498602</v>
      </c>
      <c r="Q418">
        <v>-722938.77217553696</v>
      </c>
      <c r="R418">
        <v>46443.3572701792</v>
      </c>
      <c r="S418">
        <v>30217.534674476999</v>
      </c>
      <c r="T418">
        <v>132489.58127478501</v>
      </c>
      <c r="U418">
        <v>1196392.62244293</v>
      </c>
      <c r="V418">
        <v>471741.85561493097</v>
      </c>
    </row>
    <row r="419" spans="1:22" x14ac:dyDescent="0.3">
      <c r="A419" t="str">
        <f t="shared" si="12"/>
        <v>ODPVPrevisão</v>
      </c>
      <c r="B419" t="str">
        <f t="shared" si="13"/>
        <v>ODPVPrevisãoMar-2023</v>
      </c>
      <c r="C419" t="s">
        <v>617</v>
      </c>
      <c r="D419" t="s">
        <v>618</v>
      </c>
      <c r="E419" t="s">
        <v>610</v>
      </c>
      <c r="F419" t="s">
        <v>736</v>
      </c>
      <c r="G419" t="s">
        <v>737</v>
      </c>
      <c r="H419" t="s">
        <v>738</v>
      </c>
      <c r="I419" t="s">
        <v>739</v>
      </c>
      <c r="J419" t="s">
        <v>739</v>
      </c>
      <c r="K419" s="2">
        <v>45015</v>
      </c>
      <c r="L419">
        <v>113001.07943849399</v>
      </c>
      <c r="M419">
        <v>2152522.90664761</v>
      </c>
      <c r="N419">
        <v>389929.58777652797</v>
      </c>
      <c r="O419">
        <v>188085.326329412</v>
      </c>
      <c r="P419">
        <v>-2152522.90664761</v>
      </c>
      <c r="Q419">
        <v>-750701.72546496196</v>
      </c>
      <c r="R419">
        <v>48139.724561075796</v>
      </c>
      <c r="S419">
        <v>28240.550462608699</v>
      </c>
      <c r="T419">
        <v>60937.055132102301</v>
      </c>
      <c r="U419">
        <v>1180368.34290211</v>
      </c>
      <c r="V419">
        <v>474012.10063381901</v>
      </c>
    </row>
    <row r="420" spans="1:22" x14ac:dyDescent="0.3">
      <c r="A420" t="str">
        <f t="shared" si="12"/>
        <v>ODPVPrevisão</v>
      </c>
      <c r="B420" t="str">
        <f t="shared" si="13"/>
        <v>ODPVPrevisãoJun-2023</v>
      </c>
      <c r="C420" t="s">
        <v>617</v>
      </c>
      <c r="D420" t="s">
        <v>618</v>
      </c>
      <c r="E420" t="s">
        <v>610</v>
      </c>
      <c r="F420" t="s">
        <v>736</v>
      </c>
      <c r="G420" t="s">
        <v>737</v>
      </c>
      <c r="H420" t="s">
        <v>738</v>
      </c>
      <c r="I420" t="s">
        <v>739</v>
      </c>
      <c r="J420" t="s">
        <v>739</v>
      </c>
      <c r="K420" s="2">
        <v>45107</v>
      </c>
      <c r="L420">
        <v>114742.830515856</v>
      </c>
      <c r="M420">
        <v>2185527.6805852498</v>
      </c>
      <c r="N420">
        <v>302879.09980091202</v>
      </c>
      <c r="O420">
        <v>194848.48978184201</v>
      </c>
      <c r="P420">
        <v>-2185527.6805852498</v>
      </c>
      <c r="Q420">
        <v>-779088.01370942302</v>
      </c>
      <c r="R420">
        <v>49876.0836213945</v>
      </c>
      <c r="S420">
        <v>25782.538340597701</v>
      </c>
      <c r="T420">
        <v>-21229.429350574799</v>
      </c>
      <c r="U420">
        <v>1157778.5932606</v>
      </c>
      <c r="V420">
        <v>475645.71746712498</v>
      </c>
    </row>
    <row r="421" spans="1:22" x14ac:dyDescent="0.3">
      <c r="A421" t="str">
        <f t="shared" si="12"/>
        <v>ODPVPrevisão</v>
      </c>
      <c r="B421" t="str">
        <f t="shared" si="13"/>
        <v>ODPVPrevisãoSet-2023</v>
      </c>
      <c r="C421" t="s">
        <v>617</v>
      </c>
      <c r="D421" t="s">
        <v>618</v>
      </c>
      <c r="E421" t="s">
        <v>610</v>
      </c>
      <c r="F421" t="s">
        <v>736</v>
      </c>
      <c r="G421" t="s">
        <v>737</v>
      </c>
      <c r="H421" t="s">
        <v>738</v>
      </c>
      <c r="I421" t="s">
        <v>739</v>
      </c>
      <c r="J421" t="s">
        <v>739</v>
      </c>
      <c r="K421" s="2">
        <v>45199</v>
      </c>
      <c r="L421">
        <v>116430.443734359</v>
      </c>
      <c r="M421">
        <v>2216256.2650794801</v>
      </c>
      <c r="N421">
        <v>204833.040895921</v>
      </c>
      <c r="O421">
        <v>202227.88789590099</v>
      </c>
      <c r="P421">
        <v>-2216256.2650794801</v>
      </c>
      <c r="Q421">
        <v>-808097.83923579904</v>
      </c>
      <c r="R421">
        <v>51652.602762922899</v>
      </c>
      <c r="S421">
        <v>22812.0170289872</v>
      </c>
      <c r="T421">
        <v>-114559.795143415</v>
      </c>
      <c r="U421">
        <v>1128213.9281476999</v>
      </c>
      <c r="V421">
        <v>476615.48430898599</v>
      </c>
    </row>
    <row r="422" spans="1:22" x14ac:dyDescent="0.3">
      <c r="A422" t="str">
        <f t="shared" si="12"/>
        <v>ESPAPrevisão</v>
      </c>
      <c r="B422" t="str">
        <f t="shared" si="13"/>
        <v>ESPAPrevisãoDez-2022</v>
      </c>
      <c r="C422" t="s">
        <v>625</v>
      </c>
      <c r="D422" t="s">
        <v>626</v>
      </c>
      <c r="E422" t="s">
        <v>610</v>
      </c>
      <c r="F422" t="s">
        <v>736</v>
      </c>
      <c r="G422" t="s">
        <v>737</v>
      </c>
      <c r="H422" t="s">
        <v>738</v>
      </c>
      <c r="I422" t="s">
        <v>739</v>
      </c>
      <c r="J422" t="s">
        <v>739</v>
      </c>
      <c r="K422" s="2">
        <v>44925</v>
      </c>
      <c r="L422">
        <v>-102529.563492063</v>
      </c>
      <c r="M422">
        <v>1485106.74603174</v>
      </c>
      <c r="N422">
        <v>-76798.896825396805</v>
      </c>
      <c r="O422">
        <v>-80.468253968252796</v>
      </c>
      <c r="P422">
        <v>-1485106.74603174</v>
      </c>
      <c r="Q422">
        <v>-41858.015873015298</v>
      </c>
      <c r="R422">
        <v>382.285714285724</v>
      </c>
      <c r="S422">
        <v>3508.25396825398</v>
      </c>
      <c r="T422">
        <v>230678.41269841199</v>
      </c>
      <c r="U422">
        <v>400126.62698413001</v>
      </c>
      <c r="V422">
        <v>-73081.619047618704</v>
      </c>
    </row>
    <row r="423" spans="1:22" x14ac:dyDescent="0.3">
      <c r="A423" t="str">
        <f t="shared" si="12"/>
        <v>ESPAPrevisão</v>
      </c>
      <c r="B423" t="str">
        <f t="shared" si="13"/>
        <v>ESPAPrevisãoMar-2023</v>
      </c>
      <c r="C423" t="s">
        <v>625</v>
      </c>
      <c r="D423" t="s">
        <v>626</v>
      </c>
      <c r="E423" t="s">
        <v>610</v>
      </c>
      <c r="F423" t="s">
        <v>736</v>
      </c>
      <c r="G423" t="s">
        <v>737</v>
      </c>
      <c r="H423" t="s">
        <v>738</v>
      </c>
      <c r="I423" t="s">
        <v>739</v>
      </c>
      <c r="J423" t="s">
        <v>739</v>
      </c>
      <c r="K423" s="2">
        <v>45015</v>
      </c>
      <c r="L423">
        <v>-189981.46825396901</v>
      </c>
      <c r="M423">
        <v>1601406.7936507899</v>
      </c>
      <c r="N423">
        <v>-170778.46825396799</v>
      </c>
      <c r="O423">
        <v>-226.182539682537</v>
      </c>
      <c r="P423">
        <v>-1601406.7936507899</v>
      </c>
      <c r="Q423">
        <v>-71332.658730158102</v>
      </c>
      <c r="R423">
        <v>882.02380952381998</v>
      </c>
      <c r="S423">
        <v>4080.2063492063799</v>
      </c>
      <c r="T423">
        <v>163787.29365079399</v>
      </c>
      <c r="U423">
        <v>21163.269841274501</v>
      </c>
      <c r="V423">
        <v>-140951.35714285701</v>
      </c>
    </row>
    <row r="424" spans="1:22" x14ac:dyDescent="0.3">
      <c r="A424" t="str">
        <f t="shared" si="12"/>
        <v>ESPAPrevisão</v>
      </c>
      <c r="B424" t="str">
        <f t="shared" si="13"/>
        <v>ESPAPrevisãoJun-2023</v>
      </c>
      <c r="C424" t="s">
        <v>625</v>
      </c>
      <c r="D424" t="s">
        <v>626</v>
      </c>
      <c r="E424" t="s">
        <v>610</v>
      </c>
      <c r="F424" t="s">
        <v>736</v>
      </c>
      <c r="G424" t="s">
        <v>737</v>
      </c>
      <c r="H424" t="s">
        <v>738</v>
      </c>
      <c r="I424" t="s">
        <v>739</v>
      </c>
      <c r="J424" t="s">
        <v>739</v>
      </c>
      <c r="K424" s="2">
        <v>45107</v>
      </c>
      <c r="L424">
        <v>-306054.173881675</v>
      </c>
      <c r="M424">
        <v>1687268.13780663</v>
      </c>
      <c r="N424">
        <v>-297147.49206349201</v>
      </c>
      <c r="O424">
        <v>-437.25396825396399</v>
      </c>
      <c r="P424">
        <v>-1687268.13780663</v>
      </c>
      <c r="Q424">
        <v>-111712.251803751</v>
      </c>
      <c r="R424">
        <v>1638.03246753247</v>
      </c>
      <c r="S424">
        <v>4546.7409812410297</v>
      </c>
      <c r="T424">
        <v>43147.759018761397</v>
      </c>
      <c r="U424">
        <v>-523118.78860028298</v>
      </c>
      <c r="V424">
        <v>-230002.971861472</v>
      </c>
    </row>
    <row r="425" spans="1:22" x14ac:dyDescent="0.3">
      <c r="A425" t="str">
        <f t="shared" si="12"/>
        <v>ESPAPrevisão</v>
      </c>
      <c r="B425" t="str">
        <f t="shared" si="13"/>
        <v>ESPAPrevisãoSet-2023</v>
      </c>
      <c r="C425" t="s">
        <v>625</v>
      </c>
      <c r="D425" t="s">
        <v>626</v>
      </c>
      <c r="E425" t="s">
        <v>610</v>
      </c>
      <c r="F425" t="s">
        <v>736</v>
      </c>
      <c r="G425" t="s">
        <v>737</v>
      </c>
      <c r="H425" t="s">
        <v>738</v>
      </c>
      <c r="I425" t="s">
        <v>739</v>
      </c>
      <c r="J425" t="s">
        <v>739</v>
      </c>
      <c r="K425" s="2">
        <v>45199</v>
      </c>
      <c r="L425">
        <v>-454335.79653679999</v>
      </c>
      <c r="M425">
        <v>1735596.93506493</v>
      </c>
      <c r="N425">
        <v>-460091.463203463</v>
      </c>
      <c r="O425">
        <v>-724.11688311687601</v>
      </c>
      <c r="P425">
        <v>-1735596.93506493</v>
      </c>
      <c r="Q425">
        <v>-164188.65367965301</v>
      </c>
      <c r="R425">
        <v>2695.2813852813902</v>
      </c>
      <c r="S425">
        <v>4868.45887445895</v>
      </c>
      <c r="T425">
        <v>-141149.064935061</v>
      </c>
      <c r="U425">
        <v>-1255663.2857142801</v>
      </c>
      <c r="V425">
        <v>-342650.22077922302</v>
      </c>
    </row>
    <row r="426" spans="1:22" x14ac:dyDescent="0.3">
      <c r="A426" t="str">
        <f t="shared" si="12"/>
        <v>PARDPrevisão</v>
      </c>
      <c r="B426" t="str">
        <f t="shared" si="13"/>
        <v>PARDPrevisãoDez-2022</v>
      </c>
      <c r="C426" t="s">
        <v>615</v>
      </c>
      <c r="D426" t="s">
        <v>616</v>
      </c>
      <c r="E426" t="s">
        <v>610</v>
      </c>
      <c r="F426" t="s">
        <v>736</v>
      </c>
      <c r="G426" t="s">
        <v>737</v>
      </c>
      <c r="H426" t="s">
        <v>738</v>
      </c>
      <c r="I426" t="s">
        <v>739</v>
      </c>
      <c r="J426" t="s">
        <v>739</v>
      </c>
      <c r="K426" s="2">
        <v>44925</v>
      </c>
      <c r="L426">
        <v>41412.370927317301</v>
      </c>
      <c r="M426">
        <v>2327289.9273182899</v>
      </c>
      <c r="N426">
        <v>504054.15789473202</v>
      </c>
      <c r="O426">
        <v>377005.98830409202</v>
      </c>
      <c r="P426">
        <v>-2327289.9273182899</v>
      </c>
      <c r="Q426">
        <v>-676501.82456139894</v>
      </c>
      <c r="R426">
        <v>79216.081035924202</v>
      </c>
      <c r="S426">
        <v>17775.372598161601</v>
      </c>
      <c r="T426">
        <v>361687.11695911299</v>
      </c>
      <c r="U426">
        <v>1046397.12030074</v>
      </c>
      <c r="V426">
        <v>476876.06432747899</v>
      </c>
    </row>
    <row r="427" spans="1:22" x14ac:dyDescent="0.3">
      <c r="A427" t="str">
        <f t="shared" si="12"/>
        <v>PARDPrevisão</v>
      </c>
      <c r="B427" t="str">
        <f t="shared" si="13"/>
        <v>PARDPrevisãoMar-2023</v>
      </c>
      <c r="C427" t="s">
        <v>615</v>
      </c>
      <c r="D427" t="s">
        <v>616</v>
      </c>
      <c r="E427" t="s">
        <v>610</v>
      </c>
      <c r="F427" t="s">
        <v>736</v>
      </c>
      <c r="G427" t="s">
        <v>737</v>
      </c>
      <c r="H427" t="s">
        <v>738</v>
      </c>
      <c r="I427" t="s">
        <v>739</v>
      </c>
      <c r="J427" t="s">
        <v>739</v>
      </c>
      <c r="K427" s="2">
        <v>45015</v>
      </c>
      <c r="L427">
        <v>37912.035999087399</v>
      </c>
      <c r="M427">
        <v>2377699.2150831502</v>
      </c>
      <c r="N427">
        <v>435159.58373205201</v>
      </c>
      <c r="O427">
        <v>376482.96346927801</v>
      </c>
      <c r="P427">
        <v>-2377699.2150831502</v>
      </c>
      <c r="Q427">
        <v>-711411.18614718202</v>
      </c>
      <c r="R427">
        <v>85945.946153263096</v>
      </c>
      <c r="S427">
        <v>18936.151363256002</v>
      </c>
      <c r="T427">
        <v>330890.12402223499</v>
      </c>
      <c r="U427">
        <v>1109717.6021872701</v>
      </c>
      <c r="V427">
        <v>493163.25047466398</v>
      </c>
    </row>
    <row r="428" spans="1:22" x14ac:dyDescent="0.3">
      <c r="A428" t="str">
        <f t="shared" si="12"/>
        <v>PARDPrevisão</v>
      </c>
      <c r="B428" t="str">
        <f t="shared" si="13"/>
        <v>PARDPrevisãoJun-2023</v>
      </c>
      <c r="C428" t="s">
        <v>615</v>
      </c>
      <c r="D428" t="s">
        <v>616</v>
      </c>
      <c r="E428" t="s">
        <v>610</v>
      </c>
      <c r="F428" t="s">
        <v>736</v>
      </c>
      <c r="G428" t="s">
        <v>737</v>
      </c>
      <c r="H428" t="s">
        <v>738</v>
      </c>
      <c r="I428" t="s">
        <v>739</v>
      </c>
      <c r="J428" t="s">
        <v>739</v>
      </c>
      <c r="K428" s="2">
        <v>45107</v>
      </c>
      <c r="L428">
        <v>33392.440736226403</v>
      </c>
      <c r="M428">
        <v>2420829.5392235401</v>
      </c>
      <c r="N428">
        <v>349435.25656036602</v>
      </c>
      <c r="O428">
        <v>373075.07876740501</v>
      </c>
      <c r="P428">
        <v>-2420829.5392235401</v>
      </c>
      <c r="Q428">
        <v>-745190.59620394302</v>
      </c>
      <c r="R428">
        <v>93485.283716539096</v>
      </c>
      <c r="S428">
        <v>20189.4771480737</v>
      </c>
      <c r="T428">
        <v>288448.37592671002</v>
      </c>
      <c r="U428">
        <v>1179032.8986893899</v>
      </c>
      <c r="V428">
        <v>508939.94399700599</v>
      </c>
    </row>
    <row r="429" spans="1:22" x14ac:dyDescent="0.3">
      <c r="A429" t="str">
        <f t="shared" si="12"/>
        <v>PARDPrevisão</v>
      </c>
      <c r="B429" t="str">
        <f t="shared" si="13"/>
        <v>PARDPrevisãoSet-2023</v>
      </c>
      <c r="C429" t="s">
        <v>615</v>
      </c>
      <c r="D429" t="s">
        <v>616</v>
      </c>
      <c r="E429" t="s">
        <v>610</v>
      </c>
      <c r="F429" t="s">
        <v>736</v>
      </c>
      <c r="G429" t="s">
        <v>737</v>
      </c>
      <c r="H429" t="s">
        <v>738</v>
      </c>
      <c r="I429" t="s">
        <v>739</v>
      </c>
      <c r="J429" t="s">
        <v>739</v>
      </c>
      <c r="K429" s="2">
        <v>45199</v>
      </c>
      <c r="L429">
        <v>27768.0826077032</v>
      </c>
      <c r="M429">
        <v>2456013.5378366802</v>
      </c>
      <c r="N429">
        <v>245553.56113107901</v>
      </c>
      <c r="O429">
        <v>366536.12844528799</v>
      </c>
      <c r="P429">
        <v>-2456013.5378366802</v>
      </c>
      <c r="Q429">
        <v>-777564.57577738201</v>
      </c>
      <c r="R429">
        <v>101892.43859319</v>
      </c>
      <c r="S429">
        <v>21535.906860364801</v>
      </c>
      <c r="T429">
        <v>233279.248490211</v>
      </c>
      <c r="U429">
        <v>1254706.72511811</v>
      </c>
      <c r="V429">
        <v>524111.63679289399</v>
      </c>
    </row>
    <row r="430" spans="1:22" x14ac:dyDescent="0.3">
      <c r="A430" t="str">
        <f t="shared" si="12"/>
        <v>MATDPrevisão</v>
      </c>
      <c r="B430" t="str">
        <f t="shared" si="13"/>
        <v>MATDPrevisãoDez-2022</v>
      </c>
      <c r="C430" t="s">
        <v>613</v>
      </c>
      <c r="D430" t="s">
        <v>614</v>
      </c>
      <c r="E430" t="s">
        <v>610</v>
      </c>
      <c r="F430" t="s">
        <v>736</v>
      </c>
      <c r="G430" t="s">
        <v>737</v>
      </c>
      <c r="H430" t="s">
        <v>738</v>
      </c>
      <c r="I430" t="s">
        <v>739</v>
      </c>
      <c r="J430" t="s">
        <v>739</v>
      </c>
      <c r="K430" s="2">
        <v>44925</v>
      </c>
      <c r="L430">
        <v>83399.333333333605</v>
      </c>
      <c r="M430">
        <v>3585891.3333333498</v>
      </c>
      <c r="N430">
        <v>2001059.00000003</v>
      </c>
      <c r="O430">
        <v>423955.00000000099</v>
      </c>
      <c r="P430">
        <v>-3585891.3333333498</v>
      </c>
      <c r="Q430">
        <v>-253477.33333333401</v>
      </c>
      <c r="R430">
        <v>61995.666666666999</v>
      </c>
      <c r="S430">
        <v>76521.333333333299</v>
      </c>
      <c r="T430">
        <v>276565.33333333698</v>
      </c>
      <c r="U430">
        <v>2226305</v>
      </c>
      <c r="V430">
        <v>381900.666666665</v>
      </c>
    </row>
    <row r="431" spans="1:22" x14ac:dyDescent="0.3">
      <c r="A431" t="str">
        <f t="shared" si="12"/>
        <v>MATDPrevisão</v>
      </c>
      <c r="B431" t="str">
        <f t="shared" si="13"/>
        <v>MATDPrevisãoMar-2023</v>
      </c>
      <c r="C431" t="s">
        <v>613</v>
      </c>
      <c r="D431" t="s">
        <v>614</v>
      </c>
      <c r="E431" t="s">
        <v>610</v>
      </c>
      <c r="F431" t="s">
        <v>736</v>
      </c>
      <c r="G431" t="s">
        <v>737</v>
      </c>
      <c r="H431" t="s">
        <v>738</v>
      </c>
      <c r="I431" t="s">
        <v>739</v>
      </c>
      <c r="J431" t="s">
        <v>739</v>
      </c>
      <c r="K431" s="2">
        <v>45015</v>
      </c>
      <c r="L431">
        <v>182004.33333333299</v>
      </c>
      <c r="M431">
        <v>2655422.0476190699</v>
      </c>
      <c r="N431">
        <v>4676768.8571429197</v>
      </c>
      <c r="O431">
        <v>628740.42857143003</v>
      </c>
      <c r="P431">
        <v>-2655422.0476190699</v>
      </c>
      <c r="Q431">
        <v>-271244.19047619199</v>
      </c>
      <c r="R431">
        <v>95944.238095238703</v>
      </c>
      <c r="S431">
        <v>232214.904761905</v>
      </c>
      <c r="T431">
        <v>367975.76190476998</v>
      </c>
      <c r="U431">
        <v>3510824.1428571502</v>
      </c>
      <c r="V431">
        <v>563679.09523809305</v>
      </c>
    </row>
    <row r="432" spans="1:22" x14ac:dyDescent="0.3">
      <c r="A432" t="str">
        <f t="shared" si="12"/>
        <v>MATDPrevisão</v>
      </c>
      <c r="B432" t="str">
        <f t="shared" si="13"/>
        <v>MATDPrevisãoJun-2023</v>
      </c>
      <c r="C432" t="s">
        <v>613</v>
      </c>
      <c r="D432" t="s">
        <v>614</v>
      </c>
      <c r="E432" t="s">
        <v>610</v>
      </c>
      <c r="F432" t="s">
        <v>736</v>
      </c>
      <c r="G432" t="s">
        <v>737</v>
      </c>
      <c r="H432" t="s">
        <v>738</v>
      </c>
      <c r="I432" t="s">
        <v>739</v>
      </c>
      <c r="J432" t="s">
        <v>739</v>
      </c>
      <c r="K432" s="2">
        <v>45107</v>
      </c>
      <c r="L432">
        <v>346522.83333333401</v>
      </c>
      <c r="M432">
        <v>1100038.1904762399</v>
      </c>
      <c r="N432">
        <v>9442365.9285715297</v>
      </c>
      <c r="O432">
        <v>955522.28571428801</v>
      </c>
      <c r="P432">
        <v>-1100038.1904762399</v>
      </c>
      <c r="Q432">
        <v>-310371.404761907</v>
      </c>
      <c r="R432">
        <v>147965.66666666701</v>
      </c>
      <c r="S432">
        <v>500382.97619047598</v>
      </c>
      <c r="T432">
        <v>535921.54761906003</v>
      </c>
      <c r="U432">
        <v>5801709.5000000102</v>
      </c>
      <c r="V432">
        <v>848845.38095237804</v>
      </c>
    </row>
    <row r="433" spans="1:22" x14ac:dyDescent="0.3">
      <c r="A433" t="str">
        <f t="shared" si="12"/>
        <v>MATDPrevisão</v>
      </c>
      <c r="B433" t="str">
        <f t="shared" si="13"/>
        <v>MATDPrevisãoSet-2023</v>
      </c>
      <c r="C433" t="s">
        <v>613</v>
      </c>
      <c r="D433" t="s">
        <v>614</v>
      </c>
      <c r="E433" t="s">
        <v>610</v>
      </c>
      <c r="F433" t="s">
        <v>736</v>
      </c>
      <c r="G433" t="s">
        <v>737</v>
      </c>
      <c r="H433" t="s">
        <v>738</v>
      </c>
      <c r="I433" t="s">
        <v>739</v>
      </c>
      <c r="J433" t="s">
        <v>739</v>
      </c>
      <c r="K433" s="2">
        <v>45199</v>
      </c>
      <c r="L433">
        <v>592097.72222222295</v>
      </c>
      <c r="M433">
        <v>-1173688.1825395999</v>
      </c>
      <c r="N433">
        <v>16820116.714285798</v>
      </c>
      <c r="O433">
        <v>1430843.07142857</v>
      </c>
      <c r="P433">
        <v>1173688.1825395999</v>
      </c>
      <c r="Q433">
        <v>-377140.69841270201</v>
      </c>
      <c r="R433">
        <v>221943.23015873099</v>
      </c>
      <c r="S433">
        <v>907520.26984127099</v>
      </c>
      <c r="T433">
        <v>801957.57936509803</v>
      </c>
      <c r="U433">
        <v>9372474.0714285895</v>
      </c>
      <c r="V433">
        <v>1259377.3015872899</v>
      </c>
    </row>
    <row r="434" spans="1:22" x14ac:dyDescent="0.3">
      <c r="A434" t="str">
        <f t="shared" si="12"/>
        <v>HAPVPrevisão</v>
      </c>
      <c r="B434" t="str">
        <f t="shared" si="13"/>
        <v>HAPVPrevisãoDez-2022</v>
      </c>
      <c r="C434" t="s">
        <v>611</v>
      </c>
      <c r="D434" t="s">
        <v>612</v>
      </c>
      <c r="E434" t="s">
        <v>610</v>
      </c>
      <c r="F434" t="s">
        <v>736</v>
      </c>
      <c r="G434" t="s">
        <v>737</v>
      </c>
      <c r="H434" t="s">
        <v>738</v>
      </c>
      <c r="I434" t="s">
        <v>739</v>
      </c>
      <c r="J434" t="s">
        <v>739</v>
      </c>
      <c r="K434" s="2">
        <v>44925</v>
      </c>
      <c r="L434">
        <v>-227625.80000001899</v>
      </c>
      <c r="M434">
        <v>82584521.531135499</v>
      </c>
      <c r="N434">
        <v>345909.30695968901</v>
      </c>
      <c r="O434">
        <v>0</v>
      </c>
      <c r="P434">
        <v>-82584521.531135499</v>
      </c>
      <c r="Q434">
        <v>-1137600.6681319601</v>
      </c>
      <c r="R434">
        <v>2807.55824175819</v>
      </c>
      <c r="S434">
        <v>4544.8388278391403</v>
      </c>
      <c r="T434">
        <v>2002234.1487179699</v>
      </c>
      <c r="U434">
        <v>74425167.426373094</v>
      </c>
      <c r="V434">
        <v>-132486.92014652101</v>
      </c>
    </row>
    <row r="435" spans="1:22" x14ac:dyDescent="0.3">
      <c r="A435" t="str">
        <f t="shared" si="12"/>
        <v>HAPVPrevisão</v>
      </c>
      <c r="B435" t="str">
        <f t="shared" si="13"/>
        <v>HAPVPrevisãoMar-2023</v>
      </c>
      <c r="C435" t="s">
        <v>611</v>
      </c>
      <c r="D435" t="s">
        <v>612</v>
      </c>
      <c r="E435" t="s">
        <v>610</v>
      </c>
      <c r="F435" t="s">
        <v>736</v>
      </c>
      <c r="G435" t="s">
        <v>737</v>
      </c>
      <c r="H435" t="s">
        <v>738</v>
      </c>
      <c r="I435" t="s">
        <v>739</v>
      </c>
      <c r="J435" t="s">
        <v>739</v>
      </c>
      <c r="K435" s="2">
        <v>45015</v>
      </c>
      <c r="L435">
        <v>-290987.15989014</v>
      </c>
      <c r="M435">
        <v>105157026.259157</v>
      </c>
      <c r="N435">
        <v>452007.96630033897</v>
      </c>
      <c r="O435">
        <v>0</v>
      </c>
      <c r="P435">
        <v>-105157026.259157</v>
      </c>
      <c r="Q435">
        <v>-1283498.0609891401</v>
      </c>
      <c r="R435">
        <v>2887.22307692304</v>
      </c>
      <c r="S435">
        <v>2281.9047619052999</v>
      </c>
      <c r="T435">
        <v>1855104.3987179699</v>
      </c>
      <c r="U435">
        <v>95283203.179120094</v>
      </c>
      <c r="V435">
        <v>-160559.247069604</v>
      </c>
    </row>
    <row r="436" spans="1:22" x14ac:dyDescent="0.3">
      <c r="A436" t="str">
        <f t="shared" si="12"/>
        <v>HAPVPrevisão</v>
      </c>
      <c r="B436" t="str">
        <f t="shared" si="13"/>
        <v>HAPVPrevisãoJun-2023</v>
      </c>
      <c r="C436" t="s">
        <v>611</v>
      </c>
      <c r="D436" t="s">
        <v>612</v>
      </c>
      <c r="E436" t="s">
        <v>610</v>
      </c>
      <c r="F436" t="s">
        <v>736</v>
      </c>
      <c r="G436" t="s">
        <v>737</v>
      </c>
      <c r="H436" t="s">
        <v>738</v>
      </c>
      <c r="I436" t="s">
        <v>739</v>
      </c>
      <c r="J436" t="s">
        <v>739</v>
      </c>
      <c r="K436" s="2">
        <v>45107</v>
      </c>
      <c r="L436">
        <v>-353404.09460249997</v>
      </c>
      <c r="M436">
        <v>131788977.700656</v>
      </c>
      <c r="N436">
        <v>591020.76882133505</v>
      </c>
      <c r="O436">
        <v>0</v>
      </c>
      <c r="P436">
        <v>-131788977.700656</v>
      </c>
      <c r="Q436">
        <v>-1420827.1855851701</v>
      </c>
      <c r="R436">
        <v>2907.7684873949402</v>
      </c>
      <c r="S436">
        <v>-710.670221934084</v>
      </c>
      <c r="T436">
        <v>1632181.1260935401</v>
      </c>
      <c r="U436">
        <v>119929779.47000501</v>
      </c>
      <c r="V436">
        <v>-181910.91319760299</v>
      </c>
    </row>
    <row r="437" spans="1:22" x14ac:dyDescent="0.3">
      <c r="A437" t="str">
        <f t="shared" si="12"/>
        <v>HAPVPrevisão</v>
      </c>
      <c r="B437" t="str">
        <f t="shared" si="13"/>
        <v>HAPVPrevisãoSet-2023</v>
      </c>
      <c r="C437" t="s">
        <v>611</v>
      </c>
      <c r="D437" t="s">
        <v>612</v>
      </c>
      <c r="E437" t="s">
        <v>610</v>
      </c>
      <c r="F437" t="s">
        <v>736</v>
      </c>
      <c r="G437" t="s">
        <v>737</v>
      </c>
      <c r="H437" t="s">
        <v>738</v>
      </c>
      <c r="I437" t="s">
        <v>739</v>
      </c>
      <c r="J437" t="s">
        <v>739</v>
      </c>
      <c r="K437" s="2">
        <v>45199</v>
      </c>
      <c r="L437">
        <v>-413860.88769667799</v>
      </c>
      <c r="M437">
        <v>162818248.551963</v>
      </c>
      <c r="N437">
        <v>766860.71741357702</v>
      </c>
      <c r="O437">
        <v>0</v>
      </c>
      <c r="P437">
        <v>-162818248.551963</v>
      </c>
      <c r="Q437">
        <v>-1545612.9646199101</v>
      </c>
      <c r="R437">
        <v>2860.3645335057099</v>
      </c>
      <c r="S437">
        <v>-4510.4077425830201</v>
      </c>
      <c r="T437">
        <v>1325897.15726499</v>
      </c>
      <c r="U437">
        <v>148681321.71079299</v>
      </c>
      <c r="V437">
        <v>-195123.34148174801</v>
      </c>
    </row>
    <row r="438" spans="1:22" x14ac:dyDescent="0.3">
      <c r="A438" t="str">
        <f t="shared" si="12"/>
        <v>FLRYPrevisão</v>
      </c>
      <c r="B438" t="str">
        <f t="shared" si="13"/>
        <v>FLRYPrevisãoDez-2022</v>
      </c>
      <c r="C438" t="s">
        <v>608</v>
      </c>
      <c r="D438" t="s">
        <v>609</v>
      </c>
      <c r="E438" t="s">
        <v>610</v>
      </c>
      <c r="F438" t="s">
        <v>736</v>
      </c>
      <c r="G438" t="s">
        <v>737</v>
      </c>
      <c r="H438" t="s">
        <v>738</v>
      </c>
      <c r="I438" t="s">
        <v>739</v>
      </c>
      <c r="J438" t="s">
        <v>739</v>
      </c>
      <c r="K438" s="2">
        <v>44925</v>
      </c>
      <c r="L438">
        <v>76608.265936663694</v>
      </c>
      <c r="M438">
        <v>7147668.5876414897</v>
      </c>
      <c r="N438">
        <v>1696970.50903987</v>
      </c>
      <c r="O438">
        <v>826775.49758087099</v>
      </c>
      <c r="P438">
        <v>-7147668.5876414897</v>
      </c>
      <c r="Q438">
        <v>-991799.38782772096</v>
      </c>
      <c r="R438">
        <v>205447.85204990901</v>
      </c>
      <c r="S438">
        <v>88908.323062559197</v>
      </c>
      <c r="T438">
        <v>204909.14803461</v>
      </c>
      <c r="U438">
        <v>2012069.8837959601</v>
      </c>
      <c r="V438">
        <v>1017971.08989036</v>
      </c>
    </row>
    <row r="439" spans="1:22" x14ac:dyDescent="0.3">
      <c r="A439" t="str">
        <f t="shared" si="12"/>
        <v>FLRYPrevisão</v>
      </c>
      <c r="B439" t="str">
        <f t="shared" si="13"/>
        <v>FLRYPrevisãoMar-2023</v>
      </c>
      <c r="C439" t="s">
        <v>608</v>
      </c>
      <c r="D439" t="s">
        <v>609</v>
      </c>
      <c r="E439" t="s">
        <v>610</v>
      </c>
      <c r="F439" t="s">
        <v>736</v>
      </c>
      <c r="G439" t="s">
        <v>737</v>
      </c>
      <c r="H439" t="s">
        <v>738</v>
      </c>
      <c r="I439" t="s">
        <v>739</v>
      </c>
      <c r="J439" t="s">
        <v>739</v>
      </c>
      <c r="K439" s="2">
        <v>45015</v>
      </c>
      <c r="L439">
        <v>72378.395111673002</v>
      </c>
      <c r="M439">
        <v>7590719.22814837</v>
      </c>
      <c r="N439">
        <v>1747566.6642164499</v>
      </c>
      <c r="O439">
        <v>874533.48157939396</v>
      </c>
      <c r="P439">
        <v>-7590719.22814837</v>
      </c>
      <c r="Q439">
        <v>-973604.31192902196</v>
      </c>
      <c r="R439">
        <v>216813.57164880499</v>
      </c>
      <c r="S439">
        <v>96572.6629823111</v>
      </c>
      <c r="T439">
        <v>242024.69555382201</v>
      </c>
      <c r="U439">
        <v>2101693.3345630099</v>
      </c>
      <c r="V439">
        <v>1066229.91554641</v>
      </c>
    </row>
    <row r="440" spans="1:22" x14ac:dyDescent="0.3">
      <c r="A440" t="str">
        <f t="shared" si="12"/>
        <v>FLRYPrevisão</v>
      </c>
      <c r="B440" t="str">
        <f t="shared" si="13"/>
        <v>FLRYPrevisãoJun-2023</v>
      </c>
      <c r="C440" t="s">
        <v>608</v>
      </c>
      <c r="D440" t="s">
        <v>609</v>
      </c>
      <c r="E440" t="s">
        <v>610</v>
      </c>
      <c r="F440" t="s">
        <v>736</v>
      </c>
      <c r="G440" t="s">
        <v>737</v>
      </c>
      <c r="H440" t="s">
        <v>738</v>
      </c>
      <c r="I440" t="s">
        <v>739</v>
      </c>
      <c r="J440" t="s">
        <v>739</v>
      </c>
      <c r="K440" s="2">
        <v>45107</v>
      </c>
      <c r="L440">
        <v>67315.786222052295</v>
      </c>
      <c r="M440">
        <v>8070768.16199446</v>
      </c>
      <c r="N440">
        <v>1801926.31162846</v>
      </c>
      <c r="O440">
        <v>926663.70883347699</v>
      </c>
      <c r="P440">
        <v>-8070768.16199446</v>
      </c>
      <c r="Q440">
        <v>-947941.21222133702</v>
      </c>
      <c r="R440">
        <v>228909.73014484401</v>
      </c>
      <c r="S440">
        <v>104865.720463056</v>
      </c>
      <c r="T440">
        <v>285071.43122805603</v>
      </c>
      <c r="U440">
        <v>2203097.3891984499</v>
      </c>
      <c r="V440">
        <v>1117941.56692626</v>
      </c>
    </row>
    <row r="441" spans="1:22" x14ac:dyDescent="0.3">
      <c r="A441" t="str">
        <f t="shared" si="12"/>
        <v>FLRYPrevisão</v>
      </c>
      <c r="B441" t="str">
        <f t="shared" si="13"/>
        <v>FLRYPrevisãoSet-2023</v>
      </c>
      <c r="C441" t="s">
        <v>608</v>
      </c>
      <c r="D441" t="s">
        <v>609</v>
      </c>
      <c r="E441" t="s">
        <v>610</v>
      </c>
      <c r="F441" t="s">
        <v>736</v>
      </c>
      <c r="G441" t="s">
        <v>737</v>
      </c>
      <c r="H441" t="s">
        <v>738</v>
      </c>
      <c r="I441" t="s">
        <v>739</v>
      </c>
      <c r="J441" t="s">
        <v>739</v>
      </c>
      <c r="K441" s="2">
        <v>45199</v>
      </c>
      <c r="L441">
        <v>61378.440194598297</v>
      </c>
      <c r="M441">
        <v>8589483.7787092403</v>
      </c>
      <c r="N441">
        <v>1860255.73184971</v>
      </c>
      <c r="O441">
        <v>983379.455603273</v>
      </c>
      <c r="P441">
        <v>-8589483.7787092403</v>
      </c>
      <c r="Q441">
        <v>-914382.82012018596</v>
      </c>
      <c r="R441">
        <v>241765.62985601701</v>
      </c>
      <c r="S441">
        <v>113812.24977633099</v>
      </c>
      <c r="T441">
        <v>334367.36776180298</v>
      </c>
      <c r="U441">
        <v>2316920.3037944902</v>
      </c>
      <c r="V441">
        <v>1173266.1572219101</v>
      </c>
    </row>
    <row r="442" spans="1:22" x14ac:dyDescent="0.3">
      <c r="A442" t="str">
        <f t="shared" si="12"/>
        <v>DASAPrevisão</v>
      </c>
      <c r="B442" t="str">
        <f t="shared" si="13"/>
        <v>DASAPrevisãoDez-2022</v>
      </c>
      <c r="C442" t="s">
        <v>623</v>
      </c>
      <c r="D442" t="s">
        <v>624</v>
      </c>
      <c r="E442" t="s">
        <v>610</v>
      </c>
      <c r="F442" t="s">
        <v>736</v>
      </c>
      <c r="G442" t="s">
        <v>737</v>
      </c>
      <c r="H442" t="s">
        <v>738</v>
      </c>
      <c r="I442" t="s">
        <v>739</v>
      </c>
      <c r="J442" t="s">
        <v>739</v>
      </c>
      <c r="K442" s="2">
        <v>44925</v>
      </c>
      <c r="L442">
        <v>-100651.04379932801</v>
      </c>
      <c r="M442">
        <v>21820696.171037599</v>
      </c>
      <c r="N442">
        <v>3883501.44020057</v>
      </c>
      <c r="O442">
        <v>1013935.56616583</v>
      </c>
      <c r="P442">
        <v>-21820696.171037599</v>
      </c>
      <c r="Q442">
        <v>-3698425.5591206402</v>
      </c>
      <c r="R442">
        <v>338295.69722433999</v>
      </c>
      <c r="S442">
        <v>62847.073677945802</v>
      </c>
      <c r="T442">
        <v>-295491.22264659399</v>
      </c>
      <c r="U442">
        <v>8846895.7205674406</v>
      </c>
      <c r="V442">
        <v>1339720.20482133</v>
      </c>
    </row>
    <row r="443" spans="1:22" x14ac:dyDescent="0.3">
      <c r="A443" t="str">
        <f t="shared" si="12"/>
        <v>DASAPrevisão</v>
      </c>
      <c r="B443" t="str">
        <f t="shared" si="13"/>
        <v>DASAPrevisãoMar-2023</v>
      </c>
      <c r="C443" t="s">
        <v>623</v>
      </c>
      <c r="D443" t="s">
        <v>624</v>
      </c>
      <c r="E443" t="s">
        <v>610</v>
      </c>
      <c r="F443" t="s">
        <v>736</v>
      </c>
      <c r="G443" t="s">
        <v>737</v>
      </c>
      <c r="H443" t="s">
        <v>738</v>
      </c>
      <c r="I443" t="s">
        <v>739</v>
      </c>
      <c r="J443" t="s">
        <v>739</v>
      </c>
      <c r="K443" s="2">
        <v>45015</v>
      </c>
      <c r="L443">
        <v>-120818.421468824</v>
      </c>
      <c r="M443">
        <v>23889657.92255</v>
      </c>
      <c r="N443">
        <v>4177159.7109113699</v>
      </c>
      <c r="O443">
        <v>1038905.39048671</v>
      </c>
      <c r="P443">
        <v>-23889657.92255</v>
      </c>
      <c r="Q443">
        <v>-4012372.8627979099</v>
      </c>
      <c r="R443">
        <v>358551.203387496</v>
      </c>
      <c r="S443">
        <v>61033.876436393301</v>
      </c>
      <c r="T443">
        <v>-472839.20756734197</v>
      </c>
      <c r="U443">
        <v>9652785.1931172404</v>
      </c>
      <c r="V443">
        <v>1402002.18494508</v>
      </c>
    </row>
    <row r="444" spans="1:22" x14ac:dyDescent="0.3">
      <c r="A444" t="str">
        <f t="shared" si="12"/>
        <v>DASAPrevisão</v>
      </c>
      <c r="B444" t="str">
        <f t="shared" si="13"/>
        <v>DASAPrevisãoJun-2023</v>
      </c>
      <c r="C444" t="s">
        <v>623</v>
      </c>
      <c r="D444" t="s">
        <v>624</v>
      </c>
      <c r="E444" t="s">
        <v>610</v>
      </c>
      <c r="F444" t="s">
        <v>736</v>
      </c>
      <c r="G444" t="s">
        <v>737</v>
      </c>
      <c r="H444" t="s">
        <v>738</v>
      </c>
      <c r="I444" t="s">
        <v>739</v>
      </c>
      <c r="J444" t="s">
        <v>739</v>
      </c>
      <c r="K444" s="2">
        <v>45107</v>
      </c>
      <c r="L444">
        <v>-142821.901030932</v>
      </c>
      <c r="M444">
        <v>26117567.8522138</v>
      </c>
      <c r="N444">
        <v>4491863.1735190302</v>
      </c>
      <c r="O444">
        <v>1064021.39573143</v>
      </c>
      <c r="P444">
        <v>-26117567.8522138</v>
      </c>
      <c r="Q444">
        <v>-4346997.5135239698</v>
      </c>
      <c r="R444">
        <v>380193.55677711603</v>
      </c>
      <c r="S444">
        <v>58616.792527022</v>
      </c>
      <c r="T444">
        <v>-667691.91273284203</v>
      </c>
      <c r="U444">
        <v>10525766.042982601</v>
      </c>
      <c r="V444">
        <v>1468166.5373374899</v>
      </c>
    </row>
    <row r="445" spans="1:22" x14ac:dyDescent="0.3">
      <c r="A445" t="str">
        <f t="shared" si="12"/>
        <v>DASAPrevisão</v>
      </c>
      <c r="B445" t="str">
        <f t="shared" si="13"/>
        <v>DASAPrevisãoSet-2023</v>
      </c>
      <c r="C445" t="s">
        <v>623</v>
      </c>
      <c r="D445" t="s">
        <v>624</v>
      </c>
      <c r="E445" t="s">
        <v>610</v>
      </c>
      <c r="F445" t="s">
        <v>736</v>
      </c>
      <c r="G445" t="s">
        <v>737</v>
      </c>
      <c r="H445" t="s">
        <v>738</v>
      </c>
      <c r="I445" t="s">
        <v>739</v>
      </c>
      <c r="J445" t="s">
        <v>739</v>
      </c>
      <c r="K445" s="2">
        <v>45199</v>
      </c>
      <c r="L445">
        <v>-166737.51191526401</v>
      </c>
      <c r="M445">
        <v>28510332.975208499</v>
      </c>
      <c r="N445">
        <v>4828422.51284678</v>
      </c>
      <c r="O445">
        <v>1089267.5759870801</v>
      </c>
      <c r="P445">
        <v>-28510332.975208499</v>
      </c>
      <c r="Q445">
        <v>-4702978.1504713902</v>
      </c>
      <c r="R445">
        <v>403280.23409497598</v>
      </c>
      <c r="S445">
        <v>55561.114992902003</v>
      </c>
      <c r="T445">
        <v>-880731.21781680896</v>
      </c>
      <c r="U445">
        <v>11468475.9697084</v>
      </c>
      <c r="V445">
        <v>1538374.31763398</v>
      </c>
    </row>
    <row r="446" spans="1:22" x14ac:dyDescent="0.3">
      <c r="A446" t="str">
        <f t="shared" si="12"/>
        <v>AALRPrevisão</v>
      </c>
      <c r="B446" t="str">
        <f t="shared" si="13"/>
        <v>AALRPrevisãoDez-2022</v>
      </c>
      <c r="C446" t="s">
        <v>621</v>
      </c>
      <c r="D446" t="s">
        <v>622</v>
      </c>
      <c r="E446" t="s">
        <v>610</v>
      </c>
      <c r="F446" t="s">
        <v>736</v>
      </c>
      <c r="G446" t="s">
        <v>737</v>
      </c>
      <c r="H446" t="s">
        <v>738</v>
      </c>
      <c r="I446" t="s">
        <v>739</v>
      </c>
      <c r="J446" t="s">
        <v>739</v>
      </c>
      <c r="K446" s="2">
        <v>44925</v>
      </c>
      <c r="L446">
        <v>-48651.500417710202</v>
      </c>
      <c r="M446">
        <v>2183103.8771929699</v>
      </c>
      <c r="N446">
        <v>135874.53049289799</v>
      </c>
      <c r="O446">
        <v>15199.058479531999</v>
      </c>
      <c r="P446">
        <v>-2183103.8771929699</v>
      </c>
      <c r="Q446">
        <v>-364933.80785295099</v>
      </c>
      <c r="R446">
        <v>23927.1679197993</v>
      </c>
      <c r="S446">
        <v>5906.7644110275196</v>
      </c>
      <c r="T446">
        <v>2643.88638262628</v>
      </c>
      <c r="U446">
        <v>1111198.5898077399</v>
      </c>
      <c r="V446">
        <v>60530.010025062897</v>
      </c>
    </row>
    <row r="447" spans="1:22" x14ac:dyDescent="0.3">
      <c r="A447" t="str">
        <f t="shared" si="12"/>
        <v>AALRPrevisão</v>
      </c>
      <c r="B447" t="str">
        <f t="shared" si="13"/>
        <v>AALRPrevisãoMar-2023</v>
      </c>
      <c r="C447" t="s">
        <v>621</v>
      </c>
      <c r="D447" t="s">
        <v>622</v>
      </c>
      <c r="E447" t="s">
        <v>610</v>
      </c>
      <c r="F447" t="s">
        <v>736</v>
      </c>
      <c r="G447" t="s">
        <v>737</v>
      </c>
      <c r="H447" t="s">
        <v>738</v>
      </c>
      <c r="I447" t="s">
        <v>739</v>
      </c>
      <c r="J447" t="s">
        <v>739</v>
      </c>
      <c r="K447" s="2">
        <v>45015</v>
      </c>
      <c r="L447">
        <v>-59065.959292168904</v>
      </c>
      <c r="M447">
        <v>2229368.3317384198</v>
      </c>
      <c r="N447">
        <v>121394.03858130101</v>
      </c>
      <c r="O447">
        <v>12782.0500493656</v>
      </c>
      <c r="P447">
        <v>-2229368.3317384198</v>
      </c>
      <c r="Q447">
        <v>-353206.51165791502</v>
      </c>
      <c r="R447">
        <v>26527.8767372976</v>
      </c>
      <c r="S447">
        <v>7697.9578491683096</v>
      </c>
      <c r="T447">
        <v>7769.8278271472</v>
      </c>
      <c r="U447">
        <v>1111614.0618970301</v>
      </c>
      <c r="V447">
        <v>69150.755753019199</v>
      </c>
    </row>
    <row r="448" spans="1:22" x14ac:dyDescent="0.3">
      <c r="A448" t="str">
        <f t="shared" si="12"/>
        <v>AALRPrevisão</v>
      </c>
      <c r="B448" t="str">
        <f t="shared" si="13"/>
        <v>AALRPrevisãoJun-2023</v>
      </c>
      <c r="C448" t="s">
        <v>621</v>
      </c>
      <c r="D448" t="s">
        <v>622</v>
      </c>
      <c r="E448" t="s">
        <v>610</v>
      </c>
      <c r="F448" t="s">
        <v>736</v>
      </c>
      <c r="G448" t="s">
        <v>737</v>
      </c>
      <c r="H448" t="s">
        <v>738</v>
      </c>
      <c r="I448" t="s">
        <v>739</v>
      </c>
      <c r="J448" t="s">
        <v>739</v>
      </c>
      <c r="K448" s="2">
        <v>45107</v>
      </c>
      <c r="L448">
        <v>-70807.441664106504</v>
      </c>
      <c r="M448">
        <v>2282814.1761617302</v>
      </c>
      <c r="N448">
        <v>102577.24578904299</v>
      </c>
      <c r="O448">
        <v>9745.2078747591404</v>
      </c>
      <c r="P448">
        <v>-2282814.1761617302</v>
      </c>
      <c r="Q448">
        <v>-334785.33220730902</v>
      </c>
      <c r="R448">
        <v>29514.649628022398</v>
      </c>
      <c r="S448">
        <v>9865.4273133425595</v>
      </c>
      <c r="T448">
        <v>14423.631070433899</v>
      </c>
      <c r="U448">
        <v>1119335.43601412</v>
      </c>
      <c r="V448">
        <v>78879.021585584793</v>
      </c>
    </row>
    <row r="449" spans="1:22" x14ac:dyDescent="0.3">
      <c r="A449" t="str">
        <f t="shared" si="12"/>
        <v>AALRPrevisão</v>
      </c>
      <c r="B449" t="str">
        <f t="shared" si="13"/>
        <v>AALRPrevisãoSet-2023</v>
      </c>
      <c r="C449" t="s">
        <v>621</v>
      </c>
      <c r="D449" t="s">
        <v>622</v>
      </c>
      <c r="E449" t="s">
        <v>610</v>
      </c>
      <c r="F449" t="s">
        <v>736</v>
      </c>
      <c r="G449" t="s">
        <v>737</v>
      </c>
      <c r="H449" t="s">
        <v>738</v>
      </c>
      <c r="I449" t="s">
        <v>739</v>
      </c>
      <c r="J449" t="s">
        <v>739</v>
      </c>
      <c r="K449" s="2">
        <v>45199</v>
      </c>
      <c r="L449">
        <v>-83955.374422550507</v>
      </c>
      <c r="M449">
        <v>2344189.7489623101</v>
      </c>
      <c r="N449">
        <v>79082.349548111903</v>
      </c>
      <c r="O449">
        <v>6027.5003929451595</v>
      </c>
      <c r="P449">
        <v>-2344189.7489623101</v>
      </c>
      <c r="Q449">
        <v>-309027.65216067998</v>
      </c>
      <c r="R449">
        <v>32915.174928427499</v>
      </c>
      <c r="S449">
        <v>12436.657860064999</v>
      </c>
      <c r="T449">
        <v>22749.348096860998</v>
      </c>
      <c r="U449">
        <v>1135466.8138741001</v>
      </c>
      <c r="V449">
        <v>89778.829643278499</v>
      </c>
    </row>
    <row r="450" spans="1:22" x14ac:dyDescent="0.3">
      <c r="A450" t="str">
        <f t="shared" ref="A450:A513" si="14">_xlfn.CONCAT(D450,F450)</f>
        <v>SLCEPrevisão</v>
      </c>
      <c r="B450" t="str">
        <f t="shared" ref="B450:B513" si="15">_xlfn.CONCAT(D450,F450,PROPER(TEXT(K450,"mmm-aaaa")))</f>
        <v>SLCEPrevisãoDez-2022</v>
      </c>
      <c r="C450" t="s">
        <v>17</v>
      </c>
      <c r="D450" t="s">
        <v>18</v>
      </c>
      <c r="E450" t="s">
        <v>6</v>
      </c>
      <c r="F450" t="s">
        <v>736</v>
      </c>
      <c r="G450" t="s">
        <v>737</v>
      </c>
      <c r="H450" t="s">
        <v>738</v>
      </c>
      <c r="I450" t="s">
        <v>739</v>
      </c>
      <c r="J450" t="s">
        <v>739</v>
      </c>
      <c r="K450" s="2">
        <v>44925</v>
      </c>
      <c r="L450">
        <v>371694.12588065898</v>
      </c>
      <c r="M450">
        <v>17549851.934214398</v>
      </c>
      <c r="N450">
        <v>5582964.3062557597</v>
      </c>
      <c r="O450">
        <v>428076.16433240898</v>
      </c>
      <c r="P450">
        <v>-17549851.934214398</v>
      </c>
      <c r="Q450">
        <v>-3702705.4491980602</v>
      </c>
      <c r="R450">
        <v>6396.5671844530398</v>
      </c>
      <c r="S450">
        <v>117656.79229267599</v>
      </c>
      <c r="T450">
        <v>1308480.56378914</v>
      </c>
      <c r="U450">
        <v>5119173.59629892</v>
      </c>
      <c r="V450">
        <v>1885487.41142516</v>
      </c>
    </row>
    <row r="451" spans="1:22" x14ac:dyDescent="0.3">
      <c r="A451" t="str">
        <f t="shared" si="14"/>
        <v>SLCEPrevisão</v>
      </c>
      <c r="B451" t="str">
        <f t="shared" si="15"/>
        <v>SLCEPrevisãoMar-2023</v>
      </c>
      <c r="C451" t="s">
        <v>17</v>
      </c>
      <c r="D451" t="s">
        <v>18</v>
      </c>
      <c r="E451" t="s">
        <v>6</v>
      </c>
      <c r="F451" t="s">
        <v>736</v>
      </c>
      <c r="G451" t="s">
        <v>737</v>
      </c>
      <c r="H451" t="s">
        <v>738</v>
      </c>
      <c r="I451" t="s">
        <v>739</v>
      </c>
      <c r="J451" t="s">
        <v>739</v>
      </c>
      <c r="K451" s="2">
        <v>45015</v>
      </c>
      <c r="L451">
        <v>400102.64887805999</v>
      </c>
      <c r="M451">
        <v>19194822.279825699</v>
      </c>
      <c r="N451">
        <v>6003786.2899032803</v>
      </c>
      <c r="O451">
        <v>461154.30665961298</v>
      </c>
      <c r="P451">
        <v>-19194822.279825699</v>
      </c>
      <c r="Q451">
        <v>-3975577.7702188999</v>
      </c>
      <c r="R451">
        <v>5801.9611444950197</v>
      </c>
      <c r="S451">
        <v>133820.26198620599</v>
      </c>
      <c r="T451">
        <v>1448829.1624925099</v>
      </c>
      <c r="U451">
        <v>5488951.0935012596</v>
      </c>
      <c r="V451">
        <v>2043801.7151230499</v>
      </c>
    </row>
    <row r="452" spans="1:22" x14ac:dyDescent="0.3">
      <c r="A452" t="str">
        <f t="shared" si="14"/>
        <v>SLCEPrevisão</v>
      </c>
      <c r="B452" t="str">
        <f t="shared" si="15"/>
        <v>SLCEPrevisãoJun-2023</v>
      </c>
      <c r="C452" t="s">
        <v>17</v>
      </c>
      <c r="D452" t="s">
        <v>18</v>
      </c>
      <c r="E452" t="s">
        <v>6</v>
      </c>
      <c r="F452" t="s">
        <v>736</v>
      </c>
      <c r="G452" t="s">
        <v>737</v>
      </c>
      <c r="H452" t="s">
        <v>738</v>
      </c>
      <c r="I452" t="s">
        <v>739</v>
      </c>
      <c r="J452" t="s">
        <v>739</v>
      </c>
      <c r="K452" s="2">
        <v>45107</v>
      </c>
      <c r="L452">
        <v>429605.51366866298</v>
      </c>
      <c r="M452">
        <v>20966140.824043501</v>
      </c>
      <c r="N452">
        <v>6450319.4866112703</v>
      </c>
      <c r="O452">
        <v>496571.69590379298</v>
      </c>
      <c r="P452">
        <v>-20966140.824043501</v>
      </c>
      <c r="Q452">
        <v>-4266906.74631905</v>
      </c>
      <c r="R452">
        <v>5159.6790246133596</v>
      </c>
      <c r="S452">
        <v>151334.79876101</v>
      </c>
      <c r="T452">
        <v>1601597.23919208</v>
      </c>
      <c r="U452">
        <v>5889378.77155462</v>
      </c>
      <c r="V452">
        <v>2211629.7905729101</v>
      </c>
    </row>
    <row r="453" spans="1:22" x14ac:dyDescent="0.3">
      <c r="A453" t="str">
        <f t="shared" si="14"/>
        <v>SLCEPrevisão</v>
      </c>
      <c r="B453" t="str">
        <f t="shared" si="15"/>
        <v>SLCEPrevisãoSet-2023</v>
      </c>
      <c r="C453" t="s">
        <v>17</v>
      </c>
      <c r="D453" t="s">
        <v>18</v>
      </c>
      <c r="E453" t="s">
        <v>6</v>
      </c>
      <c r="F453" t="s">
        <v>736</v>
      </c>
      <c r="G453" t="s">
        <v>737</v>
      </c>
      <c r="H453" t="s">
        <v>738</v>
      </c>
      <c r="I453" t="s">
        <v>739</v>
      </c>
      <c r="J453" t="s">
        <v>739</v>
      </c>
      <c r="K453" s="2">
        <v>45199</v>
      </c>
      <c r="L453">
        <v>460206.26923768298</v>
      </c>
      <c r="M453">
        <v>22868596.361361399</v>
      </c>
      <c r="N453">
        <v>6923402.0791166602</v>
      </c>
      <c r="O453">
        <v>534409.99411304004</v>
      </c>
      <c r="P453">
        <v>-22868596.361361399</v>
      </c>
      <c r="Q453">
        <v>-4577401.9586904896</v>
      </c>
      <c r="R453">
        <v>4469.0445853826104</v>
      </c>
      <c r="S453">
        <v>170252.30585965401</v>
      </c>
      <c r="T453">
        <v>1767304.4519094401</v>
      </c>
      <c r="U453">
        <v>6321702.5072506601</v>
      </c>
      <c r="V453">
        <v>2389255.33326839</v>
      </c>
    </row>
    <row r="454" spans="1:22" x14ac:dyDescent="0.3">
      <c r="A454" t="str">
        <f t="shared" si="14"/>
        <v>SMTOPrevisão</v>
      </c>
      <c r="B454" t="str">
        <f t="shared" si="15"/>
        <v>SMTOPrevisãoMar-2023</v>
      </c>
      <c r="C454" t="s">
        <v>15</v>
      </c>
      <c r="D454" t="s">
        <v>16</v>
      </c>
      <c r="E454" t="s">
        <v>6</v>
      </c>
      <c r="F454" t="s">
        <v>736</v>
      </c>
      <c r="G454" t="s">
        <v>737</v>
      </c>
      <c r="H454" t="s">
        <v>738</v>
      </c>
      <c r="I454" t="s">
        <v>739</v>
      </c>
      <c r="J454" t="s">
        <v>739</v>
      </c>
      <c r="K454" s="2">
        <v>45016</v>
      </c>
      <c r="L454">
        <v>457117.32187419699</v>
      </c>
      <c r="M454">
        <v>19097738.2862246</v>
      </c>
      <c r="N454">
        <v>6045807.3526013698</v>
      </c>
      <c r="O454">
        <v>419454.414905374</v>
      </c>
      <c r="P454">
        <v>-19097738.2862246</v>
      </c>
      <c r="Q454">
        <v>-3373755.8410146302</v>
      </c>
      <c r="R454">
        <v>207163.53781512601</v>
      </c>
      <c r="S454">
        <v>30018.2889398193</v>
      </c>
      <c r="T454">
        <v>1310573.1737542499</v>
      </c>
      <c r="U454">
        <v>5913157.4697393896</v>
      </c>
      <c r="V454">
        <v>1793228.3422459599</v>
      </c>
    </row>
    <row r="455" spans="1:22" x14ac:dyDescent="0.3">
      <c r="A455" t="str">
        <f t="shared" si="14"/>
        <v>SMTOPrevisão</v>
      </c>
      <c r="B455" t="str">
        <f t="shared" si="15"/>
        <v>SMTOPrevisãoJun-2023</v>
      </c>
      <c r="C455" t="s">
        <v>15</v>
      </c>
      <c r="D455" t="s">
        <v>16</v>
      </c>
      <c r="E455" t="s">
        <v>6</v>
      </c>
      <c r="F455" t="s">
        <v>736</v>
      </c>
      <c r="G455" t="s">
        <v>737</v>
      </c>
      <c r="H455" t="s">
        <v>738</v>
      </c>
      <c r="I455" t="s">
        <v>739</v>
      </c>
      <c r="J455" t="s">
        <v>739</v>
      </c>
      <c r="K455" s="2">
        <v>45107</v>
      </c>
      <c r="L455">
        <v>493787.23124728003</v>
      </c>
      <c r="M455">
        <v>20257147.386321899</v>
      </c>
      <c r="N455">
        <v>6354554.9323231699</v>
      </c>
      <c r="O455">
        <v>446992.411078787</v>
      </c>
      <c r="P455">
        <v>-20257147.386321899</v>
      </c>
      <c r="Q455">
        <v>-3670571.4139504302</v>
      </c>
      <c r="R455">
        <v>207695.70482247</v>
      </c>
      <c r="S455">
        <v>29096.890561302698</v>
      </c>
      <c r="T455">
        <v>1343323.9664988399</v>
      </c>
      <c r="U455">
        <v>6220329.7163412496</v>
      </c>
      <c r="V455">
        <v>1915501.5384138599</v>
      </c>
    </row>
    <row r="456" spans="1:22" x14ac:dyDescent="0.3">
      <c r="A456" t="str">
        <f t="shared" si="14"/>
        <v>SMTOPrevisão</v>
      </c>
      <c r="B456" t="str">
        <f t="shared" si="15"/>
        <v>SMTOPrevisãoSet-2023</v>
      </c>
      <c r="C456" t="s">
        <v>15</v>
      </c>
      <c r="D456" t="s">
        <v>16</v>
      </c>
      <c r="E456" t="s">
        <v>6</v>
      </c>
      <c r="F456" t="s">
        <v>736</v>
      </c>
      <c r="G456" t="s">
        <v>737</v>
      </c>
      <c r="H456" t="s">
        <v>738</v>
      </c>
      <c r="I456" t="s">
        <v>739</v>
      </c>
      <c r="J456" t="s">
        <v>739</v>
      </c>
      <c r="K456" s="2">
        <v>45199</v>
      </c>
      <c r="L456">
        <v>532443.55155737605</v>
      </c>
      <c r="M456">
        <v>21492137.074301701</v>
      </c>
      <c r="N456">
        <v>6676932.9267636603</v>
      </c>
      <c r="O456">
        <v>476440.75618349598</v>
      </c>
      <c r="P456">
        <v>-21492137.074301701</v>
      </c>
      <c r="Q456">
        <v>-3995482.4741707202</v>
      </c>
      <c r="R456">
        <v>207537.97138713399</v>
      </c>
      <c r="S456">
        <v>27902.801985693201</v>
      </c>
      <c r="T456">
        <v>1372863.5160117799</v>
      </c>
      <c r="U456">
        <v>6546608.3455128502</v>
      </c>
      <c r="V456">
        <v>2044967.12680021</v>
      </c>
    </row>
    <row r="457" spans="1:22" x14ac:dyDescent="0.3">
      <c r="A457" t="str">
        <f t="shared" si="14"/>
        <v>SMTOPrevisão</v>
      </c>
      <c r="B457" t="str">
        <f t="shared" si="15"/>
        <v>SMTOPrevisãoDez-2023</v>
      </c>
      <c r="C457" t="s">
        <v>15</v>
      </c>
      <c r="D457" t="s">
        <v>16</v>
      </c>
      <c r="E457" t="s">
        <v>6</v>
      </c>
      <c r="F457" t="s">
        <v>736</v>
      </c>
      <c r="G457" t="s">
        <v>737</v>
      </c>
      <c r="H457" t="s">
        <v>738</v>
      </c>
      <c r="I457" t="s">
        <v>739</v>
      </c>
      <c r="J457" t="s">
        <v>739</v>
      </c>
      <c r="K457" s="2">
        <v>45291</v>
      </c>
      <c r="L457">
        <v>573135.51755675999</v>
      </c>
      <c r="M457">
        <v>22805626.8559088</v>
      </c>
      <c r="N457">
        <v>7013354.0551501503</v>
      </c>
      <c r="O457">
        <v>507877.20075225498</v>
      </c>
      <c r="P457">
        <v>-22805626.8559088</v>
      </c>
      <c r="Q457">
        <v>-4349828.6047253301</v>
      </c>
      <c r="R457">
        <v>206652.67912198399</v>
      </c>
      <c r="S457">
        <v>26420.071968863202</v>
      </c>
      <c r="T457">
        <v>1398926.1235585201</v>
      </c>
      <c r="U457">
        <v>6892677.2816931903</v>
      </c>
      <c r="V457">
        <v>2181848.0668635699</v>
      </c>
    </row>
    <row r="458" spans="1:22" x14ac:dyDescent="0.3">
      <c r="A458" t="str">
        <f t="shared" si="14"/>
        <v>FRTAPrevisão</v>
      </c>
      <c r="B458" t="str">
        <f t="shared" si="15"/>
        <v>FRTAPrevisãoDez-2022</v>
      </c>
      <c r="C458" t="s">
        <v>19</v>
      </c>
      <c r="D458" t="s">
        <v>20</v>
      </c>
      <c r="E458" t="s">
        <v>6</v>
      </c>
      <c r="F458" t="s">
        <v>736</v>
      </c>
      <c r="G458" t="s">
        <v>737</v>
      </c>
      <c r="H458" t="s">
        <v>738</v>
      </c>
      <c r="I458" t="s">
        <v>739</v>
      </c>
      <c r="J458" t="s">
        <v>739</v>
      </c>
      <c r="K458" s="2">
        <v>44925</v>
      </c>
      <c r="L458">
        <v>132.01621254601301</v>
      </c>
      <c r="M458">
        <v>26473.1353874946</v>
      </c>
      <c r="N458">
        <v>1600.8472964965899</v>
      </c>
      <c r="O458">
        <v>234.426958661789</v>
      </c>
      <c r="P458">
        <v>-26473.1353874946</v>
      </c>
      <c r="Q458">
        <v>-79112.074866318304</v>
      </c>
      <c r="R458">
        <v>7525.5985060685798</v>
      </c>
      <c r="S458">
        <v>-276.11858076578301</v>
      </c>
      <c r="T458">
        <v>10.3529411764826</v>
      </c>
      <c r="U458">
        <v>-47581.981920022597</v>
      </c>
      <c r="V458">
        <v>-2645.9966047018902</v>
      </c>
    </row>
    <row r="459" spans="1:22" x14ac:dyDescent="0.3">
      <c r="A459" t="str">
        <f t="shared" si="14"/>
        <v>FRTAPrevisão</v>
      </c>
      <c r="B459" t="str">
        <f t="shared" si="15"/>
        <v>FRTAPrevisãoMar-2023</v>
      </c>
      <c r="C459" t="s">
        <v>19</v>
      </c>
      <c r="D459" t="s">
        <v>20</v>
      </c>
      <c r="E459" t="s">
        <v>6</v>
      </c>
      <c r="F459" t="s">
        <v>736</v>
      </c>
      <c r="G459" t="s">
        <v>737</v>
      </c>
      <c r="H459" t="s">
        <v>738</v>
      </c>
      <c r="I459" t="s">
        <v>739</v>
      </c>
      <c r="J459" t="s">
        <v>739</v>
      </c>
      <c r="K459" s="2">
        <v>45015</v>
      </c>
      <c r="L459">
        <v>110.35677235734499</v>
      </c>
      <c r="M459">
        <v>34417.274535047603</v>
      </c>
      <c r="N459">
        <v>2178.9319976997499</v>
      </c>
      <c r="O459">
        <v>198.644544467603</v>
      </c>
      <c r="P459">
        <v>-34417.274535047603</v>
      </c>
      <c r="Q459">
        <v>-81379.390236695399</v>
      </c>
      <c r="R459">
        <v>7349.4719257065399</v>
      </c>
      <c r="S459">
        <v>-395.86004491897199</v>
      </c>
      <c r="T459">
        <v>12.420849420864201</v>
      </c>
      <c r="U459">
        <v>-38182.0727327567</v>
      </c>
      <c r="V459">
        <v>-2925.5719286885101</v>
      </c>
    </row>
    <row r="460" spans="1:22" x14ac:dyDescent="0.3">
      <c r="A460" t="str">
        <f t="shared" si="14"/>
        <v>FRTAPrevisão</v>
      </c>
      <c r="B460" t="str">
        <f t="shared" si="15"/>
        <v>FRTAPrevisãoJun-2023</v>
      </c>
      <c r="C460" t="s">
        <v>19</v>
      </c>
      <c r="D460" t="s">
        <v>20</v>
      </c>
      <c r="E460" t="s">
        <v>6</v>
      </c>
      <c r="F460" t="s">
        <v>736</v>
      </c>
      <c r="G460" t="s">
        <v>737</v>
      </c>
      <c r="H460" t="s">
        <v>738</v>
      </c>
      <c r="I460" t="s">
        <v>739</v>
      </c>
      <c r="J460" t="s">
        <v>739</v>
      </c>
      <c r="K460" s="2">
        <v>45107</v>
      </c>
      <c r="L460">
        <v>63.495159951054099</v>
      </c>
      <c r="M460">
        <v>43780.433684912103</v>
      </c>
      <c r="N460">
        <v>2985.1652441351598</v>
      </c>
      <c r="O460">
        <v>165.8642210619</v>
      </c>
      <c r="P460">
        <v>-43780.433684912103</v>
      </c>
      <c r="Q460">
        <v>-83822.554545070496</v>
      </c>
      <c r="R460">
        <v>7111.4963548236701</v>
      </c>
      <c r="S460">
        <v>-520.07903037939298</v>
      </c>
      <c r="T460">
        <v>15.0083435935008</v>
      </c>
      <c r="U460">
        <v>-27161.662771949301</v>
      </c>
      <c r="V460">
        <v>-3126.8266803235001</v>
      </c>
    </row>
    <row r="461" spans="1:22" x14ac:dyDescent="0.3">
      <c r="A461" t="str">
        <f t="shared" si="14"/>
        <v>FRTAPrevisão</v>
      </c>
      <c r="B461" t="str">
        <f t="shared" si="15"/>
        <v>FRTAPrevisãoSet-2023</v>
      </c>
      <c r="C461" t="s">
        <v>19</v>
      </c>
      <c r="D461" t="s">
        <v>20</v>
      </c>
      <c r="E461" t="s">
        <v>6</v>
      </c>
      <c r="F461" t="s">
        <v>736</v>
      </c>
      <c r="G461" t="s">
        <v>737</v>
      </c>
      <c r="H461" t="s">
        <v>738</v>
      </c>
      <c r="I461" t="s">
        <v>739</v>
      </c>
      <c r="J461" t="s">
        <v>739</v>
      </c>
      <c r="K461" s="2">
        <v>45199</v>
      </c>
      <c r="L461">
        <v>-9.7982237538544705</v>
      </c>
      <c r="M461">
        <v>54627.191054266703</v>
      </c>
      <c r="N461">
        <v>4030.9231190024502</v>
      </c>
      <c r="O461">
        <v>135.57566147303999</v>
      </c>
      <c r="P461">
        <v>-54627.191054266703</v>
      </c>
      <c r="Q461">
        <v>-86450.059181207398</v>
      </c>
      <c r="R461">
        <v>6807.8988151547201</v>
      </c>
      <c r="S461">
        <v>-648.66860621039598</v>
      </c>
      <c r="T461">
        <v>18.1456689908916</v>
      </c>
      <c r="U461">
        <v>-14443.526840852101</v>
      </c>
      <c r="V461">
        <v>-3243.11107253606</v>
      </c>
    </row>
    <row r="462" spans="1:22" x14ac:dyDescent="0.3">
      <c r="A462" t="str">
        <f t="shared" si="14"/>
        <v>NUTRPrevisão</v>
      </c>
      <c r="B462" t="str">
        <f t="shared" si="15"/>
        <v>NUTRPrevisãoDez-2022</v>
      </c>
      <c r="C462" t="s">
        <v>13</v>
      </c>
      <c r="D462" t="s">
        <v>14</v>
      </c>
      <c r="E462" t="s">
        <v>6</v>
      </c>
      <c r="F462" t="s">
        <v>736</v>
      </c>
      <c r="G462" t="s">
        <v>737</v>
      </c>
      <c r="H462" t="s">
        <v>738</v>
      </c>
      <c r="I462" t="s">
        <v>739</v>
      </c>
      <c r="J462" t="s">
        <v>739</v>
      </c>
      <c r="K462" s="2">
        <v>44925</v>
      </c>
      <c r="L462">
        <v>4252.1960784307103</v>
      </c>
      <c r="M462">
        <v>123425.970970282</v>
      </c>
      <c r="N462">
        <v>68311.540786009995</v>
      </c>
      <c r="O462">
        <v>17782.5586113319</v>
      </c>
      <c r="P462">
        <v>-123425.970970282</v>
      </c>
      <c r="Q462">
        <v>-27694.525507177699</v>
      </c>
      <c r="R462">
        <v>2062.6411170533402</v>
      </c>
      <c r="S462">
        <v>2862.0786860195099</v>
      </c>
      <c r="T462">
        <v>570.42627960283198</v>
      </c>
      <c r="U462">
        <v>63793.919446590997</v>
      </c>
      <c r="V462">
        <v>55161.240641708799</v>
      </c>
    </row>
    <row r="463" spans="1:22" x14ac:dyDescent="0.3">
      <c r="A463" t="str">
        <f t="shared" si="14"/>
        <v>NUTRPrevisão</v>
      </c>
      <c r="B463" t="str">
        <f t="shared" si="15"/>
        <v>NUTRPrevisãoMar-2023</v>
      </c>
      <c r="C463" t="s">
        <v>13</v>
      </c>
      <c r="D463" t="s">
        <v>14</v>
      </c>
      <c r="E463" t="s">
        <v>6</v>
      </c>
      <c r="F463" t="s">
        <v>736</v>
      </c>
      <c r="G463" t="s">
        <v>737</v>
      </c>
      <c r="H463" t="s">
        <v>738</v>
      </c>
      <c r="I463" t="s">
        <v>739</v>
      </c>
      <c r="J463" t="s">
        <v>739</v>
      </c>
      <c r="K463" s="2">
        <v>45015</v>
      </c>
      <c r="L463">
        <v>5081.9850102193795</v>
      </c>
      <c r="M463">
        <v>138051.42896381</v>
      </c>
      <c r="N463">
        <v>74927.047541046806</v>
      </c>
      <c r="O463">
        <v>20598.681488985902</v>
      </c>
      <c r="P463">
        <v>-138051.42896381</v>
      </c>
      <c r="Q463">
        <v>-29432.006336365801</v>
      </c>
      <c r="R463">
        <v>1936.4771792424799</v>
      </c>
      <c r="S463">
        <v>3178.8739839912901</v>
      </c>
      <c r="T463">
        <v>669.88999236068105</v>
      </c>
      <c r="U463">
        <v>79869.373524049501</v>
      </c>
      <c r="V463">
        <v>61324.490540194201</v>
      </c>
    </row>
    <row r="464" spans="1:22" x14ac:dyDescent="0.3">
      <c r="A464" t="str">
        <f t="shared" si="14"/>
        <v>NUTRPrevisão</v>
      </c>
      <c r="B464" t="str">
        <f t="shared" si="15"/>
        <v>NUTRPrevisãoJun-2023</v>
      </c>
      <c r="C464" t="s">
        <v>13</v>
      </c>
      <c r="D464" t="s">
        <v>14</v>
      </c>
      <c r="E464" t="s">
        <v>6</v>
      </c>
      <c r="F464" t="s">
        <v>736</v>
      </c>
      <c r="G464" t="s">
        <v>737</v>
      </c>
      <c r="H464" t="s">
        <v>738</v>
      </c>
      <c r="I464" t="s">
        <v>739</v>
      </c>
      <c r="J464" t="s">
        <v>739</v>
      </c>
      <c r="K464" s="2">
        <v>45107</v>
      </c>
      <c r="L464">
        <v>5976.8124763406604</v>
      </c>
      <c r="M464">
        <v>154371.36480175401</v>
      </c>
      <c r="N464">
        <v>82120.952628234503</v>
      </c>
      <c r="O464">
        <v>23835.407140376101</v>
      </c>
      <c r="P464">
        <v>-154371.36480175401</v>
      </c>
      <c r="Q464">
        <v>-31422.379177706101</v>
      </c>
      <c r="R464">
        <v>1796.8158587206301</v>
      </c>
      <c r="S464">
        <v>3525.5153188648501</v>
      </c>
      <c r="T464">
        <v>779.00859135855796</v>
      </c>
      <c r="U464">
        <v>97827.519989365101</v>
      </c>
      <c r="V464">
        <v>67989.798470375506</v>
      </c>
    </row>
    <row r="465" spans="1:22" x14ac:dyDescent="0.3">
      <c r="A465" t="str">
        <f t="shared" si="14"/>
        <v>NUTRPrevisão</v>
      </c>
      <c r="B465" t="str">
        <f t="shared" si="15"/>
        <v>NUTRPrevisãoSet-2023</v>
      </c>
      <c r="C465" t="s">
        <v>13</v>
      </c>
      <c r="D465" t="s">
        <v>14</v>
      </c>
      <c r="E465" t="s">
        <v>6</v>
      </c>
      <c r="F465" t="s">
        <v>736</v>
      </c>
      <c r="G465" t="s">
        <v>737</v>
      </c>
      <c r="H465" t="s">
        <v>738</v>
      </c>
      <c r="I465" t="s">
        <v>739</v>
      </c>
      <c r="J465" t="s">
        <v>739</v>
      </c>
      <c r="K465" s="2">
        <v>45199</v>
      </c>
      <c r="L465">
        <v>6938.7774021071</v>
      </c>
      <c r="M465">
        <v>172466.877376855</v>
      </c>
      <c r="N465">
        <v>89917.869490564</v>
      </c>
      <c r="O465">
        <v>27515.278711150699</v>
      </c>
      <c r="P465">
        <v>-172466.877376855</v>
      </c>
      <c r="Q465">
        <v>-33678.953032919402</v>
      </c>
      <c r="R465">
        <v>1643.37390473395</v>
      </c>
      <c r="S465">
        <v>3903.3426419058301</v>
      </c>
      <c r="T465">
        <v>898.194000265353</v>
      </c>
      <c r="U465">
        <v>117755.342753595</v>
      </c>
      <c r="V465">
        <v>75176.651621297104</v>
      </c>
    </row>
    <row r="466" spans="1:22" x14ac:dyDescent="0.3">
      <c r="A466" t="str">
        <f t="shared" si="14"/>
        <v>JALLPrevisão</v>
      </c>
      <c r="B466" t="str">
        <f t="shared" si="15"/>
        <v>JALLPrevisãoMar-2023</v>
      </c>
      <c r="C466" t="s">
        <v>11</v>
      </c>
      <c r="D466" t="s">
        <v>12</v>
      </c>
      <c r="E466" t="s">
        <v>6</v>
      </c>
      <c r="F466" t="s">
        <v>736</v>
      </c>
      <c r="G466" t="s">
        <v>737</v>
      </c>
      <c r="H466" t="s">
        <v>738</v>
      </c>
      <c r="I466" t="s">
        <v>739</v>
      </c>
      <c r="J466" t="s">
        <v>739</v>
      </c>
      <c r="K466" s="2">
        <v>45016</v>
      </c>
      <c r="L466">
        <v>723383.81746030797</v>
      </c>
      <c r="M466">
        <v>6352391.6428571399</v>
      </c>
      <c r="N466">
        <v>1633647.9603174599</v>
      </c>
      <c r="O466">
        <v>84210.063492064495</v>
      </c>
      <c r="P466">
        <v>-6352391.6428571399</v>
      </c>
      <c r="Q466">
        <v>-575992.83333333395</v>
      </c>
      <c r="R466">
        <v>19204.095238095499</v>
      </c>
      <c r="S466">
        <v>4380.9682539683399</v>
      </c>
      <c r="T466">
        <v>545954.00000000198</v>
      </c>
      <c r="U466">
        <v>2370064.84126984</v>
      </c>
      <c r="V466">
        <v>314946.76190476399</v>
      </c>
    </row>
    <row r="467" spans="1:22" x14ac:dyDescent="0.3">
      <c r="A467" t="str">
        <f t="shared" si="14"/>
        <v>JALLPrevisão</v>
      </c>
      <c r="B467" t="str">
        <f t="shared" si="15"/>
        <v>JALLPrevisãoJun-2023</v>
      </c>
      <c r="C467" t="s">
        <v>11</v>
      </c>
      <c r="D467" t="s">
        <v>12</v>
      </c>
      <c r="E467" t="s">
        <v>6</v>
      </c>
      <c r="F467" t="s">
        <v>736</v>
      </c>
      <c r="G467" t="s">
        <v>737</v>
      </c>
      <c r="H467" t="s">
        <v>738</v>
      </c>
      <c r="I467" t="s">
        <v>739</v>
      </c>
      <c r="J467" t="s">
        <v>739</v>
      </c>
      <c r="K467" s="2">
        <v>45107</v>
      </c>
      <c r="L467">
        <v>1148519.34126982</v>
      </c>
      <c r="M467">
        <v>6971085.7619047696</v>
      </c>
      <c r="N467">
        <v>1012456.6031746001</v>
      </c>
      <c r="O467">
        <v>102699.80158730299</v>
      </c>
      <c r="P467">
        <v>-6971085.7619047696</v>
      </c>
      <c r="Q467">
        <v>-430404.50000000099</v>
      </c>
      <c r="R467">
        <v>3455.1190476196098</v>
      </c>
      <c r="S467">
        <v>-3866.15079365064</v>
      </c>
      <c r="T467">
        <v>527963.50000000396</v>
      </c>
      <c r="U467">
        <v>2737359.5793650802</v>
      </c>
      <c r="V467">
        <v>200019.28571428999</v>
      </c>
    </row>
    <row r="468" spans="1:22" x14ac:dyDescent="0.3">
      <c r="A468" t="str">
        <f t="shared" si="14"/>
        <v>JALLPrevisão</v>
      </c>
      <c r="B468" t="str">
        <f t="shared" si="15"/>
        <v>JALLPrevisãoSet-2023</v>
      </c>
      <c r="C468" t="s">
        <v>11</v>
      </c>
      <c r="D468" t="s">
        <v>12</v>
      </c>
      <c r="E468" t="s">
        <v>6</v>
      </c>
      <c r="F468" t="s">
        <v>736</v>
      </c>
      <c r="G468" t="s">
        <v>737</v>
      </c>
      <c r="H468" t="s">
        <v>738</v>
      </c>
      <c r="I468" t="s">
        <v>739</v>
      </c>
      <c r="J468" t="s">
        <v>739</v>
      </c>
      <c r="K468" s="2">
        <v>45199</v>
      </c>
      <c r="L468">
        <v>1723267.1724386499</v>
      </c>
      <c r="M468">
        <v>7595464.5692640804</v>
      </c>
      <c r="N468">
        <v>103703.968975478</v>
      </c>
      <c r="O468">
        <v>125861.946608949</v>
      </c>
      <c r="P468">
        <v>-7595464.5692640804</v>
      </c>
      <c r="Q468">
        <v>-230848.136363639</v>
      </c>
      <c r="R468">
        <v>-19756.534632033701</v>
      </c>
      <c r="S468">
        <v>-15289.3066378064</v>
      </c>
      <c r="T468">
        <v>454429.90909091599</v>
      </c>
      <c r="U468">
        <v>3162640.9516594498</v>
      </c>
      <c r="V468">
        <v>34483.207792214402</v>
      </c>
    </row>
    <row r="469" spans="1:22" x14ac:dyDescent="0.3">
      <c r="A469" t="str">
        <f t="shared" si="14"/>
        <v>JALLPrevisão</v>
      </c>
      <c r="B469" t="str">
        <f t="shared" si="15"/>
        <v>JALLPrevisãoDez-2023</v>
      </c>
      <c r="C469" t="s">
        <v>11</v>
      </c>
      <c r="D469" t="s">
        <v>12</v>
      </c>
      <c r="E469" t="s">
        <v>6</v>
      </c>
      <c r="F469" t="s">
        <v>736</v>
      </c>
      <c r="G469" t="s">
        <v>737</v>
      </c>
      <c r="H469" t="s">
        <v>738</v>
      </c>
      <c r="I469" t="s">
        <v>739</v>
      </c>
      <c r="J469" t="s">
        <v>739</v>
      </c>
      <c r="K469" s="2">
        <v>45291</v>
      </c>
      <c r="L469">
        <v>2469734.1948051602</v>
      </c>
      <c r="M469">
        <v>8214565.4891775101</v>
      </c>
      <c r="N469">
        <v>-1133939.1948051699</v>
      </c>
      <c r="O469">
        <v>153952.49350649701</v>
      </c>
      <c r="P469">
        <v>-8214565.4891775101</v>
      </c>
      <c r="Q469">
        <v>30122.6363636315</v>
      </c>
      <c r="R469">
        <v>-51674.623376621901</v>
      </c>
      <c r="S469">
        <v>-30364.4285714283</v>
      </c>
      <c r="T469">
        <v>314485.27272728202</v>
      </c>
      <c r="U469">
        <v>3653027.7965367902</v>
      </c>
      <c r="V469">
        <v>-188662.80519479499</v>
      </c>
    </row>
    <row r="470" spans="1:22" x14ac:dyDescent="0.3">
      <c r="A470" t="str">
        <f t="shared" si="14"/>
        <v>CTCAPrevisão</v>
      </c>
      <c r="B470" t="str">
        <f t="shared" si="15"/>
        <v>CTCAPrevisãoMar-2023</v>
      </c>
      <c r="C470" t="s">
        <v>9</v>
      </c>
      <c r="D470" t="s">
        <v>10</v>
      </c>
      <c r="E470" t="s">
        <v>6</v>
      </c>
      <c r="F470" t="s">
        <v>736</v>
      </c>
      <c r="G470" t="s">
        <v>737</v>
      </c>
      <c r="H470" t="s">
        <v>738</v>
      </c>
      <c r="I470" t="s">
        <v>739</v>
      </c>
      <c r="J470" t="s">
        <v>739</v>
      </c>
      <c r="K470" s="2">
        <v>45016</v>
      </c>
      <c r="L470">
        <v>29545.494569758299</v>
      </c>
      <c r="M470">
        <v>1087944.8964076701</v>
      </c>
      <c r="N470">
        <v>439419.47368423501</v>
      </c>
      <c r="O470">
        <v>106981.97994988201</v>
      </c>
      <c r="P470">
        <v>-1087944.8964076701</v>
      </c>
      <c r="Q470">
        <v>-113632.700083542</v>
      </c>
      <c r="R470">
        <v>32902.822890559502</v>
      </c>
      <c r="S470">
        <v>4307.07017543857</v>
      </c>
      <c r="T470">
        <v>297321.61403508601</v>
      </c>
      <c r="U470">
        <v>949106.40935672901</v>
      </c>
      <c r="V470">
        <v>98798.199665831198</v>
      </c>
    </row>
    <row r="471" spans="1:22" x14ac:dyDescent="0.3">
      <c r="A471" t="str">
        <f t="shared" si="14"/>
        <v>CTCAPrevisão</v>
      </c>
      <c r="B471" t="str">
        <f t="shared" si="15"/>
        <v>CTCAPrevisãoJun-2023</v>
      </c>
      <c r="C471" t="s">
        <v>9</v>
      </c>
      <c r="D471" t="s">
        <v>10</v>
      </c>
      <c r="E471" t="s">
        <v>6</v>
      </c>
      <c r="F471" t="s">
        <v>736</v>
      </c>
      <c r="G471" t="s">
        <v>737</v>
      </c>
      <c r="H471" t="s">
        <v>738</v>
      </c>
      <c r="I471" t="s">
        <v>739</v>
      </c>
      <c r="J471" t="s">
        <v>739</v>
      </c>
      <c r="K471" s="2">
        <v>45107</v>
      </c>
      <c r="L471">
        <v>27042.946836789699</v>
      </c>
      <c r="M471">
        <v>1154278.3245234101</v>
      </c>
      <c r="N471">
        <v>428646.52426523803</v>
      </c>
      <c r="O471">
        <v>113833.746183649</v>
      </c>
      <c r="P471">
        <v>-1154278.3245234101</v>
      </c>
      <c r="Q471">
        <v>-111461.109971899</v>
      </c>
      <c r="R471">
        <v>34465.724234829198</v>
      </c>
      <c r="S471">
        <v>3296.9532923216898</v>
      </c>
      <c r="T471">
        <v>348674.722032352</v>
      </c>
      <c r="U471">
        <v>1023885.70441255</v>
      </c>
      <c r="V471">
        <v>94824.424774056301</v>
      </c>
    </row>
    <row r="472" spans="1:22" x14ac:dyDescent="0.3">
      <c r="A472" t="str">
        <f t="shared" si="14"/>
        <v>CTCAPrevisão</v>
      </c>
      <c r="B472" t="str">
        <f t="shared" si="15"/>
        <v>CTCAPrevisãoSet-2023</v>
      </c>
      <c r="C472" t="s">
        <v>9</v>
      </c>
      <c r="D472" t="s">
        <v>10</v>
      </c>
      <c r="E472" t="s">
        <v>6</v>
      </c>
      <c r="F472" t="s">
        <v>736</v>
      </c>
      <c r="G472" t="s">
        <v>737</v>
      </c>
      <c r="H472" t="s">
        <v>738</v>
      </c>
      <c r="I472" t="s">
        <v>739</v>
      </c>
      <c r="J472" t="s">
        <v>739</v>
      </c>
      <c r="K472" s="2">
        <v>45199</v>
      </c>
      <c r="L472">
        <v>23562.330939338699</v>
      </c>
      <c r="M472">
        <v>1230954.4108954601</v>
      </c>
      <c r="N472">
        <v>410271.08668908902</v>
      </c>
      <c r="O472">
        <v>122325.514973214</v>
      </c>
      <c r="P472">
        <v>-1230954.4108954601</v>
      </c>
      <c r="Q472">
        <v>-108497.62278555401</v>
      </c>
      <c r="R472">
        <v>36126.231758579299</v>
      </c>
      <c r="S472">
        <v>2016.81221829273</v>
      </c>
      <c r="T472">
        <v>405425.848752313</v>
      </c>
      <c r="U472">
        <v>1109460.746603</v>
      </c>
      <c r="V472">
        <v>89019.178119871402</v>
      </c>
    </row>
    <row r="473" spans="1:22" x14ac:dyDescent="0.3">
      <c r="A473" t="str">
        <f t="shared" si="14"/>
        <v>CTCAPrevisão</v>
      </c>
      <c r="B473" t="str">
        <f t="shared" si="15"/>
        <v>CTCAPrevisãoDez-2023</v>
      </c>
      <c r="C473" t="s">
        <v>9</v>
      </c>
      <c r="D473" t="s">
        <v>10</v>
      </c>
      <c r="E473" t="s">
        <v>6</v>
      </c>
      <c r="F473" t="s">
        <v>736</v>
      </c>
      <c r="G473" t="s">
        <v>737</v>
      </c>
      <c r="H473" t="s">
        <v>738</v>
      </c>
      <c r="I473" t="s">
        <v>739</v>
      </c>
      <c r="J473" t="s">
        <v>739</v>
      </c>
      <c r="K473" s="2">
        <v>45291</v>
      </c>
      <c r="L473">
        <v>19019.118851147301</v>
      </c>
      <c r="M473">
        <v>1318750.8336437</v>
      </c>
      <c r="N473">
        <v>383502.740735278</v>
      </c>
      <c r="O473">
        <v>132620.26797726701</v>
      </c>
      <c r="P473">
        <v>-1318750.8336437</v>
      </c>
      <c r="Q473">
        <v>-104683.911524529</v>
      </c>
      <c r="R473">
        <v>37888.209814720904</v>
      </c>
      <c r="S473">
        <v>444.71015978678003</v>
      </c>
      <c r="T473">
        <v>467836.12143996102</v>
      </c>
      <c r="U473">
        <v>1206640.3113482001</v>
      </c>
      <c r="V473">
        <v>81235.1430932402</v>
      </c>
    </row>
    <row r="474" spans="1:22" x14ac:dyDescent="0.3">
      <c r="A474" t="str">
        <f t="shared" si="14"/>
        <v>CSANPrevisão</v>
      </c>
      <c r="B474" t="str">
        <f t="shared" si="15"/>
        <v>CSANPrevisãoDez-2022</v>
      </c>
      <c r="C474" t="s">
        <v>7</v>
      </c>
      <c r="D474" t="s">
        <v>8</v>
      </c>
      <c r="E474" t="s">
        <v>6</v>
      </c>
      <c r="F474" t="s">
        <v>736</v>
      </c>
      <c r="G474" t="s">
        <v>737</v>
      </c>
      <c r="H474" t="s">
        <v>738</v>
      </c>
      <c r="I474" t="s">
        <v>739</v>
      </c>
      <c r="J474" t="s">
        <v>739</v>
      </c>
      <c r="K474" s="2">
        <v>44925</v>
      </c>
      <c r="L474">
        <v>448256.26235680602</v>
      </c>
      <c r="M474">
        <v>43700235.352770403</v>
      </c>
      <c r="N474">
        <v>3514389.6307678898</v>
      </c>
      <c r="O474">
        <v>33709.7204163481</v>
      </c>
      <c r="P474">
        <v>-43700235.352770403</v>
      </c>
      <c r="Q474">
        <v>-6108830.17564952</v>
      </c>
      <c r="R474">
        <v>2121.4517188673599</v>
      </c>
      <c r="S474">
        <v>140748.91195571801</v>
      </c>
      <c r="T474">
        <v>10056900.5840133</v>
      </c>
      <c r="U474">
        <v>17530240.479104999</v>
      </c>
      <c r="V474">
        <v>1450759.1292018101</v>
      </c>
    </row>
    <row r="475" spans="1:22" x14ac:dyDescent="0.3">
      <c r="A475" t="str">
        <f t="shared" si="14"/>
        <v>CSANPrevisão</v>
      </c>
      <c r="B475" t="str">
        <f t="shared" si="15"/>
        <v>CSANPrevisãoMar-2023</v>
      </c>
      <c r="C475" t="s">
        <v>7</v>
      </c>
      <c r="D475" t="s">
        <v>8</v>
      </c>
      <c r="E475" t="s">
        <v>6</v>
      </c>
      <c r="F475" t="s">
        <v>736</v>
      </c>
      <c r="G475" t="s">
        <v>737</v>
      </c>
      <c r="H475" t="s">
        <v>738</v>
      </c>
      <c r="I475" t="s">
        <v>739</v>
      </c>
      <c r="J475" t="s">
        <v>739</v>
      </c>
      <c r="K475" s="2">
        <v>45015</v>
      </c>
      <c r="L475">
        <v>349837.16116636101</v>
      </c>
      <c r="M475">
        <v>48080914.826255299</v>
      </c>
      <c r="N475">
        <v>3591274.64779745</v>
      </c>
      <c r="O475">
        <v>46870.505143874798</v>
      </c>
      <c r="P475">
        <v>-48080914.826255299</v>
      </c>
      <c r="Q475">
        <v>-7189765.8846194698</v>
      </c>
      <c r="R475">
        <v>2806.6604023405198</v>
      </c>
      <c r="S475">
        <v>139810.574993663</v>
      </c>
      <c r="T475">
        <v>10833427.618613301</v>
      </c>
      <c r="U475">
        <v>18897406.0484326</v>
      </c>
      <c r="V475">
        <v>1597820.0737205399</v>
      </c>
    </row>
    <row r="476" spans="1:22" x14ac:dyDescent="0.3">
      <c r="A476" t="str">
        <f t="shared" si="14"/>
        <v>CSANPrevisão</v>
      </c>
      <c r="B476" t="str">
        <f t="shared" si="15"/>
        <v>CSANPrevisãoJun-2023</v>
      </c>
      <c r="C476" t="s">
        <v>7</v>
      </c>
      <c r="D476" t="s">
        <v>8</v>
      </c>
      <c r="E476" t="s">
        <v>6</v>
      </c>
      <c r="F476" t="s">
        <v>736</v>
      </c>
      <c r="G476" t="s">
        <v>737</v>
      </c>
      <c r="H476" t="s">
        <v>738</v>
      </c>
      <c r="I476" t="s">
        <v>739</v>
      </c>
      <c r="J476" t="s">
        <v>739</v>
      </c>
      <c r="K476" s="2">
        <v>45107</v>
      </c>
      <c r="L476">
        <v>230087.59292607399</v>
      </c>
      <c r="M476">
        <v>52886338.375940897</v>
      </c>
      <c r="N476">
        <v>3658204.0876336</v>
      </c>
      <c r="O476">
        <v>61938.6956699617</v>
      </c>
      <c r="P476">
        <v>-52886338.375940897</v>
      </c>
      <c r="Q476">
        <v>-8391287.3189669196</v>
      </c>
      <c r="R476">
        <v>3562.2665524170002</v>
      </c>
      <c r="S476">
        <v>137935.72149501901</v>
      </c>
      <c r="T476">
        <v>11680735.3077765</v>
      </c>
      <c r="U476">
        <v>20395055.6466919</v>
      </c>
      <c r="V476">
        <v>1756002.7793431</v>
      </c>
    </row>
    <row r="477" spans="1:22" x14ac:dyDescent="0.3">
      <c r="A477" t="str">
        <f t="shared" si="14"/>
        <v>CSANPrevisão</v>
      </c>
      <c r="B477" t="str">
        <f t="shared" si="15"/>
        <v>CSANPrevisãoSet-2023</v>
      </c>
      <c r="C477" t="s">
        <v>7</v>
      </c>
      <c r="D477" t="s">
        <v>8</v>
      </c>
      <c r="E477" t="s">
        <v>6</v>
      </c>
      <c r="F477" t="s">
        <v>736</v>
      </c>
      <c r="G477" t="s">
        <v>737</v>
      </c>
      <c r="H477" t="s">
        <v>738</v>
      </c>
      <c r="I477" t="s">
        <v>739</v>
      </c>
      <c r="J477" t="s">
        <v>739</v>
      </c>
      <c r="K477" s="2">
        <v>45199</v>
      </c>
      <c r="L477">
        <v>87647.661164436693</v>
      </c>
      <c r="M477">
        <v>58135308.523064397</v>
      </c>
      <c r="N477">
        <v>3714389.5918065999</v>
      </c>
      <c r="O477">
        <v>79011.294065881899</v>
      </c>
      <c r="P477">
        <v>-58135308.523064397</v>
      </c>
      <c r="Q477">
        <v>-9719163.6708435994</v>
      </c>
      <c r="R477">
        <v>4389.4892391378598</v>
      </c>
      <c r="S477">
        <v>135061.520405327</v>
      </c>
      <c r="T477">
        <v>12602145.575781099</v>
      </c>
      <c r="U477">
        <v>22028767.217686899</v>
      </c>
      <c r="V477">
        <v>1925717.1839987901</v>
      </c>
    </row>
    <row r="478" spans="1:22" x14ac:dyDescent="0.3">
      <c r="A478" t="str">
        <f t="shared" si="14"/>
        <v>AGROPrevisão</v>
      </c>
      <c r="B478" t="str">
        <f t="shared" si="15"/>
        <v>AGROPrevisãoMar-2023</v>
      </c>
      <c r="C478" t="s">
        <v>4</v>
      </c>
      <c r="D478" t="s">
        <v>5</v>
      </c>
      <c r="E478" t="s">
        <v>6</v>
      </c>
      <c r="F478" t="s">
        <v>736</v>
      </c>
      <c r="G478" t="s">
        <v>737</v>
      </c>
      <c r="H478" t="s">
        <v>738</v>
      </c>
      <c r="I478" t="s">
        <v>739</v>
      </c>
      <c r="J478" t="s">
        <v>739</v>
      </c>
      <c r="K478" s="2">
        <v>45016</v>
      </c>
      <c r="L478">
        <v>83471.482161947395</v>
      </c>
      <c r="M478">
        <v>3933473.8818372702</v>
      </c>
      <c r="N478">
        <v>1232764.4525019201</v>
      </c>
      <c r="O478">
        <v>208942.66441942099</v>
      </c>
      <c r="P478">
        <v>-3933473.8818372702</v>
      </c>
      <c r="Q478">
        <v>-460696.071619528</v>
      </c>
      <c r="R478">
        <v>11357.8051948021</v>
      </c>
      <c r="S478">
        <v>388.96210847964699</v>
      </c>
      <c r="T478">
        <v>587452.95324677299</v>
      </c>
      <c r="U478">
        <v>2834233.6620129002</v>
      </c>
      <c r="V478">
        <v>235994.17862873999</v>
      </c>
    </row>
    <row r="479" spans="1:22" x14ac:dyDescent="0.3">
      <c r="A479" t="str">
        <f t="shared" si="14"/>
        <v>AGROPrevisão</v>
      </c>
      <c r="B479" t="str">
        <f t="shared" si="15"/>
        <v>AGROPrevisãoJun-2023</v>
      </c>
      <c r="C479" t="s">
        <v>4</v>
      </c>
      <c r="D479" t="s">
        <v>5</v>
      </c>
      <c r="E479" t="s">
        <v>6</v>
      </c>
      <c r="F479" t="s">
        <v>736</v>
      </c>
      <c r="G479" t="s">
        <v>737</v>
      </c>
      <c r="H479" t="s">
        <v>738</v>
      </c>
      <c r="I479" t="s">
        <v>739</v>
      </c>
      <c r="J479" t="s">
        <v>739</v>
      </c>
      <c r="K479" s="2">
        <v>45107</v>
      </c>
      <c r="L479">
        <v>82619.924166021199</v>
      </c>
      <c r="M479">
        <v>4270326.1879551699</v>
      </c>
      <c r="N479">
        <v>1350580.2477973099</v>
      </c>
      <c r="O479">
        <v>216974.774713541</v>
      </c>
      <c r="P479">
        <v>-4270326.1879551699</v>
      </c>
      <c r="Q479">
        <v>-489243.64858667599</v>
      </c>
      <c r="R479">
        <v>11926.389101091499</v>
      </c>
      <c r="S479">
        <v>579.66238859166697</v>
      </c>
      <c r="T479">
        <v>626332.68153809197</v>
      </c>
      <c r="U479">
        <v>3099368.2903232998</v>
      </c>
      <c r="V479">
        <v>251769.46984977601</v>
      </c>
    </row>
    <row r="480" spans="1:22" x14ac:dyDescent="0.3">
      <c r="A480" t="str">
        <f t="shared" si="14"/>
        <v>AGROPrevisão</v>
      </c>
      <c r="B480" t="str">
        <f t="shared" si="15"/>
        <v>AGROPrevisãoSet-2023</v>
      </c>
      <c r="C480" t="s">
        <v>4</v>
      </c>
      <c r="D480" t="s">
        <v>5</v>
      </c>
      <c r="E480" t="s">
        <v>6</v>
      </c>
      <c r="F480" t="s">
        <v>736</v>
      </c>
      <c r="G480" t="s">
        <v>737</v>
      </c>
      <c r="H480" t="s">
        <v>738</v>
      </c>
      <c r="I480" t="s">
        <v>739</v>
      </c>
      <c r="J480" t="s">
        <v>739</v>
      </c>
      <c r="K480" s="2">
        <v>45199</v>
      </c>
      <c r="L480">
        <v>80949.930893527198</v>
      </c>
      <c r="M480">
        <v>4629226.9220431503</v>
      </c>
      <c r="N480">
        <v>1476052.3967470699</v>
      </c>
      <c r="O480">
        <v>224605.08014751101</v>
      </c>
      <c r="P480">
        <v>-4629226.9220431503</v>
      </c>
      <c r="Q480">
        <v>-518710.90745631303</v>
      </c>
      <c r="R480">
        <v>12546.260628080299</v>
      </c>
      <c r="S480">
        <v>803.29087880836801</v>
      </c>
      <c r="T480">
        <v>666359.87565505295</v>
      </c>
      <c r="U480">
        <v>3384799.4438601299</v>
      </c>
      <c r="V480">
        <v>267963.526651614</v>
      </c>
    </row>
    <row r="481" spans="1:22" x14ac:dyDescent="0.3">
      <c r="A481" t="str">
        <f t="shared" si="14"/>
        <v>AGROPrevisão</v>
      </c>
      <c r="B481" t="str">
        <f t="shared" si="15"/>
        <v>AGROPrevisãoDez-2023</v>
      </c>
      <c r="C481" t="s">
        <v>4</v>
      </c>
      <c r="D481" t="s">
        <v>5</v>
      </c>
      <c r="E481" t="s">
        <v>6</v>
      </c>
      <c r="F481" t="s">
        <v>736</v>
      </c>
      <c r="G481" t="s">
        <v>737</v>
      </c>
      <c r="H481" t="s">
        <v>738</v>
      </c>
      <c r="I481" t="s">
        <v>739</v>
      </c>
      <c r="J481" t="s">
        <v>739</v>
      </c>
      <c r="K481" s="2">
        <v>45291</v>
      </c>
      <c r="L481">
        <v>78407.657737193105</v>
      </c>
      <c r="M481">
        <v>5010857.5870523397</v>
      </c>
      <c r="N481">
        <v>1609401.71727025</v>
      </c>
      <c r="O481">
        <v>231787.21183974799</v>
      </c>
      <c r="P481">
        <v>-5010857.5870523397</v>
      </c>
      <c r="Q481">
        <v>-549089.86119870201</v>
      </c>
      <c r="R481">
        <v>13220.1873722419</v>
      </c>
      <c r="S481">
        <v>1061.63229348103</v>
      </c>
      <c r="T481">
        <v>707526.30179701198</v>
      </c>
      <c r="U481">
        <v>3691273.54361295</v>
      </c>
      <c r="V481">
        <v>284563.86164477601</v>
      </c>
    </row>
    <row r="482" spans="1:22" x14ac:dyDescent="0.3">
      <c r="A482" t="str">
        <f t="shared" si="14"/>
        <v>TAEEPrevisão</v>
      </c>
      <c r="B482" t="str">
        <f t="shared" si="15"/>
        <v>TAEEPrevisãoDez-2022</v>
      </c>
      <c r="C482" t="s">
        <v>303</v>
      </c>
      <c r="D482" t="s">
        <v>304</v>
      </c>
      <c r="E482" t="s">
        <v>294</v>
      </c>
      <c r="F482" t="s">
        <v>736</v>
      </c>
      <c r="G482" t="s">
        <v>737</v>
      </c>
      <c r="H482" t="s">
        <v>738</v>
      </c>
      <c r="I482" t="s">
        <v>739</v>
      </c>
      <c r="J482" t="s">
        <v>739</v>
      </c>
      <c r="K482" s="2">
        <v>44925</v>
      </c>
      <c r="L482">
        <v>649708.73228074599</v>
      </c>
      <c r="M482">
        <v>18935167.118238602</v>
      </c>
      <c r="N482">
        <v>3151240.99711387</v>
      </c>
      <c r="O482">
        <v>187786.686019841</v>
      </c>
      <c r="P482">
        <v>-18935167.118238602</v>
      </c>
      <c r="Q482">
        <v>-1373862.9025548301</v>
      </c>
      <c r="R482">
        <v>0</v>
      </c>
      <c r="S482">
        <v>13170.3749257217</v>
      </c>
      <c r="T482">
        <v>3059854.36720163</v>
      </c>
      <c r="U482">
        <v>8330610.37127533</v>
      </c>
      <c r="V482">
        <v>590620.83065937797</v>
      </c>
    </row>
    <row r="483" spans="1:22" x14ac:dyDescent="0.3">
      <c r="A483" t="str">
        <f t="shared" si="14"/>
        <v>TAEEPrevisão</v>
      </c>
      <c r="B483" t="str">
        <f t="shared" si="15"/>
        <v>TAEEPrevisãoMar-2023</v>
      </c>
      <c r="C483" t="s">
        <v>303</v>
      </c>
      <c r="D483" t="s">
        <v>304</v>
      </c>
      <c r="E483" t="s">
        <v>294</v>
      </c>
      <c r="F483" t="s">
        <v>736</v>
      </c>
      <c r="G483" t="s">
        <v>737</v>
      </c>
      <c r="H483" t="s">
        <v>738</v>
      </c>
      <c r="I483" t="s">
        <v>739</v>
      </c>
      <c r="J483" t="s">
        <v>739</v>
      </c>
      <c r="K483" s="2">
        <v>45015</v>
      </c>
      <c r="L483">
        <v>694639.62334674597</v>
      </c>
      <c r="M483">
        <v>20547674.615819398</v>
      </c>
      <c r="N483">
        <v>3316494.3735720799</v>
      </c>
      <c r="O483">
        <v>189119.77761713599</v>
      </c>
      <c r="P483">
        <v>-20547674.615819398</v>
      </c>
      <c r="Q483">
        <v>-1513812.95506032</v>
      </c>
      <c r="R483">
        <v>0</v>
      </c>
      <c r="S483">
        <v>8846.2735692098795</v>
      </c>
      <c r="T483">
        <v>3352525.5256611402</v>
      </c>
      <c r="U483">
        <v>8917429.6458265092</v>
      </c>
      <c r="V483">
        <v>635101.37063555</v>
      </c>
    </row>
    <row r="484" spans="1:22" x14ac:dyDescent="0.3">
      <c r="A484" t="str">
        <f t="shared" si="14"/>
        <v>TAEEPrevisão</v>
      </c>
      <c r="B484" t="str">
        <f t="shared" si="15"/>
        <v>TAEEPrevisãoJun-2023</v>
      </c>
      <c r="C484" t="s">
        <v>303</v>
      </c>
      <c r="D484" t="s">
        <v>304</v>
      </c>
      <c r="E484" t="s">
        <v>294</v>
      </c>
      <c r="F484" t="s">
        <v>736</v>
      </c>
      <c r="G484" t="s">
        <v>737</v>
      </c>
      <c r="H484" t="s">
        <v>738</v>
      </c>
      <c r="I484" t="s">
        <v>739</v>
      </c>
      <c r="J484" t="s">
        <v>739</v>
      </c>
      <c r="K484" s="2">
        <v>45107</v>
      </c>
      <c r="L484">
        <v>742625.75200883194</v>
      </c>
      <c r="M484">
        <v>22322366.8883637</v>
      </c>
      <c r="N484">
        <v>3499978.5787997302</v>
      </c>
      <c r="O484">
        <v>189176.09873207001</v>
      </c>
      <c r="P484">
        <v>-22322366.8883637</v>
      </c>
      <c r="Q484">
        <v>-1671447.7615467899</v>
      </c>
      <c r="R484">
        <v>0</v>
      </c>
      <c r="S484">
        <v>4275.30316589424</v>
      </c>
      <c r="T484">
        <v>3665729.3754225401</v>
      </c>
      <c r="U484">
        <v>9562966.1196571607</v>
      </c>
      <c r="V484">
        <v>684059.42542962299</v>
      </c>
    </row>
    <row r="485" spans="1:22" x14ac:dyDescent="0.3">
      <c r="A485" t="str">
        <f t="shared" si="14"/>
        <v>TAEEPrevisão</v>
      </c>
      <c r="B485" t="str">
        <f t="shared" si="15"/>
        <v>TAEEPrevisãoSet-2023</v>
      </c>
      <c r="C485" t="s">
        <v>303</v>
      </c>
      <c r="D485" t="s">
        <v>304</v>
      </c>
      <c r="E485" t="s">
        <v>294</v>
      </c>
      <c r="F485" t="s">
        <v>736</v>
      </c>
      <c r="G485" t="s">
        <v>737</v>
      </c>
      <c r="H485" t="s">
        <v>738</v>
      </c>
      <c r="I485" t="s">
        <v>739</v>
      </c>
      <c r="J485" t="s">
        <v>739</v>
      </c>
      <c r="K485" s="2">
        <v>45199</v>
      </c>
      <c r="L485">
        <v>793776.98646644899</v>
      </c>
      <c r="M485">
        <v>24266939.097528599</v>
      </c>
      <c r="N485">
        <v>3702649.4219137002</v>
      </c>
      <c r="O485">
        <v>187775.89326324401</v>
      </c>
      <c r="P485">
        <v>-24266939.097528599</v>
      </c>
      <c r="Q485">
        <v>-1847626.1686800399</v>
      </c>
      <c r="R485">
        <v>0</v>
      </c>
      <c r="S485">
        <v>-541.50440957396495</v>
      </c>
      <c r="T485">
        <v>4000173.9521390102</v>
      </c>
      <c r="U485">
        <v>10270104.4186032</v>
      </c>
      <c r="V485">
        <v>737706.17957775504</v>
      </c>
    </row>
    <row r="486" spans="1:22" x14ac:dyDescent="0.3">
      <c r="A486" t="str">
        <f t="shared" si="14"/>
        <v>NEOEPrevisão</v>
      </c>
      <c r="B486" t="str">
        <f t="shared" si="15"/>
        <v>NEOEPrevisãoDez-2022</v>
      </c>
      <c r="C486" t="s">
        <v>311</v>
      </c>
      <c r="D486" t="s">
        <v>312</v>
      </c>
      <c r="E486" t="s">
        <v>294</v>
      </c>
      <c r="F486" t="s">
        <v>736</v>
      </c>
      <c r="G486" t="s">
        <v>737</v>
      </c>
      <c r="H486" t="s">
        <v>738</v>
      </c>
      <c r="I486" t="s">
        <v>739</v>
      </c>
      <c r="J486" t="s">
        <v>739</v>
      </c>
      <c r="K486" s="2">
        <v>44925</v>
      </c>
      <c r="L486">
        <v>1569557.4834056201</v>
      </c>
      <c r="M486">
        <v>35516707.448010102</v>
      </c>
      <c r="N486">
        <v>3607299.0037360801</v>
      </c>
      <c r="O486">
        <v>-1456.4980052682099</v>
      </c>
      <c r="P486">
        <v>-35516707.448010102</v>
      </c>
      <c r="Q486">
        <v>-2683208.9491553502</v>
      </c>
      <c r="R486">
        <v>13963.4154146489</v>
      </c>
      <c r="S486">
        <v>28389.292419889</v>
      </c>
      <c r="T486">
        <v>15173266.8514555</v>
      </c>
      <c r="U486">
        <v>28074907.4921523</v>
      </c>
      <c r="V486">
        <v>354062.27187844901</v>
      </c>
    </row>
    <row r="487" spans="1:22" x14ac:dyDescent="0.3">
      <c r="A487" t="str">
        <f t="shared" si="14"/>
        <v>NEOEPrevisão</v>
      </c>
      <c r="B487" t="str">
        <f t="shared" si="15"/>
        <v>NEOEPrevisãoMar-2023</v>
      </c>
      <c r="C487" t="s">
        <v>311</v>
      </c>
      <c r="D487" t="s">
        <v>312</v>
      </c>
      <c r="E487" t="s">
        <v>294</v>
      </c>
      <c r="F487" t="s">
        <v>736</v>
      </c>
      <c r="G487" t="s">
        <v>737</v>
      </c>
      <c r="H487" t="s">
        <v>738</v>
      </c>
      <c r="I487" t="s">
        <v>739</v>
      </c>
      <c r="J487" t="s">
        <v>739</v>
      </c>
      <c r="K487" s="2">
        <v>45015</v>
      </c>
      <c r="L487">
        <v>1707160.2284210599</v>
      </c>
      <c r="M487">
        <v>37297351.225076497</v>
      </c>
      <c r="N487">
        <v>4019405.7349042399</v>
      </c>
      <c r="O487">
        <v>-1649.08120267511</v>
      </c>
      <c r="P487">
        <v>-37297351.225076497</v>
      </c>
      <c r="Q487">
        <v>-2925777.3583598398</v>
      </c>
      <c r="R487">
        <v>13650.530687293</v>
      </c>
      <c r="S487">
        <v>22908.515807507501</v>
      </c>
      <c r="T487">
        <v>16527492.8436302</v>
      </c>
      <c r="U487">
        <v>29092627.4037553</v>
      </c>
      <c r="V487">
        <v>409808.45377922303</v>
      </c>
    </row>
    <row r="488" spans="1:22" x14ac:dyDescent="0.3">
      <c r="A488" t="str">
        <f t="shared" si="14"/>
        <v>NEOEPrevisão</v>
      </c>
      <c r="B488" t="str">
        <f t="shared" si="15"/>
        <v>NEOEPrevisãoJun-2023</v>
      </c>
      <c r="C488" t="s">
        <v>311</v>
      </c>
      <c r="D488" t="s">
        <v>312</v>
      </c>
      <c r="E488" t="s">
        <v>294</v>
      </c>
      <c r="F488" t="s">
        <v>736</v>
      </c>
      <c r="G488" t="s">
        <v>737</v>
      </c>
      <c r="H488" t="s">
        <v>738</v>
      </c>
      <c r="I488" t="s">
        <v>739</v>
      </c>
      <c r="J488" t="s">
        <v>739</v>
      </c>
      <c r="K488" s="2">
        <v>45107</v>
      </c>
      <c r="L488">
        <v>1851295.30682271</v>
      </c>
      <c r="M488">
        <v>39128691.922265798</v>
      </c>
      <c r="N488">
        <v>4456168.6307447897</v>
      </c>
      <c r="O488">
        <v>-1806.5247490320801</v>
      </c>
      <c r="P488">
        <v>-39128691.922265798</v>
      </c>
      <c r="Q488">
        <v>-3186674.2812828799</v>
      </c>
      <c r="R488">
        <v>13197.1860426195</v>
      </c>
      <c r="S488">
        <v>16130.7226506559</v>
      </c>
      <c r="T488">
        <v>17988773.930286299</v>
      </c>
      <c r="U488">
        <v>30099602.381214201</v>
      </c>
      <c r="V488">
        <v>470602.86317966098</v>
      </c>
    </row>
    <row r="489" spans="1:22" x14ac:dyDescent="0.3">
      <c r="A489" t="str">
        <f t="shared" si="14"/>
        <v>NEOEPrevisão</v>
      </c>
      <c r="B489" t="str">
        <f t="shared" si="15"/>
        <v>NEOEPrevisãoSet-2023</v>
      </c>
      <c r="C489" t="s">
        <v>311</v>
      </c>
      <c r="D489" t="s">
        <v>312</v>
      </c>
      <c r="E489" t="s">
        <v>294</v>
      </c>
      <c r="F489" t="s">
        <v>736</v>
      </c>
      <c r="G489" t="s">
        <v>737</v>
      </c>
      <c r="H489" t="s">
        <v>738</v>
      </c>
      <c r="I489" t="s">
        <v>739</v>
      </c>
      <c r="J489" t="s">
        <v>739</v>
      </c>
      <c r="K489" s="2">
        <v>45199</v>
      </c>
      <c r="L489">
        <v>2002017.7985326401</v>
      </c>
      <c r="M489">
        <v>41009861.8488966</v>
      </c>
      <c r="N489">
        <v>4917763.3813934699</v>
      </c>
      <c r="O489">
        <v>-1925.08644573318</v>
      </c>
      <c r="P489">
        <v>-41009861.8488966</v>
      </c>
      <c r="Q489">
        <v>-3466638.0339980498</v>
      </c>
      <c r="R489">
        <v>12594.991094138901</v>
      </c>
      <c r="S489">
        <v>7967.4897955956903</v>
      </c>
      <c r="T489">
        <v>19560891.6844978</v>
      </c>
      <c r="U489">
        <v>31092444.7197125</v>
      </c>
      <c r="V489">
        <v>536650.25650617701</v>
      </c>
    </row>
    <row r="490" spans="1:22" x14ac:dyDescent="0.3">
      <c r="A490" t="str">
        <f t="shared" si="14"/>
        <v>LIGTPrevisão</v>
      </c>
      <c r="B490" t="str">
        <f t="shared" si="15"/>
        <v>LIGTPrevisãoDez-2022</v>
      </c>
      <c r="C490" t="s">
        <v>309</v>
      </c>
      <c r="D490" t="s">
        <v>310</v>
      </c>
      <c r="E490" t="s">
        <v>294</v>
      </c>
      <c r="F490" t="s">
        <v>736</v>
      </c>
      <c r="G490" t="s">
        <v>737</v>
      </c>
      <c r="H490" t="s">
        <v>738</v>
      </c>
      <c r="I490" t="s">
        <v>739</v>
      </c>
      <c r="J490" t="s">
        <v>739</v>
      </c>
      <c r="K490" s="2">
        <v>44925</v>
      </c>
      <c r="L490">
        <v>-67731.900347999501</v>
      </c>
      <c r="M490">
        <v>10820037.158815</v>
      </c>
      <c r="N490">
        <v>1057703.04600608</v>
      </c>
      <c r="O490">
        <v>0</v>
      </c>
      <c r="P490">
        <v>-10820037.158815</v>
      </c>
      <c r="Q490">
        <v>-205196.01128943599</v>
      </c>
      <c r="R490">
        <v>40.2661913251196</v>
      </c>
      <c r="S490">
        <v>5221.2636448497797</v>
      </c>
      <c r="T490">
        <v>3857547.8506919001</v>
      </c>
      <c r="U490">
        <v>10613037.940752</v>
      </c>
      <c r="V490">
        <v>-64256.3869790436</v>
      </c>
    </row>
    <row r="491" spans="1:22" x14ac:dyDescent="0.3">
      <c r="A491" t="str">
        <f t="shared" si="14"/>
        <v>LIGTPrevisão</v>
      </c>
      <c r="B491" t="str">
        <f t="shared" si="15"/>
        <v>LIGTPrevisãoMar-2023</v>
      </c>
      <c r="C491" t="s">
        <v>309</v>
      </c>
      <c r="D491" t="s">
        <v>310</v>
      </c>
      <c r="E491" t="s">
        <v>294</v>
      </c>
      <c r="F491" t="s">
        <v>736</v>
      </c>
      <c r="G491" t="s">
        <v>737</v>
      </c>
      <c r="H491" t="s">
        <v>738</v>
      </c>
      <c r="I491" t="s">
        <v>739</v>
      </c>
      <c r="J491" t="s">
        <v>739</v>
      </c>
      <c r="K491" s="2">
        <v>45015</v>
      </c>
      <c r="L491">
        <v>-125328.697311511</v>
      </c>
      <c r="M491">
        <v>11627514.595438801</v>
      </c>
      <c r="N491">
        <v>1218233.44119805</v>
      </c>
      <c r="O491">
        <v>0</v>
      </c>
      <c r="P491">
        <v>-11627514.595438801</v>
      </c>
      <c r="Q491">
        <v>-251380.963546527</v>
      </c>
      <c r="R491">
        <v>16.681617446430302</v>
      </c>
      <c r="S491">
        <v>6204.13528195652</v>
      </c>
      <c r="T491">
        <v>4194127.1859454499</v>
      </c>
      <c r="U491">
        <v>11375581.149941299</v>
      </c>
      <c r="V491">
        <v>-121073.329428763</v>
      </c>
    </row>
    <row r="492" spans="1:22" x14ac:dyDescent="0.3">
      <c r="A492" t="str">
        <f t="shared" si="14"/>
        <v>LIGTPrevisão</v>
      </c>
      <c r="B492" t="str">
        <f t="shared" si="15"/>
        <v>LIGTPrevisãoJun-2023</v>
      </c>
      <c r="C492" t="s">
        <v>309</v>
      </c>
      <c r="D492" t="s">
        <v>310</v>
      </c>
      <c r="E492" t="s">
        <v>294</v>
      </c>
      <c r="F492" t="s">
        <v>736</v>
      </c>
      <c r="G492" t="s">
        <v>737</v>
      </c>
      <c r="H492" t="s">
        <v>738</v>
      </c>
      <c r="I492" t="s">
        <v>739</v>
      </c>
      <c r="J492" t="s">
        <v>739</v>
      </c>
      <c r="K492" s="2">
        <v>45107</v>
      </c>
      <c r="L492">
        <v>-190621.55650025199</v>
      </c>
      <c r="M492">
        <v>12489735.1954436</v>
      </c>
      <c r="N492">
        <v>1394006.04663634</v>
      </c>
      <c r="O492">
        <v>0</v>
      </c>
      <c r="P492">
        <v>-12489735.1954436</v>
      </c>
      <c r="Q492">
        <v>-303629.36539703602</v>
      </c>
      <c r="R492">
        <v>-10.844125296029899</v>
      </c>
      <c r="S492">
        <v>7287.6267382310598</v>
      </c>
      <c r="T492">
        <v>4554736.6929396102</v>
      </c>
      <c r="U492">
        <v>12186990.9057374</v>
      </c>
      <c r="V492">
        <v>-185495.76600946201</v>
      </c>
    </row>
    <row r="493" spans="1:22" x14ac:dyDescent="0.3">
      <c r="A493" t="str">
        <f t="shared" si="14"/>
        <v>LIGTPrevisão</v>
      </c>
      <c r="B493" t="str">
        <f t="shared" si="15"/>
        <v>LIGTPrevisãoSet-2023</v>
      </c>
      <c r="C493" t="s">
        <v>309</v>
      </c>
      <c r="D493" t="s">
        <v>310</v>
      </c>
      <c r="E493" t="s">
        <v>294</v>
      </c>
      <c r="F493" t="s">
        <v>736</v>
      </c>
      <c r="G493" t="s">
        <v>737</v>
      </c>
      <c r="H493" t="s">
        <v>738</v>
      </c>
      <c r="I493" t="s">
        <v>739</v>
      </c>
      <c r="J493" t="s">
        <v>739</v>
      </c>
      <c r="K493" s="2">
        <v>45199</v>
      </c>
      <c r="L493">
        <v>-264002.85724780703</v>
      </c>
      <c r="M493">
        <v>13408437.3909849</v>
      </c>
      <c r="N493">
        <v>1585657.3790939399</v>
      </c>
      <c r="O493">
        <v>0</v>
      </c>
      <c r="P493">
        <v>-13408437.3909849</v>
      </c>
      <c r="Q493">
        <v>-362241.408996357</v>
      </c>
      <c r="R493">
        <v>-42.523433000104802</v>
      </c>
      <c r="S493">
        <v>8476.0841708678709</v>
      </c>
      <c r="T493">
        <v>4940256.0309751704</v>
      </c>
      <c r="U493">
        <v>13048714.8754237</v>
      </c>
      <c r="V493">
        <v>-257911.59021482</v>
      </c>
    </row>
    <row r="494" spans="1:22" x14ac:dyDescent="0.3">
      <c r="A494" t="str">
        <f t="shared" si="14"/>
        <v>ENGIPrevisão</v>
      </c>
      <c r="B494" t="str">
        <f t="shared" si="15"/>
        <v>ENGIPrevisãoDez-2022</v>
      </c>
      <c r="C494" t="s">
        <v>301</v>
      </c>
      <c r="D494" t="s">
        <v>302</v>
      </c>
      <c r="E494" t="s">
        <v>294</v>
      </c>
      <c r="F494" t="s">
        <v>736</v>
      </c>
      <c r="G494" t="s">
        <v>737</v>
      </c>
      <c r="H494" t="s">
        <v>738</v>
      </c>
      <c r="I494" t="s">
        <v>739</v>
      </c>
      <c r="J494" t="s">
        <v>739</v>
      </c>
      <c r="K494" s="2">
        <v>44925</v>
      </c>
      <c r="L494">
        <v>892519.61310583202</v>
      </c>
      <c r="M494">
        <v>20532219.044478498</v>
      </c>
      <c r="N494">
        <v>2040249.0089126299</v>
      </c>
      <c r="O494">
        <v>40736.957389003503</v>
      </c>
      <c r="P494">
        <v>-20532219.044478498</v>
      </c>
      <c r="Q494">
        <v>-2680921.6825394901</v>
      </c>
      <c r="R494">
        <v>-3591.1949749598598</v>
      </c>
      <c r="S494">
        <v>0</v>
      </c>
      <c r="T494">
        <v>5115469.7649604501</v>
      </c>
      <c r="U494">
        <v>11553712.3087175</v>
      </c>
      <c r="V494">
        <v>76350.741617855194</v>
      </c>
    </row>
    <row r="495" spans="1:22" x14ac:dyDescent="0.3">
      <c r="A495" t="str">
        <f t="shared" si="14"/>
        <v>ENGIPrevisão</v>
      </c>
      <c r="B495" t="str">
        <f t="shared" si="15"/>
        <v>ENGIPrevisãoMar-2023</v>
      </c>
      <c r="C495" t="s">
        <v>301</v>
      </c>
      <c r="D495" t="s">
        <v>302</v>
      </c>
      <c r="E495" t="s">
        <v>294</v>
      </c>
      <c r="F495" t="s">
        <v>736</v>
      </c>
      <c r="G495" t="s">
        <v>737</v>
      </c>
      <c r="H495" t="s">
        <v>738</v>
      </c>
      <c r="I495" t="s">
        <v>739</v>
      </c>
      <c r="J495" t="s">
        <v>739</v>
      </c>
      <c r="K495" s="2">
        <v>45015</v>
      </c>
      <c r="L495">
        <v>980944.77795899101</v>
      </c>
      <c r="M495">
        <v>21765614.273757402</v>
      </c>
      <c r="N495">
        <v>2222658.63342488</v>
      </c>
      <c r="O495">
        <v>38961.223151325998</v>
      </c>
      <c r="P495">
        <v>-21765614.273757402</v>
      </c>
      <c r="Q495">
        <v>-2881658.8054102398</v>
      </c>
      <c r="R495">
        <v>-4897.5332498274402</v>
      </c>
      <c r="S495">
        <v>0</v>
      </c>
      <c r="T495">
        <v>5567017.8953330005</v>
      </c>
      <c r="U495">
        <v>12345599.267044799</v>
      </c>
      <c r="V495">
        <v>78522.445008792696</v>
      </c>
    </row>
    <row r="496" spans="1:22" x14ac:dyDescent="0.3">
      <c r="A496" t="str">
        <f t="shared" si="14"/>
        <v>ENGIPrevisão</v>
      </c>
      <c r="B496" t="str">
        <f t="shared" si="15"/>
        <v>ENGIPrevisãoJun-2023</v>
      </c>
      <c r="C496" t="s">
        <v>301</v>
      </c>
      <c r="D496" t="s">
        <v>302</v>
      </c>
      <c r="E496" t="s">
        <v>294</v>
      </c>
      <c r="F496" t="s">
        <v>736</v>
      </c>
      <c r="G496" t="s">
        <v>737</v>
      </c>
      <c r="H496" t="s">
        <v>738</v>
      </c>
      <c r="I496" t="s">
        <v>739</v>
      </c>
      <c r="J496" t="s">
        <v>739</v>
      </c>
      <c r="K496" s="2">
        <v>45107</v>
      </c>
      <c r="L496">
        <v>1075035.64813014</v>
      </c>
      <c r="M496">
        <v>23052884.6849632</v>
      </c>
      <c r="N496">
        <v>2422155.9254582999</v>
      </c>
      <c r="O496">
        <v>36714.865808334798</v>
      </c>
      <c r="P496">
        <v>-23052884.6849632</v>
      </c>
      <c r="Q496">
        <v>-3096143.90964538</v>
      </c>
      <c r="R496">
        <v>-6311.0694964997801</v>
      </c>
      <c r="S496">
        <v>0</v>
      </c>
      <c r="T496">
        <v>6048975.2506627198</v>
      </c>
      <c r="U496">
        <v>13179528.371127499</v>
      </c>
      <c r="V496">
        <v>80544.9479531736</v>
      </c>
    </row>
    <row r="497" spans="1:22" x14ac:dyDescent="0.3">
      <c r="A497" t="str">
        <f t="shared" si="14"/>
        <v>ENGIPrevisão</v>
      </c>
      <c r="B497" t="str">
        <f t="shared" si="15"/>
        <v>ENGIPrevisãoSet-2023</v>
      </c>
      <c r="C497" t="s">
        <v>301</v>
      </c>
      <c r="D497" t="s">
        <v>302</v>
      </c>
      <c r="E497" t="s">
        <v>294</v>
      </c>
      <c r="F497" t="s">
        <v>736</v>
      </c>
      <c r="G497" t="s">
        <v>737</v>
      </c>
      <c r="H497" t="s">
        <v>738</v>
      </c>
      <c r="I497" t="s">
        <v>739</v>
      </c>
      <c r="J497" t="s">
        <v>739</v>
      </c>
      <c r="K497" s="2">
        <v>45199</v>
      </c>
      <c r="L497">
        <v>1174959.5325193999</v>
      </c>
      <c r="M497">
        <v>24395217.513200998</v>
      </c>
      <c r="N497">
        <v>2639525.2587786</v>
      </c>
      <c r="O497">
        <v>33972.335056104901</v>
      </c>
      <c r="P497">
        <v>-24395217.513200998</v>
      </c>
      <c r="Q497">
        <v>-3324907.0926969498</v>
      </c>
      <c r="R497">
        <v>-7835.0473085888898</v>
      </c>
      <c r="S497">
        <v>0</v>
      </c>
      <c r="T497">
        <v>6562349.31025624</v>
      </c>
      <c r="U497">
        <v>14056671.401034599</v>
      </c>
      <c r="V497">
        <v>82404.492262923799</v>
      </c>
    </row>
    <row r="498" spans="1:22" x14ac:dyDescent="0.3">
      <c r="A498" t="str">
        <f t="shared" si="14"/>
        <v>LIPRPrevisão</v>
      </c>
      <c r="B498" t="str">
        <f t="shared" si="15"/>
        <v>LIPRPrevisãoDez-2022</v>
      </c>
      <c r="C498" t="s">
        <v>299</v>
      </c>
      <c r="D498" t="s">
        <v>300</v>
      </c>
      <c r="E498" t="s">
        <v>294</v>
      </c>
      <c r="F498" t="s">
        <v>736</v>
      </c>
      <c r="G498" t="s">
        <v>737</v>
      </c>
      <c r="H498" t="s">
        <v>738</v>
      </c>
      <c r="I498" t="s">
        <v>739</v>
      </c>
      <c r="J498" t="s">
        <v>739</v>
      </c>
      <c r="K498" s="2">
        <v>44925</v>
      </c>
      <c r="L498">
        <v>3870.5605636120199</v>
      </c>
      <c r="M498">
        <v>228786.01205330499</v>
      </c>
      <c r="N498">
        <v>63504.974280606497</v>
      </c>
      <c r="O498">
        <v>524.75154910455399</v>
      </c>
      <c r="P498">
        <v>-228786.01205330499</v>
      </c>
      <c r="Q498">
        <v>-29822.328410158902</v>
      </c>
      <c r="R498">
        <v>1730.0120533060699</v>
      </c>
      <c r="S498">
        <v>-185.167897461656</v>
      </c>
      <c r="T498">
        <v>69939.245055607695</v>
      </c>
      <c r="U498">
        <v>203709.38400813501</v>
      </c>
      <c r="V498">
        <v>3192.3473389341302</v>
      </c>
    </row>
    <row r="499" spans="1:22" x14ac:dyDescent="0.3">
      <c r="A499" t="str">
        <f t="shared" si="14"/>
        <v>LIPRPrevisão</v>
      </c>
      <c r="B499" t="str">
        <f t="shared" si="15"/>
        <v>LIPRPrevisãoMar-2023</v>
      </c>
      <c r="C499" t="s">
        <v>299</v>
      </c>
      <c r="D499" t="s">
        <v>300</v>
      </c>
      <c r="E499" t="s">
        <v>294</v>
      </c>
      <c r="F499" t="s">
        <v>736</v>
      </c>
      <c r="G499" t="s">
        <v>737</v>
      </c>
      <c r="H499" t="s">
        <v>738</v>
      </c>
      <c r="I499" t="s">
        <v>739</v>
      </c>
      <c r="J499" t="s">
        <v>739</v>
      </c>
      <c r="K499" s="2">
        <v>45015</v>
      </c>
      <c r="L499">
        <v>3012.85539702287</v>
      </c>
      <c r="M499">
        <v>219747.02300313499</v>
      </c>
      <c r="N499">
        <v>55490.286705326202</v>
      </c>
      <c r="O499">
        <v>222.380865204484</v>
      </c>
      <c r="P499">
        <v>-219747.02300313499</v>
      </c>
      <c r="Q499">
        <v>-30165.5166839946</v>
      </c>
      <c r="R499">
        <v>1775.5053257993</v>
      </c>
      <c r="S499">
        <v>-627.65932548251897</v>
      </c>
      <c r="T499">
        <v>71717.053202945404</v>
      </c>
      <c r="U499">
        <v>200135.83446546301</v>
      </c>
      <c r="V499">
        <v>2388.4852751887101</v>
      </c>
    </row>
    <row r="500" spans="1:22" x14ac:dyDescent="0.3">
      <c r="A500" t="str">
        <f t="shared" si="14"/>
        <v>LIPRPrevisão</v>
      </c>
      <c r="B500" t="str">
        <f t="shared" si="15"/>
        <v>LIPRPrevisãoJun-2023</v>
      </c>
      <c r="C500" t="s">
        <v>299</v>
      </c>
      <c r="D500" t="s">
        <v>300</v>
      </c>
      <c r="E500" t="s">
        <v>294</v>
      </c>
      <c r="F500" t="s">
        <v>736</v>
      </c>
      <c r="G500" t="s">
        <v>737</v>
      </c>
      <c r="H500" t="s">
        <v>738</v>
      </c>
      <c r="I500" t="s">
        <v>739</v>
      </c>
      <c r="J500" t="s">
        <v>739</v>
      </c>
      <c r="K500" s="2">
        <v>45107</v>
      </c>
      <c r="L500">
        <v>2004.8404322352101</v>
      </c>
      <c r="M500">
        <v>208842.889028215</v>
      </c>
      <c r="N500">
        <v>46279.795820282103</v>
      </c>
      <c r="O500">
        <v>-104.01455425901599</v>
      </c>
      <c r="P500">
        <v>-208842.889028215</v>
      </c>
      <c r="Q500">
        <v>-30347.800061538299</v>
      </c>
      <c r="R500">
        <v>1814.2040128261101</v>
      </c>
      <c r="S500">
        <v>-1127.20452936521</v>
      </c>
      <c r="T500">
        <v>73241.612016875806</v>
      </c>
      <c r="U500">
        <v>195572.53716598701</v>
      </c>
      <c r="V500">
        <v>1434.61538185327</v>
      </c>
    </row>
    <row r="501" spans="1:22" x14ac:dyDescent="0.3">
      <c r="A501" t="str">
        <f t="shared" si="14"/>
        <v>LIPRPrevisão</v>
      </c>
      <c r="B501" t="str">
        <f t="shared" si="15"/>
        <v>LIPRPrevisãoSet-2023</v>
      </c>
      <c r="C501" t="s">
        <v>299</v>
      </c>
      <c r="D501" t="s">
        <v>300</v>
      </c>
      <c r="E501" t="s">
        <v>294</v>
      </c>
      <c r="F501" t="s">
        <v>736</v>
      </c>
      <c r="G501" t="s">
        <v>737</v>
      </c>
      <c r="H501" t="s">
        <v>738</v>
      </c>
      <c r="I501" t="s">
        <v>739</v>
      </c>
      <c r="J501" t="s">
        <v>739</v>
      </c>
      <c r="K501" s="2">
        <v>45199</v>
      </c>
      <c r="L501">
        <v>837.78156709383904</v>
      </c>
      <c r="M501">
        <v>195963.38855745399</v>
      </c>
      <c r="N501">
        <v>35811.070169055398</v>
      </c>
      <c r="O501">
        <v>-455.27048925176098</v>
      </c>
      <c r="P501">
        <v>-195963.38855745399</v>
      </c>
      <c r="Q501">
        <v>-30357.9947605538</v>
      </c>
      <c r="R501">
        <v>1845.5555228246101</v>
      </c>
      <c r="S501">
        <v>-1686.50779728152</v>
      </c>
      <c r="T501">
        <v>74492.235465852107</v>
      </c>
      <c r="U501">
        <v>189956.77226123499</v>
      </c>
      <c r="V501">
        <v>321.83207222654102</v>
      </c>
    </row>
    <row r="502" spans="1:22" x14ac:dyDescent="0.3">
      <c r="A502" t="str">
        <f t="shared" si="14"/>
        <v>CPFEPrevisão</v>
      </c>
      <c r="B502" t="str">
        <f t="shared" si="15"/>
        <v>CPFEPrevisãoDez-2022</v>
      </c>
      <c r="C502" t="s">
        <v>297</v>
      </c>
      <c r="D502" t="s">
        <v>298</v>
      </c>
      <c r="E502" t="s">
        <v>294</v>
      </c>
      <c r="F502" t="s">
        <v>736</v>
      </c>
      <c r="G502" t="s">
        <v>737</v>
      </c>
      <c r="H502" t="s">
        <v>738</v>
      </c>
      <c r="I502" t="s">
        <v>739</v>
      </c>
      <c r="J502" t="s">
        <v>739</v>
      </c>
      <c r="K502" s="2">
        <v>44925</v>
      </c>
      <c r="L502">
        <v>1533176.8535775701</v>
      </c>
      <c r="M502">
        <v>18557312.093963999</v>
      </c>
      <c r="N502">
        <v>847526.16747293796</v>
      </c>
      <c r="O502">
        <v>0</v>
      </c>
      <c r="P502">
        <v>-18557312.093963999</v>
      </c>
      <c r="Q502">
        <v>-2108308.22010099</v>
      </c>
      <c r="R502">
        <v>7.7626687038483801</v>
      </c>
      <c r="S502">
        <v>2000.25821238034</v>
      </c>
      <c r="T502">
        <v>7485856.7215854796</v>
      </c>
      <c r="U502">
        <v>16162409.347084399</v>
      </c>
      <c r="V502">
        <v>-151267.50776660099</v>
      </c>
    </row>
    <row r="503" spans="1:22" x14ac:dyDescent="0.3">
      <c r="A503" t="str">
        <f t="shared" si="14"/>
        <v>CPFEPrevisão</v>
      </c>
      <c r="B503" t="str">
        <f t="shared" si="15"/>
        <v>CPFEPrevisãoMar-2023</v>
      </c>
      <c r="C503" t="s">
        <v>297</v>
      </c>
      <c r="D503" t="s">
        <v>298</v>
      </c>
      <c r="E503" t="s">
        <v>294</v>
      </c>
      <c r="F503" t="s">
        <v>736</v>
      </c>
      <c r="G503" t="s">
        <v>737</v>
      </c>
      <c r="H503" t="s">
        <v>738</v>
      </c>
      <c r="I503" t="s">
        <v>739</v>
      </c>
      <c r="J503" t="s">
        <v>739</v>
      </c>
      <c r="K503" s="2">
        <v>45015</v>
      </c>
      <c r="L503">
        <v>1632505.4029550301</v>
      </c>
      <c r="M503">
        <v>19093959.0395725</v>
      </c>
      <c r="N503">
        <v>840190.81774583901</v>
      </c>
      <c r="O503">
        <v>0</v>
      </c>
      <c r="P503">
        <v>-19093959.0395725</v>
      </c>
      <c r="Q503">
        <v>-2430632.3846033001</v>
      </c>
      <c r="R503">
        <v>10.510967040382599</v>
      </c>
      <c r="S503">
        <v>1450.58421599997</v>
      </c>
      <c r="T503">
        <v>7703669.4990305202</v>
      </c>
      <c r="U503">
        <v>16314521.6861644</v>
      </c>
      <c r="V503">
        <v>-258145.06574015599</v>
      </c>
    </row>
    <row r="504" spans="1:22" x14ac:dyDescent="0.3">
      <c r="A504" t="str">
        <f t="shared" si="14"/>
        <v>CPFEPrevisão</v>
      </c>
      <c r="B504" t="str">
        <f t="shared" si="15"/>
        <v>CPFEPrevisãoJun-2023</v>
      </c>
      <c r="C504" t="s">
        <v>297</v>
      </c>
      <c r="D504" t="s">
        <v>298</v>
      </c>
      <c r="E504" t="s">
        <v>294</v>
      </c>
      <c r="F504" t="s">
        <v>736</v>
      </c>
      <c r="G504" t="s">
        <v>737</v>
      </c>
      <c r="H504" t="s">
        <v>738</v>
      </c>
      <c r="I504" t="s">
        <v>739</v>
      </c>
      <c r="J504" t="s">
        <v>739</v>
      </c>
      <c r="K504" s="2">
        <v>45107</v>
      </c>
      <c r="L504">
        <v>1734372.9417528401</v>
      </c>
      <c r="M504">
        <v>19624685.2573095</v>
      </c>
      <c r="N504">
        <v>839199.45933103096</v>
      </c>
      <c r="O504">
        <v>0</v>
      </c>
      <c r="P504">
        <v>-19624685.2573095</v>
      </c>
      <c r="Q504">
        <v>-2788064.7550308998</v>
      </c>
      <c r="R504">
        <v>13.598249489894901</v>
      </c>
      <c r="S504">
        <v>820.10033104486502</v>
      </c>
      <c r="T504">
        <v>7902902.6059844503</v>
      </c>
      <c r="U504">
        <v>16416708.2200328</v>
      </c>
      <c r="V504">
        <v>-377948.44422756502</v>
      </c>
    </row>
    <row r="505" spans="1:22" x14ac:dyDescent="0.3">
      <c r="A505" t="str">
        <f t="shared" si="14"/>
        <v>CPFEPrevisão</v>
      </c>
      <c r="B505" t="str">
        <f t="shared" si="15"/>
        <v>CPFEPrevisãoSet-2023</v>
      </c>
      <c r="C505" t="s">
        <v>297</v>
      </c>
      <c r="D505" t="s">
        <v>298</v>
      </c>
      <c r="E505" t="s">
        <v>294</v>
      </c>
      <c r="F505" t="s">
        <v>736</v>
      </c>
      <c r="G505" t="s">
        <v>737</v>
      </c>
      <c r="H505" t="s">
        <v>738</v>
      </c>
      <c r="I505" t="s">
        <v>739</v>
      </c>
      <c r="J505" t="s">
        <v>739</v>
      </c>
      <c r="K505" s="2">
        <v>45199</v>
      </c>
      <c r="L505">
        <v>1838682.7281756999</v>
      </c>
      <c r="M505">
        <v>20147960.5041297</v>
      </c>
      <c r="N505">
        <v>845109.70909223403</v>
      </c>
      <c r="O505">
        <v>0</v>
      </c>
      <c r="P505">
        <v>-20147960.5041297</v>
      </c>
      <c r="Q505">
        <v>-3182269.8680040198</v>
      </c>
      <c r="R505">
        <v>17.0367682968356</v>
      </c>
      <c r="S505">
        <v>103.689026508924</v>
      </c>
      <c r="T505">
        <v>8081899.5072797602</v>
      </c>
      <c r="U505">
        <v>16465359.430834699</v>
      </c>
      <c r="V505">
        <v>-511267.90968788503</v>
      </c>
    </row>
    <row r="506" spans="1:22" x14ac:dyDescent="0.3">
      <c r="A506" t="str">
        <f t="shared" si="14"/>
        <v>CMSAPrevisão</v>
      </c>
      <c r="B506" t="str">
        <f t="shared" si="15"/>
        <v>CMSAPrevisãoDez-2022</v>
      </c>
      <c r="C506" t="s">
        <v>307</v>
      </c>
      <c r="D506" t="s">
        <v>308</v>
      </c>
      <c r="E506" t="s">
        <v>294</v>
      </c>
      <c r="F506" t="s">
        <v>736</v>
      </c>
      <c r="G506" t="s">
        <v>737</v>
      </c>
      <c r="H506" t="s">
        <v>738</v>
      </c>
      <c r="I506" t="s">
        <v>739</v>
      </c>
      <c r="J506" t="s">
        <v>739</v>
      </c>
      <c r="K506" s="2">
        <v>44925</v>
      </c>
      <c r="L506">
        <v>-56241.728545950798</v>
      </c>
      <c r="M506">
        <v>64907.326288060998</v>
      </c>
      <c r="N506">
        <v>60952.0090823957</v>
      </c>
      <c r="O506">
        <v>9.7477293947676191</v>
      </c>
      <c r="P506">
        <v>-64907.326288060998</v>
      </c>
      <c r="Q506">
        <v>-5998.9870129831097</v>
      </c>
      <c r="R506">
        <v>0</v>
      </c>
      <c r="S506">
        <v>862.20991426868295</v>
      </c>
      <c r="T506">
        <v>0</v>
      </c>
      <c r="U506">
        <v>65794.089296242397</v>
      </c>
      <c r="V506">
        <v>-58220.6005432491</v>
      </c>
    </row>
    <row r="507" spans="1:22" x14ac:dyDescent="0.3">
      <c r="A507" t="str">
        <f t="shared" si="14"/>
        <v>CMSAPrevisão</v>
      </c>
      <c r="B507" t="str">
        <f t="shared" si="15"/>
        <v>CMSAPrevisãoMar-2023</v>
      </c>
      <c r="C507" t="s">
        <v>307</v>
      </c>
      <c r="D507" t="s">
        <v>308</v>
      </c>
      <c r="E507" t="s">
        <v>294</v>
      </c>
      <c r="F507" t="s">
        <v>736</v>
      </c>
      <c r="G507" t="s">
        <v>737</v>
      </c>
      <c r="H507" t="s">
        <v>738</v>
      </c>
      <c r="I507" t="s">
        <v>739</v>
      </c>
      <c r="J507" t="s">
        <v>739</v>
      </c>
      <c r="K507" s="2">
        <v>45015</v>
      </c>
      <c r="L507">
        <v>-57477.487505061203</v>
      </c>
      <c r="M507">
        <v>61179.487830799102</v>
      </c>
      <c r="N507">
        <v>57494.492760868001</v>
      </c>
      <c r="O507">
        <v>14.6534961240635</v>
      </c>
      <c r="P507">
        <v>-61179.487830799102</v>
      </c>
      <c r="Q507">
        <v>-8032.2334634054796</v>
      </c>
      <c r="R507">
        <v>0</v>
      </c>
      <c r="S507">
        <v>975.294877000724</v>
      </c>
      <c r="T507">
        <v>0</v>
      </c>
      <c r="U507">
        <v>64114.231664720501</v>
      </c>
      <c r="V507">
        <v>-59761.246294424302</v>
      </c>
    </row>
    <row r="508" spans="1:22" x14ac:dyDescent="0.3">
      <c r="A508" t="str">
        <f t="shared" si="14"/>
        <v>CMSAPrevisão</v>
      </c>
      <c r="B508" t="str">
        <f t="shared" si="15"/>
        <v>CMSAPrevisãoJun-2023</v>
      </c>
      <c r="C508" t="s">
        <v>307</v>
      </c>
      <c r="D508" t="s">
        <v>308</v>
      </c>
      <c r="E508" t="s">
        <v>294</v>
      </c>
      <c r="F508" t="s">
        <v>736</v>
      </c>
      <c r="G508" t="s">
        <v>737</v>
      </c>
      <c r="H508" t="s">
        <v>738</v>
      </c>
      <c r="I508" t="s">
        <v>739</v>
      </c>
      <c r="J508" t="s">
        <v>739</v>
      </c>
      <c r="K508" s="2">
        <v>45107</v>
      </c>
      <c r="L508">
        <v>-58793.795502615198</v>
      </c>
      <c r="M508">
        <v>57281.682411398302</v>
      </c>
      <c r="N508">
        <v>53866.3613095935</v>
      </c>
      <c r="O508">
        <v>20.425176372524099</v>
      </c>
      <c r="P508">
        <v>-57281.682411398302</v>
      </c>
      <c r="Q508">
        <v>-10343.036567421599</v>
      </c>
      <c r="R508">
        <v>0</v>
      </c>
      <c r="S508">
        <v>1102.4222238401601</v>
      </c>
      <c r="T508">
        <v>0</v>
      </c>
      <c r="U508">
        <v>62732.313390188603</v>
      </c>
      <c r="V508">
        <v>-61423.480746358298</v>
      </c>
    </row>
    <row r="509" spans="1:22" x14ac:dyDescent="0.3">
      <c r="A509" t="str">
        <f t="shared" si="14"/>
        <v>CMSAPrevisão</v>
      </c>
      <c r="B509" t="str">
        <f t="shared" si="15"/>
        <v>CMSAPrevisãoSet-2023</v>
      </c>
      <c r="C509" t="s">
        <v>307</v>
      </c>
      <c r="D509" t="s">
        <v>308</v>
      </c>
      <c r="E509" t="s">
        <v>294</v>
      </c>
      <c r="F509" t="s">
        <v>736</v>
      </c>
      <c r="G509" t="s">
        <v>737</v>
      </c>
      <c r="H509" t="s">
        <v>738</v>
      </c>
      <c r="I509" t="s">
        <v>739</v>
      </c>
      <c r="J509" t="s">
        <v>739</v>
      </c>
      <c r="K509" s="2">
        <v>45199</v>
      </c>
      <c r="L509">
        <v>-60196.183455552498</v>
      </c>
      <c r="M509">
        <v>53209.994574317599</v>
      </c>
      <c r="N509">
        <v>50061.896840188398</v>
      </c>
      <c r="O509">
        <v>27.112344298082501</v>
      </c>
      <c r="P509">
        <v>-53209.994574317599</v>
      </c>
      <c r="Q509">
        <v>-12944.3872713568</v>
      </c>
      <c r="R509">
        <v>0</v>
      </c>
      <c r="S509">
        <v>1244.32059667664</v>
      </c>
      <c r="T509">
        <v>0</v>
      </c>
      <c r="U509">
        <v>61684.862062740598</v>
      </c>
      <c r="V509">
        <v>-63214.771757543997</v>
      </c>
    </row>
    <row r="510" spans="1:22" x14ac:dyDescent="0.3">
      <c r="A510" t="str">
        <f t="shared" si="14"/>
        <v>GPARPrevisão</v>
      </c>
      <c r="B510" t="str">
        <f t="shared" si="15"/>
        <v>GPARPrevisãoDez-2022</v>
      </c>
      <c r="C510" t="s">
        <v>305</v>
      </c>
      <c r="D510" t="s">
        <v>306</v>
      </c>
      <c r="E510" t="s">
        <v>294</v>
      </c>
      <c r="F510" t="s">
        <v>736</v>
      </c>
      <c r="G510" t="s">
        <v>737</v>
      </c>
      <c r="H510" t="s">
        <v>738</v>
      </c>
      <c r="I510" t="s">
        <v>739</v>
      </c>
      <c r="J510" t="s">
        <v>739</v>
      </c>
      <c r="K510" s="2">
        <v>44925</v>
      </c>
      <c r="L510">
        <v>150008.05772008299</v>
      </c>
      <c r="M510">
        <v>1950134.96621677</v>
      </c>
      <c r="N510">
        <v>1409061.3183092601</v>
      </c>
      <c r="O510">
        <v>131765.790255475</v>
      </c>
      <c r="P510">
        <v>-1950134.96621677</v>
      </c>
      <c r="Q510">
        <v>-1122005.12112713</v>
      </c>
      <c r="R510">
        <v>3112.08080808044</v>
      </c>
      <c r="S510">
        <v>-8166.6327985723801</v>
      </c>
      <c r="T510">
        <v>211961.81767249299</v>
      </c>
      <c r="U510">
        <v>2251097.4432562501</v>
      </c>
      <c r="V510">
        <v>-51515.343858730899</v>
      </c>
    </row>
    <row r="511" spans="1:22" x14ac:dyDescent="0.3">
      <c r="A511" t="str">
        <f t="shared" si="14"/>
        <v>GPARPrevisão</v>
      </c>
      <c r="B511" t="str">
        <f t="shared" si="15"/>
        <v>GPARPrevisãoMar-2023</v>
      </c>
      <c r="C511" t="s">
        <v>305</v>
      </c>
      <c r="D511" t="s">
        <v>306</v>
      </c>
      <c r="E511" t="s">
        <v>294</v>
      </c>
      <c r="F511" t="s">
        <v>736</v>
      </c>
      <c r="G511" t="s">
        <v>737</v>
      </c>
      <c r="H511" t="s">
        <v>738</v>
      </c>
      <c r="I511" t="s">
        <v>739</v>
      </c>
      <c r="J511" t="s">
        <v>739</v>
      </c>
      <c r="K511" s="2">
        <v>45015</v>
      </c>
      <c r="L511">
        <v>156203.997175973</v>
      </c>
      <c r="M511">
        <v>2015942.47361875</v>
      </c>
      <c r="N511">
        <v>1634013.45296268</v>
      </c>
      <c r="O511">
        <v>127099.656441749</v>
      </c>
      <c r="P511">
        <v>-2015942.47361875</v>
      </c>
      <c r="Q511">
        <v>-1377161.9382903201</v>
      </c>
      <c r="R511">
        <v>3562.7031248203998</v>
      </c>
      <c r="S511">
        <v>-11303.9824775087</v>
      </c>
      <c r="T511">
        <v>231432.03766711801</v>
      </c>
      <c r="U511">
        <v>2542004.2170398501</v>
      </c>
      <c r="V511">
        <v>-75426.603915569896</v>
      </c>
    </row>
    <row r="512" spans="1:22" x14ac:dyDescent="0.3">
      <c r="A512" t="str">
        <f t="shared" si="14"/>
        <v>GPARPrevisão</v>
      </c>
      <c r="B512" t="str">
        <f t="shared" si="15"/>
        <v>GPARPrevisãoJun-2023</v>
      </c>
      <c r="C512" t="s">
        <v>305</v>
      </c>
      <c r="D512" t="s">
        <v>306</v>
      </c>
      <c r="E512" t="s">
        <v>294</v>
      </c>
      <c r="F512" t="s">
        <v>736</v>
      </c>
      <c r="G512" t="s">
        <v>737</v>
      </c>
      <c r="H512" t="s">
        <v>738</v>
      </c>
      <c r="I512" t="s">
        <v>739</v>
      </c>
      <c r="J512" t="s">
        <v>739</v>
      </c>
      <c r="K512" s="2">
        <v>45107</v>
      </c>
      <c r="L512">
        <v>161630.871672893</v>
      </c>
      <c r="M512">
        <v>2082343.3715765299</v>
      </c>
      <c r="N512">
        <v>1881338.81061833</v>
      </c>
      <c r="O512">
        <v>121008.89114325499</v>
      </c>
      <c r="P512">
        <v>-2082343.3715765299</v>
      </c>
      <c r="Q512">
        <v>-1661593.5002179299</v>
      </c>
      <c r="R512">
        <v>4054.0861009773798</v>
      </c>
      <c r="S512">
        <v>-14619.888317406499</v>
      </c>
      <c r="T512">
        <v>251798.513684442</v>
      </c>
      <c r="U512">
        <v>2826319.7565464498</v>
      </c>
      <c r="V512">
        <v>-102578.19000899</v>
      </c>
    </row>
    <row r="513" spans="1:22" x14ac:dyDescent="0.3">
      <c r="A513" t="str">
        <f t="shared" si="14"/>
        <v>GPARPrevisão</v>
      </c>
      <c r="B513" t="str">
        <f t="shared" si="15"/>
        <v>GPARPrevisãoSet-2023</v>
      </c>
      <c r="C513" t="s">
        <v>305</v>
      </c>
      <c r="D513" t="s">
        <v>306</v>
      </c>
      <c r="E513" t="s">
        <v>294</v>
      </c>
      <c r="F513" t="s">
        <v>736</v>
      </c>
      <c r="G513" t="s">
        <v>737</v>
      </c>
      <c r="H513" t="s">
        <v>738</v>
      </c>
      <c r="I513" t="s">
        <v>739</v>
      </c>
      <c r="J513" t="s">
        <v>739</v>
      </c>
      <c r="K513" s="2">
        <v>45199</v>
      </c>
      <c r="L513">
        <v>166241.22897811999</v>
      </c>
      <c r="M513">
        <v>2149293.7845941698</v>
      </c>
      <c r="N513">
        <v>2152035.2481293301</v>
      </c>
      <c r="O513">
        <v>113416.056752712</v>
      </c>
      <c r="P513">
        <v>-2149293.7845941698</v>
      </c>
      <c r="Q513">
        <v>-1976488.2383449899</v>
      </c>
      <c r="R513">
        <v>4587.9198116748703</v>
      </c>
      <c r="S513">
        <v>-18114.8274877646</v>
      </c>
      <c r="T513">
        <v>273071.88999295002</v>
      </c>
      <c r="U513">
        <v>3102589.5453599198</v>
      </c>
      <c r="V513">
        <v>-133108.22454024799</v>
      </c>
    </row>
    <row r="514" spans="1:22" x14ac:dyDescent="0.3">
      <c r="A514" t="str">
        <f t="shared" ref="A514:A577" si="16">_xlfn.CONCAT(D514,F514)</f>
        <v>ELETPrevisão</v>
      </c>
      <c r="B514" t="str">
        <f t="shared" ref="B514:B577" si="17">_xlfn.CONCAT(D514,F514,PROPER(TEXT(K514,"mmm-aaaa")))</f>
        <v>ELETPrevisãoDez-2022</v>
      </c>
      <c r="C514" t="s">
        <v>295</v>
      </c>
      <c r="D514" t="s">
        <v>296</v>
      </c>
      <c r="E514" t="s">
        <v>294</v>
      </c>
      <c r="F514" t="s">
        <v>736</v>
      </c>
      <c r="G514" t="s">
        <v>737</v>
      </c>
      <c r="H514" t="s">
        <v>738</v>
      </c>
      <c r="I514" t="s">
        <v>739</v>
      </c>
      <c r="J514" t="s">
        <v>739</v>
      </c>
      <c r="K514" s="2">
        <v>44925</v>
      </c>
      <c r="L514">
        <v>391505.16255072702</v>
      </c>
      <c r="M514">
        <v>156137529.21694899</v>
      </c>
      <c r="N514">
        <v>18705130.1773922</v>
      </c>
      <c r="O514">
        <v>568529.16170079005</v>
      </c>
      <c r="P514">
        <v>-156137529.21694899</v>
      </c>
      <c r="Q514">
        <v>-11883385.296410801</v>
      </c>
      <c r="R514">
        <v>-3807.79696120375</v>
      </c>
      <c r="S514">
        <v>-7930.8444105973103</v>
      </c>
      <c r="T514">
        <v>39672498.893126801</v>
      </c>
      <c r="U514">
        <v>117355776.70215499</v>
      </c>
      <c r="V514">
        <v>-160684.61123819699</v>
      </c>
    </row>
    <row r="515" spans="1:22" x14ac:dyDescent="0.3">
      <c r="A515" t="str">
        <f t="shared" si="16"/>
        <v>ELETPrevisão</v>
      </c>
      <c r="B515" t="str">
        <f t="shared" si="17"/>
        <v>ELETPrevisãoMar-2023</v>
      </c>
      <c r="C515" t="s">
        <v>295</v>
      </c>
      <c r="D515" t="s">
        <v>296</v>
      </c>
      <c r="E515" t="s">
        <v>294</v>
      </c>
      <c r="F515" t="s">
        <v>736</v>
      </c>
      <c r="G515" t="s">
        <v>737</v>
      </c>
      <c r="H515" t="s">
        <v>738</v>
      </c>
      <c r="I515" t="s">
        <v>739</v>
      </c>
      <c r="J515" t="s">
        <v>739</v>
      </c>
      <c r="K515" s="2">
        <v>45015</v>
      </c>
      <c r="L515">
        <v>-68510.187788953306</v>
      </c>
      <c r="M515">
        <v>157993942.90431499</v>
      </c>
      <c r="N515">
        <v>16876120.8765347</v>
      </c>
      <c r="O515">
        <v>627675.78246898996</v>
      </c>
      <c r="P515">
        <v>-157993942.90431499</v>
      </c>
      <c r="Q515">
        <v>-10478190.7219398</v>
      </c>
      <c r="R515">
        <v>-5702.3985345127703</v>
      </c>
      <c r="S515">
        <v>-97329.251970208396</v>
      </c>
      <c r="T515">
        <v>42875882.2651577</v>
      </c>
      <c r="U515">
        <v>127119534.05744299</v>
      </c>
      <c r="V515">
        <v>-212846.42738964301</v>
      </c>
    </row>
    <row r="516" spans="1:22" x14ac:dyDescent="0.3">
      <c r="A516" t="str">
        <f t="shared" si="16"/>
        <v>ELETPrevisão</v>
      </c>
      <c r="B516" t="str">
        <f t="shared" si="17"/>
        <v>ELETPrevisãoJun-2023</v>
      </c>
      <c r="C516" t="s">
        <v>295</v>
      </c>
      <c r="D516" t="s">
        <v>296</v>
      </c>
      <c r="E516" t="s">
        <v>294</v>
      </c>
      <c r="F516" t="s">
        <v>736</v>
      </c>
      <c r="G516" t="s">
        <v>737</v>
      </c>
      <c r="H516" t="s">
        <v>738</v>
      </c>
      <c r="I516" t="s">
        <v>739</v>
      </c>
      <c r="J516" t="s">
        <v>739</v>
      </c>
      <c r="K516" s="2">
        <v>45107</v>
      </c>
      <c r="L516">
        <v>-599288.23692290601</v>
      </c>
      <c r="M516">
        <v>159686117.50574601</v>
      </c>
      <c r="N516">
        <v>14737498.4262414</v>
      </c>
      <c r="O516">
        <v>695209.32068111096</v>
      </c>
      <c r="P516">
        <v>-159686117.50574601</v>
      </c>
      <c r="Q516">
        <v>-8826097.1654531695</v>
      </c>
      <c r="R516">
        <v>-7958.3774998496001</v>
      </c>
      <c r="S516">
        <v>-198300.89691436599</v>
      </c>
      <c r="T516">
        <v>46181786.906962499</v>
      </c>
      <c r="U516">
        <v>137678118.05981001</v>
      </c>
      <c r="V516">
        <v>-264591.813313536</v>
      </c>
    </row>
    <row r="517" spans="1:22" x14ac:dyDescent="0.3">
      <c r="A517" t="str">
        <f t="shared" si="16"/>
        <v>ELETPrevisão</v>
      </c>
      <c r="B517" t="str">
        <f t="shared" si="17"/>
        <v>ELETPrevisãoSet-2023</v>
      </c>
      <c r="C517" t="s">
        <v>295</v>
      </c>
      <c r="D517" t="s">
        <v>296</v>
      </c>
      <c r="E517" t="s">
        <v>294</v>
      </c>
      <c r="F517" t="s">
        <v>736</v>
      </c>
      <c r="G517" t="s">
        <v>737</v>
      </c>
      <c r="H517" t="s">
        <v>738</v>
      </c>
      <c r="I517" t="s">
        <v>739</v>
      </c>
      <c r="J517" t="s">
        <v>739</v>
      </c>
      <c r="K517" s="2">
        <v>45199</v>
      </c>
      <c r="L517">
        <v>-1204614.8147966501</v>
      </c>
      <c r="M517">
        <v>161198451.84086701</v>
      </c>
      <c r="N517">
        <v>12272037.0346328</v>
      </c>
      <c r="O517">
        <v>771577.30222676601</v>
      </c>
      <c r="P517">
        <v>-161198451.84086701</v>
      </c>
      <c r="Q517">
        <v>-6913701.2607908202</v>
      </c>
      <c r="R517">
        <v>-10601.522658832801</v>
      </c>
      <c r="S517">
        <v>-311393.84582633601</v>
      </c>
      <c r="T517">
        <v>49586497.747334503</v>
      </c>
      <c r="U517">
        <v>149056799.349958</v>
      </c>
      <c r="V517">
        <v>-315748.28491908201</v>
      </c>
    </row>
    <row r="518" spans="1:22" x14ac:dyDescent="0.3">
      <c r="A518" t="str">
        <f t="shared" si="16"/>
        <v>ALUPPrevisão</v>
      </c>
      <c r="B518" t="str">
        <f t="shared" si="17"/>
        <v>ALUPPrevisãoDez-2022</v>
      </c>
      <c r="C518" t="s">
        <v>292</v>
      </c>
      <c r="D518" t="s">
        <v>293</v>
      </c>
      <c r="E518" t="s">
        <v>294</v>
      </c>
      <c r="F518" t="s">
        <v>736</v>
      </c>
      <c r="G518" t="s">
        <v>737</v>
      </c>
      <c r="H518" t="s">
        <v>738</v>
      </c>
      <c r="I518" t="s">
        <v>739</v>
      </c>
      <c r="J518" t="s">
        <v>739</v>
      </c>
      <c r="K518" s="2">
        <v>44925</v>
      </c>
      <c r="L518">
        <v>261900.736609785</v>
      </c>
      <c r="M518">
        <v>8795641.7716664094</v>
      </c>
      <c r="N518">
        <v>871345.83524301695</v>
      </c>
      <c r="O518">
        <v>313419.005177824</v>
      </c>
      <c r="P518">
        <v>-8795641.7716664094</v>
      </c>
      <c r="Q518">
        <v>-250092.97784570299</v>
      </c>
      <c r="R518">
        <v>7683.4808590104603</v>
      </c>
      <c r="S518">
        <v>-187.30481283418101</v>
      </c>
      <c r="T518">
        <v>4215836.4139715796</v>
      </c>
      <c r="U518">
        <v>7840050.02970888</v>
      </c>
      <c r="V518">
        <v>43137.741023670998</v>
      </c>
    </row>
    <row r="519" spans="1:22" x14ac:dyDescent="0.3">
      <c r="A519" t="str">
        <f t="shared" si="16"/>
        <v>ALUPPrevisão</v>
      </c>
      <c r="B519" t="str">
        <f t="shared" si="17"/>
        <v>ALUPPrevisãoMar-2023</v>
      </c>
      <c r="C519" t="s">
        <v>292</v>
      </c>
      <c r="D519" t="s">
        <v>293</v>
      </c>
      <c r="E519" t="s">
        <v>294</v>
      </c>
      <c r="F519" t="s">
        <v>736</v>
      </c>
      <c r="G519" t="s">
        <v>737</v>
      </c>
      <c r="H519" t="s">
        <v>738</v>
      </c>
      <c r="I519" t="s">
        <v>739</v>
      </c>
      <c r="J519" t="s">
        <v>739</v>
      </c>
      <c r="K519" s="2">
        <v>45015</v>
      </c>
      <c r="L519">
        <v>265143.14501589502</v>
      </c>
      <c r="M519">
        <v>9157898.4291589297</v>
      </c>
      <c r="N519">
        <v>800898.25966435298</v>
      </c>
      <c r="O519">
        <v>311937.797227317</v>
      </c>
      <c r="P519">
        <v>-9157898.4291589297</v>
      </c>
      <c r="Q519">
        <v>-241894.32950676599</v>
      </c>
      <c r="R519">
        <v>8152.7431801551402</v>
      </c>
      <c r="S519">
        <v>-574.31358096056601</v>
      </c>
      <c r="T519">
        <v>4617057.6035737004</v>
      </c>
      <c r="U519">
        <v>8185003.5557345301</v>
      </c>
      <c r="V519">
        <v>50558.912993197097</v>
      </c>
    </row>
    <row r="520" spans="1:22" x14ac:dyDescent="0.3">
      <c r="A520" t="str">
        <f t="shared" si="16"/>
        <v>ALUPPrevisão</v>
      </c>
      <c r="B520" t="str">
        <f t="shared" si="17"/>
        <v>ALUPPrevisãoJun-2023</v>
      </c>
      <c r="C520" t="s">
        <v>292</v>
      </c>
      <c r="D520" t="s">
        <v>293</v>
      </c>
      <c r="E520" t="s">
        <v>294</v>
      </c>
      <c r="F520" t="s">
        <v>736</v>
      </c>
      <c r="G520" t="s">
        <v>737</v>
      </c>
      <c r="H520" t="s">
        <v>738</v>
      </c>
      <c r="I520" t="s">
        <v>739</v>
      </c>
      <c r="J520" t="s">
        <v>739</v>
      </c>
      <c r="K520" s="2">
        <v>45107</v>
      </c>
      <c r="L520">
        <v>267314.02289892</v>
      </c>
      <c r="M520">
        <v>9535097.1775406208</v>
      </c>
      <c r="N520">
        <v>718559.15833750705</v>
      </c>
      <c r="O520">
        <v>308238.114558434</v>
      </c>
      <c r="P520">
        <v>-9535097.1775406208</v>
      </c>
      <c r="Q520">
        <v>-232299.006124607</v>
      </c>
      <c r="R520">
        <v>8639.7787539863803</v>
      </c>
      <c r="S520">
        <v>-1007.20306656209</v>
      </c>
      <c r="T520">
        <v>5047506.0351186702</v>
      </c>
      <c r="U520">
        <v>8541843.0837013703</v>
      </c>
      <c r="V520">
        <v>59203.799138320297</v>
      </c>
    </row>
    <row r="521" spans="1:22" x14ac:dyDescent="0.3">
      <c r="A521" t="str">
        <f t="shared" si="16"/>
        <v>ALUPPrevisão</v>
      </c>
      <c r="B521" t="str">
        <f t="shared" si="17"/>
        <v>ALUPPrevisãoSet-2023</v>
      </c>
      <c r="C521" t="s">
        <v>292</v>
      </c>
      <c r="D521" t="s">
        <v>293</v>
      </c>
      <c r="E521" t="s">
        <v>294</v>
      </c>
      <c r="F521" t="s">
        <v>736</v>
      </c>
      <c r="G521" t="s">
        <v>737</v>
      </c>
      <c r="H521" t="s">
        <v>738</v>
      </c>
      <c r="I521" t="s">
        <v>739</v>
      </c>
      <c r="J521" t="s">
        <v>739</v>
      </c>
      <c r="K521" s="2">
        <v>45199</v>
      </c>
      <c r="L521">
        <v>268337.61166658299</v>
      </c>
      <c r="M521">
        <v>9927675.8911063895</v>
      </c>
      <c r="N521">
        <v>623737.86671363295</v>
      </c>
      <c r="O521">
        <v>302181.72710658202</v>
      </c>
      <c r="P521">
        <v>-9927675.8911063895</v>
      </c>
      <c r="Q521">
        <v>-221241.41293845099</v>
      </c>
      <c r="R521">
        <v>9144.7560619172491</v>
      </c>
      <c r="S521">
        <v>-1488.06333378765</v>
      </c>
      <c r="T521">
        <v>5508208.4796810802</v>
      </c>
      <c r="U521">
        <v>8910787.5701827109</v>
      </c>
      <c r="V521">
        <v>69136.653181553993</v>
      </c>
    </row>
    <row r="522" spans="1:22" x14ac:dyDescent="0.3">
      <c r="A522" t="str">
        <f t="shared" si="16"/>
        <v>BEEFPrevisão</v>
      </c>
      <c r="B522" t="str">
        <f t="shared" si="17"/>
        <v>BEEFPrevisãoDez-2022</v>
      </c>
      <c r="C522" t="s">
        <v>32</v>
      </c>
      <c r="D522" t="s">
        <v>33</v>
      </c>
      <c r="E522" t="s">
        <v>23</v>
      </c>
      <c r="F522" t="s">
        <v>736</v>
      </c>
      <c r="G522" t="s">
        <v>737</v>
      </c>
      <c r="H522" t="s">
        <v>738</v>
      </c>
      <c r="I522" t="s">
        <v>739</v>
      </c>
      <c r="J522" t="s">
        <v>739</v>
      </c>
      <c r="K522" s="2">
        <v>44925</v>
      </c>
      <c r="L522">
        <v>349913.935828919</v>
      </c>
      <c r="M522">
        <v>23248263.758593701</v>
      </c>
      <c r="N522">
        <v>9157574.3615990095</v>
      </c>
      <c r="O522">
        <v>1225572.9569645899</v>
      </c>
      <c r="P522">
        <v>-23248263.758593701</v>
      </c>
      <c r="Q522">
        <v>-6565932.1105168601</v>
      </c>
      <c r="R522">
        <v>116842.876241399</v>
      </c>
      <c r="S522">
        <v>31885.2777353368</v>
      </c>
      <c r="T522">
        <v>485570.77633473702</v>
      </c>
      <c r="U522">
        <v>1210808.66157395</v>
      </c>
      <c r="V522">
        <v>4598428.8125789696</v>
      </c>
    </row>
    <row r="523" spans="1:22" x14ac:dyDescent="0.3">
      <c r="A523" t="str">
        <f t="shared" si="16"/>
        <v>BEEFPrevisão</v>
      </c>
      <c r="B523" t="str">
        <f t="shared" si="17"/>
        <v>BEEFPrevisãoMar-2023</v>
      </c>
      <c r="C523" t="s">
        <v>32</v>
      </c>
      <c r="D523" t="s">
        <v>33</v>
      </c>
      <c r="E523" t="s">
        <v>23</v>
      </c>
      <c r="F523" t="s">
        <v>736</v>
      </c>
      <c r="G523" t="s">
        <v>737</v>
      </c>
      <c r="H523" t="s">
        <v>738</v>
      </c>
      <c r="I523" t="s">
        <v>739</v>
      </c>
      <c r="J523" t="s">
        <v>739</v>
      </c>
      <c r="K523" s="2">
        <v>45015</v>
      </c>
      <c r="L523">
        <v>404790.00434969401</v>
      </c>
      <c r="M523">
        <v>24297244.478695001</v>
      </c>
      <c r="N523">
        <v>9446840.8982097004</v>
      </c>
      <c r="O523">
        <v>1306405.5896874501</v>
      </c>
      <c r="P523">
        <v>-24297244.478695001</v>
      </c>
      <c r="Q523">
        <v>-6813558.24629205</v>
      </c>
      <c r="R523">
        <v>123223.139230132</v>
      </c>
      <c r="S523">
        <v>32631.871861933101</v>
      </c>
      <c r="T523">
        <v>554651.84339645097</v>
      </c>
      <c r="U523">
        <v>1436398.6748362901</v>
      </c>
      <c r="V523">
        <v>4988966.5801685303</v>
      </c>
    </row>
    <row r="524" spans="1:22" x14ac:dyDescent="0.3">
      <c r="A524" t="str">
        <f t="shared" si="16"/>
        <v>BEEFPrevisão</v>
      </c>
      <c r="B524" t="str">
        <f t="shared" si="17"/>
        <v>BEEFPrevisãoJun-2023</v>
      </c>
      <c r="C524" t="s">
        <v>32</v>
      </c>
      <c r="D524" t="s">
        <v>33</v>
      </c>
      <c r="E524" t="s">
        <v>23</v>
      </c>
      <c r="F524" t="s">
        <v>736</v>
      </c>
      <c r="G524" t="s">
        <v>737</v>
      </c>
      <c r="H524" t="s">
        <v>738</v>
      </c>
      <c r="I524" t="s">
        <v>739</v>
      </c>
      <c r="J524" t="s">
        <v>739</v>
      </c>
      <c r="K524" s="2">
        <v>45107</v>
      </c>
      <c r="L524">
        <v>463354.46108555101</v>
      </c>
      <c r="M524">
        <v>25376748.303065401</v>
      </c>
      <c r="N524">
        <v>9733556.5991570093</v>
      </c>
      <c r="O524">
        <v>1390672.7312344001</v>
      </c>
      <c r="P524">
        <v>-25376748.303065401</v>
      </c>
      <c r="Q524">
        <v>-7062796.2939560199</v>
      </c>
      <c r="R524">
        <v>129957.962548725</v>
      </c>
      <c r="S524">
        <v>33643.181531542599</v>
      </c>
      <c r="T524">
        <v>629773.35210100701</v>
      </c>
      <c r="U524">
        <v>1685378.1529868301</v>
      </c>
      <c r="V524">
        <v>5411615.8508748999</v>
      </c>
    </row>
    <row r="525" spans="1:22" x14ac:dyDescent="0.3">
      <c r="A525" t="str">
        <f t="shared" si="16"/>
        <v>BEEFPrevisão</v>
      </c>
      <c r="B525" t="str">
        <f t="shared" si="17"/>
        <v>BEEFPrevisãoSet-2023</v>
      </c>
      <c r="C525" t="s">
        <v>32</v>
      </c>
      <c r="D525" t="s">
        <v>33</v>
      </c>
      <c r="E525" t="s">
        <v>23</v>
      </c>
      <c r="F525" t="s">
        <v>736</v>
      </c>
      <c r="G525" t="s">
        <v>737</v>
      </c>
      <c r="H525" t="s">
        <v>738</v>
      </c>
      <c r="I525" t="s">
        <v>739</v>
      </c>
      <c r="J525" t="s">
        <v>739</v>
      </c>
      <c r="K525" s="2">
        <v>45199</v>
      </c>
      <c r="L525">
        <v>525703.89109974005</v>
      </c>
      <c r="M525">
        <v>26487172.631205902</v>
      </c>
      <c r="N525">
        <v>10017233.450337499</v>
      </c>
      <c r="O525">
        <v>1478429.80208053</v>
      </c>
      <c r="P525">
        <v>-26487172.631205902</v>
      </c>
      <c r="Q525">
        <v>-7313440.23267309</v>
      </c>
      <c r="R525">
        <v>137058.567523812</v>
      </c>
      <c r="S525">
        <v>34940.413229569698</v>
      </c>
      <c r="T525">
        <v>711174.34050245804</v>
      </c>
      <c r="U525">
        <v>1958714.40735042</v>
      </c>
      <c r="V525">
        <v>5867721.2491443604</v>
      </c>
    </row>
    <row r="526" spans="1:22" x14ac:dyDescent="0.3">
      <c r="A526" t="str">
        <f t="shared" si="16"/>
        <v>MRFGPrevisão</v>
      </c>
      <c r="B526" t="str">
        <f t="shared" si="17"/>
        <v>MRFGPrevisãoDez-2022</v>
      </c>
      <c r="C526" t="s">
        <v>30</v>
      </c>
      <c r="D526" t="s">
        <v>31</v>
      </c>
      <c r="E526" t="s">
        <v>23</v>
      </c>
      <c r="F526" t="s">
        <v>736</v>
      </c>
      <c r="G526" t="s">
        <v>737</v>
      </c>
      <c r="H526" t="s">
        <v>738</v>
      </c>
      <c r="I526" t="s">
        <v>739</v>
      </c>
      <c r="J526" t="s">
        <v>739</v>
      </c>
      <c r="K526" s="2">
        <v>44925</v>
      </c>
      <c r="L526">
        <v>2301940.6853407999</v>
      </c>
      <c r="M526">
        <v>56237969.275780998</v>
      </c>
      <c r="N526">
        <v>8966207.2670403197</v>
      </c>
      <c r="O526">
        <v>2994618.7945846599</v>
      </c>
      <c r="P526">
        <v>-56237969.275780998</v>
      </c>
      <c r="Q526">
        <v>-12487791.7135219</v>
      </c>
      <c r="R526">
        <v>125197.034377413</v>
      </c>
      <c r="S526">
        <v>173699.90187589001</v>
      </c>
      <c r="T526">
        <v>2808389.8829478999</v>
      </c>
      <c r="U526">
        <v>7364748.4102361696</v>
      </c>
      <c r="V526">
        <v>5255787.1640777104</v>
      </c>
    </row>
    <row r="527" spans="1:22" x14ac:dyDescent="0.3">
      <c r="A527" t="str">
        <f t="shared" si="16"/>
        <v>MRFGPrevisão</v>
      </c>
      <c r="B527" t="str">
        <f t="shared" si="17"/>
        <v>MRFGPrevisãoMar-2023</v>
      </c>
      <c r="C527" t="s">
        <v>30</v>
      </c>
      <c r="D527" t="s">
        <v>31</v>
      </c>
      <c r="E527" t="s">
        <v>23</v>
      </c>
      <c r="F527" t="s">
        <v>736</v>
      </c>
      <c r="G527" t="s">
        <v>737</v>
      </c>
      <c r="H527" t="s">
        <v>738</v>
      </c>
      <c r="I527" t="s">
        <v>739</v>
      </c>
      <c r="J527" t="s">
        <v>739</v>
      </c>
      <c r="K527" s="2">
        <v>45015</v>
      </c>
      <c r="L527">
        <v>2617219.6918515302</v>
      </c>
      <c r="M527">
        <v>60849630.527613297</v>
      </c>
      <c r="N527">
        <v>9546108.6060516592</v>
      </c>
      <c r="O527">
        <v>3349859.6935172402</v>
      </c>
      <c r="P527">
        <v>-60849630.527613297</v>
      </c>
      <c r="Q527">
        <v>-13537066.9055674</v>
      </c>
      <c r="R527">
        <v>114332.95059156801</v>
      </c>
      <c r="S527">
        <v>154327.62476454899</v>
      </c>
      <c r="T527">
        <v>3291005.4106598501</v>
      </c>
      <c r="U527">
        <v>8457236.1226635799</v>
      </c>
      <c r="V527">
        <v>5645459.6091461601</v>
      </c>
    </row>
    <row r="528" spans="1:22" x14ac:dyDescent="0.3">
      <c r="A528" t="str">
        <f t="shared" si="16"/>
        <v>MRFGPrevisão</v>
      </c>
      <c r="B528" t="str">
        <f t="shared" si="17"/>
        <v>MRFGPrevisãoJun-2023</v>
      </c>
      <c r="C528" t="s">
        <v>30</v>
      </c>
      <c r="D528" t="s">
        <v>31</v>
      </c>
      <c r="E528" t="s">
        <v>23</v>
      </c>
      <c r="F528" t="s">
        <v>736</v>
      </c>
      <c r="G528" t="s">
        <v>737</v>
      </c>
      <c r="H528" t="s">
        <v>738</v>
      </c>
      <c r="I528" t="s">
        <v>739</v>
      </c>
      <c r="J528" t="s">
        <v>739</v>
      </c>
      <c r="K528" s="2">
        <v>45107</v>
      </c>
      <c r="L528">
        <v>2956666.1121789902</v>
      </c>
      <c r="M528">
        <v>65790626.2507217</v>
      </c>
      <c r="N528">
        <v>10171239.084513299</v>
      </c>
      <c r="O528">
        <v>3734716.1538214502</v>
      </c>
      <c r="P528">
        <v>-65790626.2507217</v>
      </c>
      <c r="Q528">
        <v>-14660268.9588989</v>
      </c>
      <c r="R528">
        <v>101630.32881201799</v>
      </c>
      <c r="S528">
        <v>131661.335381235</v>
      </c>
      <c r="T528">
        <v>3820400.7258387599</v>
      </c>
      <c r="U528">
        <v>9648934.18367563</v>
      </c>
      <c r="V528">
        <v>6060725.9061587602</v>
      </c>
    </row>
    <row r="529" spans="1:22" x14ac:dyDescent="0.3">
      <c r="A529" t="str">
        <f t="shared" si="16"/>
        <v>MRFGPrevisão</v>
      </c>
      <c r="B529" t="str">
        <f t="shared" si="17"/>
        <v>MRFGPrevisãoSet-2023</v>
      </c>
      <c r="C529" t="s">
        <v>30</v>
      </c>
      <c r="D529" t="s">
        <v>31</v>
      </c>
      <c r="E529" t="s">
        <v>23</v>
      </c>
      <c r="F529" t="s">
        <v>736</v>
      </c>
      <c r="G529" t="s">
        <v>737</v>
      </c>
      <c r="H529" t="s">
        <v>738</v>
      </c>
      <c r="I529" t="s">
        <v>739</v>
      </c>
      <c r="J529" t="s">
        <v>739</v>
      </c>
      <c r="K529" s="2">
        <v>45199</v>
      </c>
      <c r="L529">
        <v>3321129.4996452699</v>
      </c>
      <c r="M529">
        <v>71072434.370285198</v>
      </c>
      <c r="N529">
        <v>10843371.1402102</v>
      </c>
      <c r="O529">
        <v>4150330.2923061801</v>
      </c>
      <c r="P529">
        <v>-71072434.370285198</v>
      </c>
      <c r="Q529">
        <v>-15860023.717197301</v>
      </c>
      <c r="R529">
        <v>86991.929424948205</v>
      </c>
      <c r="S529">
        <v>105539.04508748</v>
      </c>
      <c r="T529">
        <v>4398568.8701303098</v>
      </c>
      <c r="U529">
        <v>10943233.552567</v>
      </c>
      <c r="V529">
        <v>6502447.3797375802</v>
      </c>
    </row>
    <row r="530" spans="1:22" x14ac:dyDescent="0.3">
      <c r="A530" t="str">
        <f t="shared" si="16"/>
        <v>MDIAPrevisão</v>
      </c>
      <c r="B530" t="str">
        <f t="shared" si="17"/>
        <v>MDIAPrevisãoDez-2022</v>
      </c>
      <c r="C530" t="s">
        <v>28</v>
      </c>
      <c r="D530" t="s">
        <v>29</v>
      </c>
      <c r="E530" t="s">
        <v>23</v>
      </c>
      <c r="F530" t="s">
        <v>736</v>
      </c>
      <c r="G530" t="s">
        <v>737</v>
      </c>
      <c r="H530" t="s">
        <v>738</v>
      </c>
      <c r="I530" t="s">
        <v>739</v>
      </c>
      <c r="J530" t="s">
        <v>739</v>
      </c>
      <c r="K530" s="2">
        <v>44925</v>
      </c>
      <c r="L530">
        <v>158363.91163760499</v>
      </c>
      <c r="M530">
        <v>11670673.047789199</v>
      </c>
      <c r="N530">
        <v>5241860.9077325296</v>
      </c>
      <c r="O530">
        <v>1605293.23716181</v>
      </c>
      <c r="P530">
        <v>-11670673.047789199</v>
      </c>
      <c r="Q530">
        <v>-2043164.4216109901</v>
      </c>
      <c r="R530">
        <v>227950.70112898899</v>
      </c>
      <c r="S530">
        <v>148605.03649945301</v>
      </c>
      <c r="T530">
        <v>4057889.1089041699</v>
      </c>
      <c r="U530">
        <v>6670706.4103215998</v>
      </c>
      <c r="V530">
        <v>2828047.41532978</v>
      </c>
    </row>
    <row r="531" spans="1:22" x14ac:dyDescent="0.3">
      <c r="A531" t="str">
        <f t="shared" si="16"/>
        <v>MDIAPrevisão</v>
      </c>
      <c r="B531" t="str">
        <f t="shared" si="17"/>
        <v>MDIAPrevisãoMar-2023</v>
      </c>
      <c r="C531" t="s">
        <v>28</v>
      </c>
      <c r="D531" t="s">
        <v>29</v>
      </c>
      <c r="E531" t="s">
        <v>23</v>
      </c>
      <c r="F531" t="s">
        <v>736</v>
      </c>
      <c r="G531" t="s">
        <v>737</v>
      </c>
      <c r="H531" t="s">
        <v>738</v>
      </c>
      <c r="I531" t="s">
        <v>739</v>
      </c>
      <c r="J531" t="s">
        <v>739</v>
      </c>
      <c r="K531" s="2">
        <v>45015</v>
      </c>
      <c r="L531">
        <v>161718.492109627</v>
      </c>
      <c r="M531">
        <v>12035629.543642599</v>
      </c>
      <c r="N531">
        <v>5554931.1137835197</v>
      </c>
      <c r="O531">
        <v>1735329.2401900999</v>
      </c>
      <c r="P531">
        <v>-12035629.543642599</v>
      </c>
      <c r="Q531">
        <v>-2118349.9632251798</v>
      </c>
      <c r="R531">
        <v>235812.58746682401</v>
      </c>
      <c r="S531">
        <v>157961.53444507101</v>
      </c>
      <c r="T531">
        <v>4126536.0954697998</v>
      </c>
      <c r="U531">
        <v>6637498.7542399904</v>
      </c>
      <c r="V531">
        <v>3047955.5009739101</v>
      </c>
    </row>
    <row r="532" spans="1:22" x14ac:dyDescent="0.3">
      <c r="A532" t="str">
        <f t="shared" si="16"/>
        <v>MDIAPrevisão</v>
      </c>
      <c r="B532" t="str">
        <f t="shared" si="17"/>
        <v>MDIAPrevisãoJun-2023</v>
      </c>
      <c r="C532" t="s">
        <v>28</v>
      </c>
      <c r="D532" t="s">
        <v>29</v>
      </c>
      <c r="E532" t="s">
        <v>23</v>
      </c>
      <c r="F532" t="s">
        <v>736</v>
      </c>
      <c r="G532" t="s">
        <v>737</v>
      </c>
      <c r="H532" t="s">
        <v>738</v>
      </c>
      <c r="I532" t="s">
        <v>739</v>
      </c>
      <c r="J532" t="s">
        <v>739</v>
      </c>
      <c r="K532" s="2">
        <v>45107</v>
      </c>
      <c r="L532">
        <v>165926.449707441</v>
      </c>
      <c r="M532">
        <v>12404508.2686533</v>
      </c>
      <c r="N532">
        <v>5888236.91356772</v>
      </c>
      <c r="O532">
        <v>1876594.9711710201</v>
      </c>
      <c r="P532">
        <v>-12404508.2686533</v>
      </c>
      <c r="Q532">
        <v>-2194477.7073705401</v>
      </c>
      <c r="R532">
        <v>244125.89429583601</v>
      </c>
      <c r="S532">
        <v>168092.964167306</v>
      </c>
      <c r="T532">
        <v>4189883.4921201202</v>
      </c>
      <c r="U532">
        <v>6580080.4600629099</v>
      </c>
      <c r="V532">
        <v>3288467.3157508201</v>
      </c>
    </row>
    <row r="533" spans="1:22" x14ac:dyDescent="0.3">
      <c r="A533" t="str">
        <f t="shared" si="16"/>
        <v>MDIAPrevisão</v>
      </c>
      <c r="B533" t="str">
        <f t="shared" si="17"/>
        <v>MDIAPrevisãoSet-2023</v>
      </c>
      <c r="C533" t="s">
        <v>28</v>
      </c>
      <c r="D533" t="s">
        <v>29</v>
      </c>
      <c r="E533" t="s">
        <v>23</v>
      </c>
      <c r="F533" t="s">
        <v>736</v>
      </c>
      <c r="G533" t="s">
        <v>737</v>
      </c>
      <c r="H533" t="s">
        <v>738</v>
      </c>
      <c r="I533" t="s">
        <v>739</v>
      </c>
      <c r="J533" t="s">
        <v>739</v>
      </c>
      <c r="K533" s="2">
        <v>45199</v>
      </c>
      <c r="L533">
        <v>171052.67811814701</v>
      </c>
      <c r="M533">
        <v>12777172.577961599</v>
      </c>
      <c r="N533">
        <v>6242621.0237595001</v>
      </c>
      <c r="O533">
        <v>2029596.38231829</v>
      </c>
      <c r="P533">
        <v>-12777172.577961599</v>
      </c>
      <c r="Q533">
        <v>-2271509.4560436201</v>
      </c>
      <c r="R533">
        <v>252916.26658329801</v>
      </c>
      <c r="S533">
        <v>179036.14389511099</v>
      </c>
      <c r="T533">
        <v>4247592.8054792602</v>
      </c>
      <c r="U533">
        <v>6497242.3844942404</v>
      </c>
      <c r="V533">
        <v>3550579.5876258598</v>
      </c>
    </row>
    <row r="534" spans="1:22" x14ac:dyDescent="0.3">
      <c r="A534" t="str">
        <f t="shared" si="16"/>
        <v>JBSSPrevisão</v>
      </c>
      <c r="B534" t="str">
        <f t="shared" si="17"/>
        <v>JBSSPrevisãoDez-2022</v>
      </c>
      <c r="C534" t="s">
        <v>26</v>
      </c>
      <c r="D534" t="s">
        <v>27</v>
      </c>
      <c r="E534" t="s">
        <v>23</v>
      </c>
      <c r="F534" t="s">
        <v>736</v>
      </c>
      <c r="G534" t="s">
        <v>737</v>
      </c>
      <c r="H534" t="s">
        <v>738</v>
      </c>
      <c r="I534" t="s">
        <v>739</v>
      </c>
      <c r="J534" t="s">
        <v>739</v>
      </c>
      <c r="K534" s="2">
        <v>44925</v>
      </c>
      <c r="L534">
        <v>6860288.6221049903</v>
      </c>
      <c r="M534">
        <v>106832376.570931</v>
      </c>
      <c r="N534">
        <v>17913687.290205099</v>
      </c>
      <c r="O534">
        <v>4827000.1391242696</v>
      </c>
      <c r="P534">
        <v>-106832376.570931</v>
      </c>
      <c r="Q534">
        <v>-18162749.3779005</v>
      </c>
      <c r="R534">
        <v>1095587.9461844999</v>
      </c>
      <c r="S534">
        <v>245930.24913006599</v>
      </c>
      <c r="T534">
        <v>9311497.1272414997</v>
      </c>
      <c r="U534">
        <v>51399097.172224797</v>
      </c>
      <c r="V534">
        <v>17321821.0263994</v>
      </c>
    </row>
    <row r="535" spans="1:22" x14ac:dyDescent="0.3">
      <c r="A535" t="str">
        <f t="shared" si="16"/>
        <v>JBSSPrevisão</v>
      </c>
      <c r="B535" t="str">
        <f t="shared" si="17"/>
        <v>JBSSPrevisãoMar-2023</v>
      </c>
      <c r="C535" t="s">
        <v>26</v>
      </c>
      <c r="D535" t="s">
        <v>27</v>
      </c>
      <c r="E535" t="s">
        <v>23</v>
      </c>
      <c r="F535" t="s">
        <v>736</v>
      </c>
      <c r="G535" t="s">
        <v>737</v>
      </c>
      <c r="H535" t="s">
        <v>738</v>
      </c>
      <c r="I535" t="s">
        <v>739</v>
      </c>
      <c r="J535" t="s">
        <v>739</v>
      </c>
      <c r="K535" s="2">
        <v>45015</v>
      </c>
      <c r="L535">
        <v>7890536.7076598899</v>
      </c>
      <c r="M535">
        <v>112764876.79773501</v>
      </c>
      <c r="N535">
        <v>20371134.975364398</v>
      </c>
      <c r="O535">
        <v>5492369.6468088301</v>
      </c>
      <c r="P535">
        <v>-112764876.79773501</v>
      </c>
      <c r="Q535">
        <v>-20320853.118526202</v>
      </c>
      <c r="R535">
        <v>1130802.85908134</v>
      </c>
      <c r="S535">
        <v>210018.597171006</v>
      </c>
      <c r="T535">
        <v>10463125.3287024</v>
      </c>
      <c r="U535">
        <v>54489586.450278901</v>
      </c>
      <c r="V535">
        <v>18877627.011114102</v>
      </c>
    </row>
    <row r="536" spans="1:22" x14ac:dyDescent="0.3">
      <c r="A536" t="str">
        <f t="shared" si="16"/>
        <v>JBSSPrevisão</v>
      </c>
      <c r="B536" t="str">
        <f t="shared" si="17"/>
        <v>JBSSPrevisãoJun-2023</v>
      </c>
      <c r="C536" t="s">
        <v>26</v>
      </c>
      <c r="D536" t="s">
        <v>27</v>
      </c>
      <c r="E536" t="s">
        <v>23</v>
      </c>
      <c r="F536" t="s">
        <v>736</v>
      </c>
      <c r="G536" t="s">
        <v>737</v>
      </c>
      <c r="H536" t="s">
        <v>738</v>
      </c>
      <c r="I536" t="s">
        <v>739</v>
      </c>
      <c r="J536" t="s">
        <v>739</v>
      </c>
      <c r="K536" s="2">
        <v>45107</v>
      </c>
      <c r="L536">
        <v>9017561.1364884507</v>
      </c>
      <c r="M536">
        <v>119157970.600105</v>
      </c>
      <c r="N536">
        <v>23162671.623321</v>
      </c>
      <c r="O536">
        <v>6245614.9743331699</v>
      </c>
      <c r="P536">
        <v>-119157970.600105</v>
      </c>
      <c r="Q536">
        <v>-22772008.726321202</v>
      </c>
      <c r="R536">
        <v>1166012.7134958699</v>
      </c>
      <c r="S536">
        <v>168077.273908017</v>
      </c>
      <c r="T536">
        <v>11731805.962531</v>
      </c>
      <c r="U536">
        <v>57810875.072916798</v>
      </c>
      <c r="V536">
        <v>20576128.695382599</v>
      </c>
    </row>
    <row r="537" spans="1:22" x14ac:dyDescent="0.3">
      <c r="A537" t="str">
        <f t="shared" si="16"/>
        <v>JBSSPrevisão</v>
      </c>
      <c r="B537" t="str">
        <f t="shared" si="17"/>
        <v>JBSSPrevisãoSet-2023</v>
      </c>
      <c r="C537" t="s">
        <v>26</v>
      </c>
      <c r="D537" t="s">
        <v>27</v>
      </c>
      <c r="E537" t="s">
        <v>23</v>
      </c>
      <c r="F537" t="s">
        <v>736</v>
      </c>
      <c r="G537" t="s">
        <v>737</v>
      </c>
      <c r="H537" t="s">
        <v>738</v>
      </c>
      <c r="I537" t="s">
        <v>739</v>
      </c>
      <c r="J537" t="s">
        <v>739</v>
      </c>
      <c r="K537" s="2">
        <v>45199</v>
      </c>
      <c r="L537">
        <v>10245472.4597848</v>
      </c>
      <c r="M537">
        <v>126031965.959113</v>
      </c>
      <c r="N537">
        <v>26305831.582524002</v>
      </c>
      <c r="O537">
        <v>7091297.8805337604</v>
      </c>
      <c r="P537">
        <v>-126031965.959113</v>
      </c>
      <c r="Q537">
        <v>-25532185.746431101</v>
      </c>
      <c r="R537">
        <v>1201161.7872814499</v>
      </c>
      <c r="S537">
        <v>119795.25787088501</v>
      </c>
      <c r="T537">
        <v>13122925.277767999</v>
      </c>
      <c r="U537">
        <v>61371873.601042598</v>
      </c>
      <c r="V537">
        <v>22423743.171308</v>
      </c>
    </row>
    <row r="538" spans="1:22" x14ac:dyDescent="0.3">
      <c r="A538" t="str">
        <f t="shared" si="16"/>
        <v>MEALPrevisão</v>
      </c>
      <c r="B538" t="str">
        <f t="shared" si="17"/>
        <v>MEALPrevisãoDez-2022</v>
      </c>
      <c r="C538" t="s">
        <v>36</v>
      </c>
      <c r="D538" t="s">
        <v>37</v>
      </c>
      <c r="E538" t="s">
        <v>23</v>
      </c>
      <c r="F538" t="s">
        <v>736</v>
      </c>
      <c r="G538" t="s">
        <v>737</v>
      </c>
      <c r="H538" t="s">
        <v>738</v>
      </c>
      <c r="I538" t="s">
        <v>739</v>
      </c>
      <c r="J538" t="s">
        <v>739</v>
      </c>
      <c r="K538" s="2">
        <v>44925</v>
      </c>
      <c r="L538">
        <v>21773.721652459601</v>
      </c>
      <c r="M538">
        <v>2019526.8937324199</v>
      </c>
      <c r="N538">
        <v>67625.772364681499</v>
      </c>
      <c r="O538">
        <v>16765.683760688898</v>
      </c>
      <c r="P538">
        <v>-2019526.8937324199</v>
      </c>
      <c r="Q538">
        <v>-191452.55527066</v>
      </c>
      <c r="R538">
        <v>23948.373789172401</v>
      </c>
      <c r="S538">
        <v>1965.1182336193899</v>
      </c>
      <c r="T538">
        <v>158.54188034248199</v>
      </c>
      <c r="U538">
        <v>1288835.4982912</v>
      </c>
      <c r="V538">
        <v>29549.520797721299</v>
      </c>
    </row>
    <row r="539" spans="1:22" x14ac:dyDescent="0.3">
      <c r="A539" t="str">
        <f t="shared" si="16"/>
        <v>MEALPrevisão</v>
      </c>
      <c r="B539" t="str">
        <f t="shared" si="17"/>
        <v>MEALPrevisãoMar-2023</v>
      </c>
      <c r="C539" t="s">
        <v>36</v>
      </c>
      <c r="D539" t="s">
        <v>37</v>
      </c>
      <c r="E539" t="s">
        <v>23</v>
      </c>
      <c r="F539" t="s">
        <v>736</v>
      </c>
      <c r="G539" t="s">
        <v>737</v>
      </c>
      <c r="H539" t="s">
        <v>738</v>
      </c>
      <c r="I539" t="s">
        <v>739</v>
      </c>
      <c r="J539" t="s">
        <v>739</v>
      </c>
      <c r="K539" s="2">
        <v>45015</v>
      </c>
      <c r="L539">
        <v>46697.021896667</v>
      </c>
      <c r="M539">
        <v>2121177.5685798302</v>
      </c>
      <c r="N539">
        <v>31393.2276760366</v>
      </c>
      <c r="O539">
        <v>19260.260317466302</v>
      </c>
      <c r="P539">
        <v>-2121177.5685798302</v>
      </c>
      <c r="Q539">
        <v>-209826.63256003801</v>
      </c>
      <c r="R539">
        <v>26462.887830686301</v>
      </c>
      <c r="S539">
        <v>2751.3315425329201</v>
      </c>
      <c r="T539">
        <v>416.78949939021402</v>
      </c>
      <c r="U539">
        <v>1397286.0004891001</v>
      </c>
      <c r="V539">
        <v>31933.754985755299</v>
      </c>
    </row>
    <row r="540" spans="1:22" x14ac:dyDescent="0.3">
      <c r="A540" t="str">
        <f t="shared" si="16"/>
        <v>MEALPrevisão</v>
      </c>
      <c r="B540" t="str">
        <f t="shared" si="17"/>
        <v>MEALPrevisãoJun-2023</v>
      </c>
      <c r="C540" t="s">
        <v>36</v>
      </c>
      <c r="D540" t="s">
        <v>37</v>
      </c>
      <c r="E540" t="s">
        <v>23</v>
      </c>
      <c r="F540" t="s">
        <v>736</v>
      </c>
      <c r="G540" t="s">
        <v>737</v>
      </c>
      <c r="H540" t="s">
        <v>738</v>
      </c>
      <c r="I540" t="s">
        <v>739</v>
      </c>
      <c r="J540" t="s">
        <v>739</v>
      </c>
      <c r="K540" s="2">
        <v>45107</v>
      </c>
      <c r="L540">
        <v>76029.349478671094</v>
      </c>
      <c r="M540">
        <v>2235018.54010949</v>
      </c>
      <c r="N540">
        <v>-11195.3765090506</v>
      </c>
      <c r="O540">
        <v>22274.399612654801</v>
      </c>
      <c r="P540">
        <v>-2235018.54010949</v>
      </c>
      <c r="Q540">
        <v>-229490.933364214</v>
      </c>
      <c r="R540">
        <v>29347.130700459998</v>
      </c>
      <c r="S540">
        <v>3692.7144906195599</v>
      </c>
      <c r="T540">
        <v>811.37124331689699</v>
      </c>
      <c r="U540">
        <v>1528268.6764354799</v>
      </c>
      <c r="V540">
        <v>34732.408019311602</v>
      </c>
    </row>
    <row r="541" spans="1:22" x14ac:dyDescent="0.3">
      <c r="A541" t="str">
        <f t="shared" si="16"/>
        <v>MEALPrevisão</v>
      </c>
      <c r="B541" t="str">
        <f t="shared" si="17"/>
        <v>MEALPrevisãoSet-2023</v>
      </c>
      <c r="C541" t="s">
        <v>36</v>
      </c>
      <c r="D541" t="s">
        <v>37</v>
      </c>
      <c r="E541" t="s">
        <v>23</v>
      </c>
      <c r="F541" t="s">
        <v>736</v>
      </c>
      <c r="G541" t="s">
        <v>737</v>
      </c>
      <c r="H541" t="s">
        <v>738</v>
      </c>
      <c r="I541" t="s">
        <v>739</v>
      </c>
      <c r="J541" t="s">
        <v>739</v>
      </c>
      <c r="K541" s="2">
        <v>45199</v>
      </c>
      <c r="L541">
        <v>110055.21864348601</v>
      </c>
      <c r="M541">
        <v>2361983.9852641202</v>
      </c>
      <c r="N541">
        <v>-60534.8240495059</v>
      </c>
      <c r="O541">
        <v>25843.008041774501</v>
      </c>
      <c r="P541">
        <v>-2361983.9852641202</v>
      </c>
      <c r="Q541">
        <v>-250472.88514168299</v>
      </c>
      <c r="R541">
        <v>32623.925603130701</v>
      </c>
      <c r="S541">
        <v>4799.5220832825999</v>
      </c>
      <c r="T541">
        <v>1354.2592311912099</v>
      </c>
      <c r="U541">
        <v>1683630.0698085099</v>
      </c>
      <c r="V541">
        <v>37958.717190854899</v>
      </c>
    </row>
    <row r="542" spans="1:22" x14ac:dyDescent="0.3">
      <c r="A542" t="str">
        <f t="shared" si="16"/>
        <v>BAUHPrevisão</v>
      </c>
      <c r="B542" t="str">
        <f t="shared" si="17"/>
        <v>BAUHPrevisãoDez-2022</v>
      </c>
      <c r="C542" t="s">
        <v>24</v>
      </c>
      <c r="D542" t="s">
        <v>25</v>
      </c>
      <c r="E542" t="s">
        <v>23</v>
      </c>
      <c r="F542" t="s">
        <v>736</v>
      </c>
      <c r="G542" t="s">
        <v>737</v>
      </c>
      <c r="H542" t="s">
        <v>738</v>
      </c>
      <c r="I542" t="s">
        <v>739</v>
      </c>
      <c r="J542" t="s">
        <v>739</v>
      </c>
      <c r="K542" s="2">
        <v>44925</v>
      </c>
      <c r="L542">
        <v>1563.6608097784699</v>
      </c>
      <c r="M542">
        <v>179750.67006196099</v>
      </c>
      <c r="N542">
        <v>40476.739835323198</v>
      </c>
      <c r="O542">
        <v>18971.737034202299</v>
      </c>
      <c r="P542">
        <v>-179750.67006196099</v>
      </c>
      <c r="Q542">
        <v>-56916.612681432904</v>
      </c>
      <c r="R542">
        <v>4723.6533401221104</v>
      </c>
      <c r="S542">
        <v>7363.31932773074</v>
      </c>
      <c r="T542">
        <v>64470.578473813803</v>
      </c>
      <c r="U542">
        <v>119372.63738221901</v>
      </c>
      <c r="V542">
        <v>44931.349800536103</v>
      </c>
    </row>
    <row r="543" spans="1:22" x14ac:dyDescent="0.3">
      <c r="A543" t="str">
        <f t="shared" si="16"/>
        <v>BAUHPrevisão</v>
      </c>
      <c r="B543" t="str">
        <f t="shared" si="17"/>
        <v>BAUHPrevisãoMar-2023</v>
      </c>
      <c r="C543" t="s">
        <v>24</v>
      </c>
      <c r="D543" t="s">
        <v>25</v>
      </c>
      <c r="E543" t="s">
        <v>23</v>
      </c>
      <c r="F543" t="s">
        <v>736</v>
      </c>
      <c r="G543" t="s">
        <v>737</v>
      </c>
      <c r="H543" t="s">
        <v>738</v>
      </c>
      <c r="I543" t="s">
        <v>739</v>
      </c>
      <c r="J543" t="s">
        <v>739</v>
      </c>
      <c r="K543" s="2">
        <v>45015</v>
      </c>
      <c r="L543">
        <v>985.02351014109297</v>
      </c>
      <c r="M543">
        <v>187567.24826965501</v>
      </c>
      <c r="N543">
        <v>35839.320610137896</v>
      </c>
      <c r="O543">
        <v>18951.855018496299</v>
      </c>
      <c r="P543">
        <v>-187567.24826965501</v>
      </c>
      <c r="Q543">
        <v>-59334.424758597001</v>
      </c>
      <c r="R543">
        <v>3871.9984767020001</v>
      </c>
      <c r="S543">
        <v>8361.2432432433197</v>
      </c>
      <c r="T543">
        <v>68877.208058325894</v>
      </c>
      <c r="U543">
        <v>125344.206202375</v>
      </c>
      <c r="V543">
        <v>44563.726630384699</v>
      </c>
    </row>
    <row r="544" spans="1:22" x14ac:dyDescent="0.3">
      <c r="A544" t="str">
        <f t="shared" si="16"/>
        <v>BAUHPrevisão</v>
      </c>
      <c r="B544" t="str">
        <f t="shared" si="17"/>
        <v>BAUHPrevisãoJun-2023</v>
      </c>
      <c r="C544" t="s">
        <v>24</v>
      </c>
      <c r="D544" t="s">
        <v>25</v>
      </c>
      <c r="E544" t="s">
        <v>23</v>
      </c>
      <c r="F544" t="s">
        <v>736</v>
      </c>
      <c r="G544" t="s">
        <v>737</v>
      </c>
      <c r="H544" t="s">
        <v>738</v>
      </c>
      <c r="I544" t="s">
        <v>739</v>
      </c>
      <c r="J544" t="s">
        <v>739</v>
      </c>
      <c r="K544" s="2">
        <v>45107</v>
      </c>
      <c r="L544">
        <v>333.70968721107403</v>
      </c>
      <c r="M544">
        <v>195549.330899628</v>
      </c>
      <c r="N544">
        <v>30543.409912377501</v>
      </c>
      <c r="O544">
        <v>18918.427253027701</v>
      </c>
      <c r="P544">
        <v>-195549.330899628</v>
      </c>
      <c r="Q544">
        <v>-61859.151713648098</v>
      </c>
      <c r="R544">
        <v>2862.5652973517899</v>
      </c>
      <c r="S544">
        <v>9514.8905092625992</v>
      </c>
      <c r="T544">
        <v>73482.337276080594</v>
      </c>
      <c r="U544">
        <v>131490.77068483399</v>
      </c>
      <c r="V544">
        <v>44094.606878411701</v>
      </c>
    </row>
    <row r="545" spans="1:22" x14ac:dyDescent="0.3">
      <c r="A545" t="str">
        <f t="shared" si="16"/>
        <v>BAUHPrevisão</v>
      </c>
      <c r="B545" t="str">
        <f t="shared" si="17"/>
        <v>BAUHPrevisãoSet-2023</v>
      </c>
      <c r="C545" t="s">
        <v>24</v>
      </c>
      <c r="D545" t="s">
        <v>25</v>
      </c>
      <c r="E545" t="s">
        <v>23</v>
      </c>
      <c r="F545" t="s">
        <v>736</v>
      </c>
      <c r="G545" t="s">
        <v>737</v>
      </c>
      <c r="H545" t="s">
        <v>738</v>
      </c>
      <c r="I545" t="s">
        <v>739</v>
      </c>
      <c r="J545" t="s">
        <v>739</v>
      </c>
      <c r="K545" s="2">
        <v>45199</v>
      </c>
      <c r="L545">
        <v>-393.48998071935802</v>
      </c>
      <c r="M545">
        <v>203693.53047139</v>
      </c>
      <c r="N545">
        <v>24559.0823523859</v>
      </c>
      <c r="O545">
        <v>18871.6751334113</v>
      </c>
      <c r="P545">
        <v>-203693.53047139</v>
      </c>
      <c r="Q545">
        <v>-64493.616735641503</v>
      </c>
      <c r="R545">
        <v>1686.86766556369</v>
      </c>
      <c r="S545">
        <v>10833.1602802419</v>
      </c>
      <c r="T545">
        <v>78290.604446707002</v>
      </c>
      <c r="U545">
        <v>137814.54087590001</v>
      </c>
      <c r="V545">
        <v>43520.8609104473</v>
      </c>
    </row>
    <row r="546" spans="1:22" x14ac:dyDescent="0.3">
      <c r="A546" t="str">
        <f t="shared" si="16"/>
        <v>ODERPrevisão</v>
      </c>
      <c r="B546" t="str">
        <f t="shared" si="17"/>
        <v>ODERPrevisãoDez-2022</v>
      </c>
      <c r="C546" t="s">
        <v>21</v>
      </c>
      <c r="D546" t="s">
        <v>22</v>
      </c>
      <c r="E546" t="s">
        <v>23</v>
      </c>
      <c r="F546" t="s">
        <v>736</v>
      </c>
      <c r="G546" t="s">
        <v>737</v>
      </c>
      <c r="H546" t="s">
        <v>738</v>
      </c>
      <c r="I546" t="s">
        <v>739</v>
      </c>
      <c r="J546" t="s">
        <v>739</v>
      </c>
      <c r="K546" s="2">
        <v>44925</v>
      </c>
      <c r="L546">
        <v>34467.2883456415</v>
      </c>
      <c r="M546">
        <v>934196.97699686897</v>
      </c>
      <c r="N546">
        <v>707938.29674896295</v>
      </c>
      <c r="O546">
        <v>128429.13063407601</v>
      </c>
      <c r="P546">
        <v>-934196.97699686897</v>
      </c>
      <c r="Q546">
        <v>-318077.65868760098</v>
      </c>
      <c r="R546">
        <v>19343.6392496349</v>
      </c>
      <c r="S546">
        <v>16185.1855530064</v>
      </c>
      <c r="T546">
        <v>194796.58500976299</v>
      </c>
      <c r="U546">
        <v>465216.76725237502</v>
      </c>
      <c r="V546">
        <v>216929.10542399899</v>
      </c>
    </row>
    <row r="547" spans="1:22" x14ac:dyDescent="0.3">
      <c r="A547" t="str">
        <f t="shared" si="16"/>
        <v>ODERPrevisão</v>
      </c>
      <c r="B547" t="str">
        <f t="shared" si="17"/>
        <v>ODERPrevisãoMar-2023</v>
      </c>
      <c r="C547" t="s">
        <v>21</v>
      </c>
      <c r="D547" t="s">
        <v>22</v>
      </c>
      <c r="E547" t="s">
        <v>23</v>
      </c>
      <c r="F547" t="s">
        <v>736</v>
      </c>
      <c r="G547" t="s">
        <v>737</v>
      </c>
      <c r="H547" t="s">
        <v>738</v>
      </c>
      <c r="I547" t="s">
        <v>739</v>
      </c>
      <c r="J547" t="s">
        <v>739</v>
      </c>
      <c r="K547" s="2">
        <v>45015</v>
      </c>
      <c r="L547">
        <v>38275.574156280803</v>
      </c>
      <c r="M547">
        <v>1018196.03282658</v>
      </c>
      <c r="N547">
        <v>777263.89545232896</v>
      </c>
      <c r="O547">
        <v>133588.30003648301</v>
      </c>
      <c r="P547">
        <v>-1018196.03282658</v>
      </c>
      <c r="Q547">
        <v>-347562.39763968502</v>
      </c>
      <c r="R547">
        <v>21215.277870685</v>
      </c>
      <c r="S547">
        <v>16047.6634021307</v>
      </c>
      <c r="T547">
        <v>208053.45829175299</v>
      </c>
      <c r="U547">
        <v>503792.21421347401</v>
      </c>
      <c r="V547">
        <v>234490.79553198599</v>
      </c>
    </row>
    <row r="548" spans="1:22" x14ac:dyDescent="0.3">
      <c r="A548" t="str">
        <f t="shared" si="16"/>
        <v>ODERPrevisão</v>
      </c>
      <c r="B548" t="str">
        <f t="shared" si="17"/>
        <v>ODERPrevisãoJun-2023</v>
      </c>
      <c r="C548" t="s">
        <v>21</v>
      </c>
      <c r="D548" t="s">
        <v>22</v>
      </c>
      <c r="E548" t="s">
        <v>23</v>
      </c>
      <c r="F548" t="s">
        <v>736</v>
      </c>
      <c r="G548" t="s">
        <v>737</v>
      </c>
      <c r="H548" t="s">
        <v>738</v>
      </c>
      <c r="I548" t="s">
        <v>739</v>
      </c>
      <c r="J548" t="s">
        <v>739</v>
      </c>
      <c r="K548" s="2">
        <v>45107</v>
      </c>
      <c r="L548">
        <v>42409.779516118302</v>
      </c>
      <c r="M548">
        <v>1109953.58220191</v>
      </c>
      <c r="N548">
        <v>852854.68575624796</v>
      </c>
      <c r="O548">
        <v>139075.21997218201</v>
      </c>
      <c r="P548">
        <v>-1109953.58220191</v>
      </c>
      <c r="Q548">
        <v>-380204.20837116102</v>
      </c>
      <c r="R548">
        <v>23291.742218068699</v>
      </c>
      <c r="S548">
        <v>15806.305107926601</v>
      </c>
      <c r="T548">
        <v>221808.53776670899</v>
      </c>
      <c r="U548">
        <v>545170.20125001098</v>
      </c>
      <c r="V548">
        <v>253574.71743603999</v>
      </c>
    </row>
    <row r="549" spans="1:22" x14ac:dyDescent="0.3">
      <c r="A549" t="str">
        <f t="shared" si="16"/>
        <v>ODERPrevisão</v>
      </c>
      <c r="B549" t="str">
        <f t="shared" si="17"/>
        <v>ODERPrevisãoSet-2023</v>
      </c>
      <c r="C549" t="s">
        <v>21</v>
      </c>
      <c r="D549" t="s">
        <v>22</v>
      </c>
      <c r="E549" t="s">
        <v>23</v>
      </c>
      <c r="F549" t="s">
        <v>736</v>
      </c>
      <c r="G549" t="s">
        <v>737</v>
      </c>
      <c r="H549" t="s">
        <v>738</v>
      </c>
      <c r="I549" t="s">
        <v>739</v>
      </c>
      <c r="J549" t="s">
        <v>739</v>
      </c>
      <c r="K549" s="2">
        <v>45199</v>
      </c>
      <c r="L549">
        <v>46884.141654459498</v>
      </c>
      <c r="M549">
        <v>1209806.7434380101</v>
      </c>
      <c r="N549">
        <v>934980.79100619501</v>
      </c>
      <c r="O549">
        <v>144905.51583636299</v>
      </c>
      <c r="P549">
        <v>-1209806.7434380101</v>
      </c>
      <c r="Q549">
        <v>-416154.57437890401</v>
      </c>
      <c r="R549">
        <v>25582.859497761601</v>
      </c>
      <c r="S549">
        <v>15454.9536963423</v>
      </c>
      <c r="T549">
        <v>236066.78236398401</v>
      </c>
      <c r="U549">
        <v>589452.273267476</v>
      </c>
      <c r="V549">
        <v>274245.12969368801</v>
      </c>
    </row>
    <row r="550" spans="1:22" x14ac:dyDescent="0.3">
      <c r="A550" t="str">
        <f t="shared" si="16"/>
        <v>BLUTPrevisão</v>
      </c>
      <c r="B550" t="str">
        <f t="shared" si="17"/>
        <v>BLUTPrevisãoDez-2016</v>
      </c>
      <c r="C550" t="s">
        <v>723</v>
      </c>
      <c r="D550" t="s">
        <v>724</v>
      </c>
      <c r="E550" t="s">
        <v>23</v>
      </c>
      <c r="F550" t="s">
        <v>736</v>
      </c>
      <c r="G550" t="s">
        <v>737</v>
      </c>
      <c r="H550" t="s">
        <v>738</v>
      </c>
      <c r="I550" t="s">
        <v>739</v>
      </c>
      <c r="J550" t="s">
        <v>739</v>
      </c>
      <c r="K550" s="2">
        <v>42734</v>
      </c>
      <c r="L550">
        <v>-18219.782869008799</v>
      </c>
      <c r="M550">
        <v>162326.00672040699</v>
      </c>
      <c r="N550">
        <v>17415.470430096299</v>
      </c>
      <c r="O550">
        <v>84432.615347025203</v>
      </c>
      <c r="P550">
        <v>-162326.00672040699</v>
      </c>
      <c r="Q550">
        <v>-29656.0970185685</v>
      </c>
      <c r="R550">
        <v>487.43267350931097</v>
      </c>
      <c r="S550">
        <v>17985.076001962902</v>
      </c>
      <c r="T550">
        <v>3602.73313782991</v>
      </c>
      <c r="U550">
        <v>40677.852272748198</v>
      </c>
      <c r="V550">
        <v>-15425.590909091799</v>
      </c>
    </row>
    <row r="551" spans="1:22" x14ac:dyDescent="0.3">
      <c r="A551" t="str">
        <f t="shared" si="16"/>
        <v>BLUTPrevisão</v>
      </c>
      <c r="B551" t="str">
        <f t="shared" si="17"/>
        <v>BLUTPrevisãoMar-2017</v>
      </c>
      <c r="C551" t="s">
        <v>723</v>
      </c>
      <c r="D551" t="s">
        <v>724</v>
      </c>
      <c r="E551" t="s">
        <v>23</v>
      </c>
      <c r="F551" t="s">
        <v>736</v>
      </c>
      <c r="G551" t="s">
        <v>737</v>
      </c>
      <c r="H551" t="s">
        <v>738</v>
      </c>
      <c r="I551" t="s">
        <v>739</v>
      </c>
      <c r="J551" t="s">
        <v>739</v>
      </c>
      <c r="K551" s="2">
        <v>42824</v>
      </c>
      <c r="L551">
        <v>-22417.8932925025</v>
      </c>
      <c r="M551">
        <v>181298.71609594001</v>
      </c>
      <c r="N551">
        <v>6926.2855068604604</v>
      </c>
      <c r="O551">
        <v>76940.141179354701</v>
      </c>
      <c r="P551">
        <v>-181298.71609594001</v>
      </c>
      <c r="Q551">
        <v>-34000.349304232601</v>
      </c>
      <c r="R551">
        <v>557.38959088036802</v>
      </c>
      <c r="S551">
        <v>22396.206629874399</v>
      </c>
      <c r="T551">
        <v>3597.8376746592999</v>
      </c>
      <c r="U551">
        <v>46315.704717979403</v>
      </c>
      <c r="V551">
        <v>-18695.118660514199</v>
      </c>
    </row>
    <row r="552" spans="1:22" x14ac:dyDescent="0.3">
      <c r="A552" t="str">
        <f t="shared" si="16"/>
        <v>BLUTPrevisão</v>
      </c>
      <c r="B552" t="str">
        <f t="shared" si="17"/>
        <v>BLUTPrevisãoJun-2017</v>
      </c>
      <c r="C552" t="s">
        <v>723</v>
      </c>
      <c r="D552" t="s">
        <v>724</v>
      </c>
      <c r="E552" t="s">
        <v>23</v>
      </c>
      <c r="F552" t="s">
        <v>736</v>
      </c>
      <c r="G552" t="s">
        <v>737</v>
      </c>
      <c r="H552" t="s">
        <v>738</v>
      </c>
      <c r="I552" t="s">
        <v>739</v>
      </c>
      <c r="J552" t="s">
        <v>739</v>
      </c>
      <c r="K552" s="2">
        <v>42916</v>
      </c>
      <c r="L552">
        <v>-27129.841005603899</v>
      </c>
      <c r="M552">
        <v>203505.46128433099</v>
      </c>
      <c r="N552">
        <v>-5283.0550757063602</v>
      </c>
      <c r="O552">
        <v>68157.706286925502</v>
      </c>
      <c r="P552">
        <v>-203505.46128433099</v>
      </c>
      <c r="Q552">
        <v>-38993.945166623598</v>
      </c>
      <c r="R552">
        <v>635.405599776597</v>
      </c>
      <c r="S552">
        <v>27511.456833182001</v>
      </c>
      <c r="T552">
        <v>3592.2414056531702</v>
      </c>
      <c r="U552">
        <v>53163.641732815398</v>
      </c>
      <c r="V552">
        <v>-22365.489347937899</v>
      </c>
    </row>
    <row r="553" spans="1:22" x14ac:dyDescent="0.3">
      <c r="A553" t="str">
        <f t="shared" si="16"/>
        <v>BLUTPrevisão</v>
      </c>
      <c r="B553" t="str">
        <f t="shared" si="17"/>
        <v>BLUTPrevisãoSet-2017</v>
      </c>
      <c r="C553" t="s">
        <v>723</v>
      </c>
      <c r="D553" t="s">
        <v>724</v>
      </c>
      <c r="E553" t="s">
        <v>23</v>
      </c>
      <c r="F553" t="s">
        <v>736</v>
      </c>
      <c r="G553" t="s">
        <v>737</v>
      </c>
      <c r="H553" t="s">
        <v>738</v>
      </c>
      <c r="I553" t="s">
        <v>739</v>
      </c>
      <c r="J553" t="s">
        <v>739</v>
      </c>
      <c r="K553" s="2">
        <v>43008</v>
      </c>
      <c r="L553">
        <v>-32382.544282612002</v>
      </c>
      <c r="M553">
        <v>229139.73196654499</v>
      </c>
      <c r="N553">
        <v>-19306.152294162999</v>
      </c>
      <c r="O553">
        <v>58017.141607195699</v>
      </c>
      <c r="P553">
        <v>-229139.73196654499</v>
      </c>
      <c r="Q553">
        <v>-44672.229099061697</v>
      </c>
      <c r="R553">
        <v>721.83950168535898</v>
      </c>
      <c r="S553">
        <v>33370.073803920001</v>
      </c>
      <c r="T553">
        <v>3585.9070126584302</v>
      </c>
      <c r="U553">
        <v>61304.439336461597</v>
      </c>
      <c r="V553">
        <v>-26458.418334194099</v>
      </c>
    </row>
    <row r="554" spans="1:22" x14ac:dyDescent="0.3">
      <c r="A554" t="str">
        <f t="shared" si="16"/>
        <v>BKBRPrevisão</v>
      </c>
      <c r="B554" t="str">
        <f t="shared" si="17"/>
        <v>BKBRPrevisãoDez-2022</v>
      </c>
      <c r="C554" t="s">
        <v>34</v>
      </c>
      <c r="D554" t="s">
        <v>35</v>
      </c>
      <c r="E554" t="s">
        <v>23</v>
      </c>
      <c r="F554" t="s">
        <v>736</v>
      </c>
      <c r="G554" t="s">
        <v>737</v>
      </c>
      <c r="H554" t="s">
        <v>738</v>
      </c>
      <c r="I554" t="s">
        <v>739</v>
      </c>
      <c r="J554" t="s">
        <v>739</v>
      </c>
      <c r="K554" s="2">
        <v>44925</v>
      </c>
      <c r="L554">
        <v>72611.102941193094</v>
      </c>
      <c r="M554">
        <v>3979364.1225489499</v>
      </c>
      <c r="N554">
        <v>1223698.4411764899</v>
      </c>
      <c r="O554">
        <v>221648.259803917</v>
      </c>
      <c r="P554">
        <v>-3979364.1225489499</v>
      </c>
      <c r="Q554">
        <v>-907037.83496729599</v>
      </c>
      <c r="R554">
        <v>180302.07516339299</v>
      </c>
      <c r="S554">
        <v>31124.1045751653</v>
      </c>
      <c r="T554">
        <v>-74464.872549017804</v>
      </c>
      <c r="U554">
        <v>1612688.3251632799</v>
      </c>
      <c r="V554">
        <v>1122341.4411764599</v>
      </c>
    </row>
    <row r="555" spans="1:22" x14ac:dyDescent="0.3">
      <c r="A555" t="str">
        <f t="shared" si="16"/>
        <v>BKBRPrevisão</v>
      </c>
      <c r="B555" t="str">
        <f t="shared" si="17"/>
        <v>BKBRPrevisãoMar-2023</v>
      </c>
      <c r="C555" t="s">
        <v>34</v>
      </c>
      <c r="D555" t="s">
        <v>35</v>
      </c>
      <c r="E555" t="s">
        <v>23</v>
      </c>
      <c r="F555" t="s">
        <v>736</v>
      </c>
      <c r="G555" t="s">
        <v>737</v>
      </c>
      <c r="H555" t="s">
        <v>738</v>
      </c>
      <c r="I555" t="s">
        <v>739</v>
      </c>
      <c r="J555" t="s">
        <v>739</v>
      </c>
      <c r="K555" s="2">
        <v>45015</v>
      </c>
      <c r="L555">
        <v>156663.57636740699</v>
      </c>
      <c r="M555">
        <v>4012853.9264704902</v>
      </c>
      <c r="N555">
        <v>1432122.5051599799</v>
      </c>
      <c r="O555">
        <v>261718.193756444</v>
      </c>
      <c r="P555">
        <v>-4012853.9264704902</v>
      </c>
      <c r="Q555">
        <v>-988464.18481248897</v>
      </c>
      <c r="R555">
        <v>210239.400240791</v>
      </c>
      <c r="S555">
        <v>29565.138114897502</v>
      </c>
      <c r="T555">
        <v>-115304.179050566</v>
      </c>
      <c r="U555">
        <v>1754051.89920863</v>
      </c>
      <c r="V555">
        <v>1318339.1798245399</v>
      </c>
    </row>
    <row r="556" spans="1:22" x14ac:dyDescent="0.3">
      <c r="A556" t="str">
        <f t="shared" si="16"/>
        <v>BKBRPrevisão</v>
      </c>
      <c r="B556" t="str">
        <f t="shared" si="17"/>
        <v>BKBRPrevisãoJun-2023</v>
      </c>
      <c r="C556" t="s">
        <v>34</v>
      </c>
      <c r="D556" t="s">
        <v>35</v>
      </c>
      <c r="E556" t="s">
        <v>23</v>
      </c>
      <c r="F556" t="s">
        <v>736</v>
      </c>
      <c r="G556" t="s">
        <v>737</v>
      </c>
      <c r="H556" t="s">
        <v>738</v>
      </c>
      <c r="I556" t="s">
        <v>739</v>
      </c>
      <c r="J556" t="s">
        <v>739</v>
      </c>
      <c r="K556" s="2">
        <v>45107</v>
      </c>
      <c r="L556">
        <v>261078.804437585</v>
      </c>
      <c r="M556">
        <v>4042748.6186789102</v>
      </c>
      <c r="N556">
        <v>1687682.0268318099</v>
      </c>
      <c r="O556">
        <v>308277.43704849598</v>
      </c>
      <c r="P556">
        <v>-4042748.6186789102</v>
      </c>
      <c r="Q556">
        <v>-1084085.3187134</v>
      </c>
      <c r="R556">
        <v>245871.610251109</v>
      </c>
      <c r="S556">
        <v>27012.043687653601</v>
      </c>
      <c r="T556">
        <v>-161585.360165119</v>
      </c>
      <c r="U556">
        <v>1955355.4590640999</v>
      </c>
      <c r="V556">
        <v>1554106.3880288701</v>
      </c>
    </row>
    <row r="557" spans="1:22" x14ac:dyDescent="0.3">
      <c r="A557" t="str">
        <f t="shared" si="16"/>
        <v>BKBRPrevisão</v>
      </c>
      <c r="B557" t="str">
        <f t="shared" si="17"/>
        <v>BKBRPrevisãoSet-2023</v>
      </c>
      <c r="C557" t="s">
        <v>34</v>
      </c>
      <c r="D557" t="s">
        <v>35</v>
      </c>
      <c r="E557" t="s">
        <v>23</v>
      </c>
      <c r="F557" t="s">
        <v>736</v>
      </c>
      <c r="G557" t="s">
        <v>737</v>
      </c>
      <c r="H557" t="s">
        <v>738</v>
      </c>
      <c r="I557" t="s">
        <v>739</v>
      </c>
      <c r="J557" t="s">
        <v>739</v>
      </c>
      <c r="K557" s="2">
        <v>45199</v>
      </c>
      <c r="L557">
        <v>387670.78534573998</v>
      </c>
      <c r="M557">
        <v>4070479.8095973399</v>
      </c>
      <c r="N557">
        <v>1994919.9463364501</v>
      </c>
      <c r="O557">
        <v>361827.15118678001</v>
      </c>
      <c r="P557">
        <v>-4070479.8095973399</v>
      </c>
      <c r="Q557">
        <v>-1195314.4122806401</v>
      </c>
      <c r="R557">
        <v>287694.66769864701</v>
      </c>
      <c r="S557">
        <v>23356.933952532301</v>
      </c>
      <c r="T557">
        <v>-213518.50567595701</v>
      </c>
      <c r="U557">
        <v>2224492.4024764802</v>
      </c>
      <c r="V557">
        <v>1833203.8694530099</v>
      </c>
    </row>
    <row r="558" spans="1:22" x14ac:dyDescent="0.3">
      <c r="A558" t="str">
        <f t="shared" si="16"/>
        <v>TRISPrevisão</v>
      </c>
      <c r="B558" t="str">
        <f t="shared" si="17"/>
        <v>TRISPrevisãoDez-2022</v>
      </c>
      <c r="C558" t="s">
        <v>276</v>
      </c>
      <c r="D558" t="s">
        <v>277</v>
      </c>
      <c r="E558" t="s">
        <v>265</v>
      </c>
      <c r="F558" t="s">
        <v>736</v>
      </c>
      <c r="G558" t="s">
        <v>737</v>
      </c>
      <c r="H558" t="s">
        <v>738</v>
      </c>
      <c r="I558" t="s">
        <v>739</v>
      </c>
      <c r="J558" t="s">
        <v>739</v>
      </c>
      <c r="K558" s="2">
        <v>44925</v>
      </c>
      <c r="L558">
        <v>22085.738222558299</v>
      </c>
      <c r="M558">
        <v>2300711.8990747598</v>
      </c>
      <c r="N558">
        <v>131605.220694271</v>
      </c>
      <c r="O558">
        <v>11417.3919871005</v>
      </c>
      <c r="P558">
        <v>-2300711.8990747598</v>
      </c>
      <c r="Q558">
        <v>-474415.53620229103</v>
      </c>
      <c r="R558">
        <v>4061.98888039752</v>
      </c>
      <c r="S558">
        <v>257.26653085468001</v>
      </c>
      <c r="T558">
        <v>507327.765894223</v>
      </c>
      <c r="U558">
        <v>1509553.9650284001</v>
      </c>
      <c r="V558">
        <v>1161.26890756275</v>
      </c>
    </row>
    <row r="559" spans="1:22" x14ac:dyDescent="0.3">
      <c r="A559" t="str">
        <f t="shared" si="16"/>
        <v>TRISPrevisão</v>
      </c>
      <c r="B559" t="str">
        <f t="shared" si="17"/>
        <v>TRISPrevisãoMar-2023</v>
      </c>
      <c r="C559" t="s">
        <v>276</v>
      </c>
      <c r="D559" t="s">
        <v>277</v>
      </c>
      <c r="E559" t="s">
        <v>265</v>
      </c>
      <c r="F559" t="s">
        <v>736</v>
      </c>
      <c r="G559" t="s">
        <v>737</v>
      </c>
      <c r="H559" t="s">
        <v>738</v>
      </c>
      <c r="I559" t="s">
        <v>739</v>
      </c>
      <c r="J559" t="s">
        <v>739</v>
      </c>
      <c r="K559" s="2">
        <v>45015</v>
      </c>
      <c r="L559">
        <v>20022.1832634727</v>
      </c>
      <c r="M559">
        <v>2434551.0812714398</v>
      </c>
      <c r="N559">
        <v>117343.97006623499</v>
      </c>
      <c r="O559">
        <v>12927.202591441101</v>
      </c>
      <c r="P559">
        <v>-2434551.0812714398</v>
      </c>
      <c r="Q559">
        <v>-498176.96326646599</v>
      </c>
      <c r="R559">
        <v>3936.8726992808201</v>
      </c>
      <c r="S559">
        <v>290.454040748051</v>
      </c>
      <c r="T559">
        <v>553564.03291601595</v>
      </c>
      <c r="U559">
        <v>1599815.3796836899</v>
      </c>
      <c r="V559">
        <v>1496.01271860057</v>
      </c>
    </row>
    <row r="560" spans="1:22" x14ac:dyDescent="0.3">
      <c r="A560" t="str">
        <f t="shared" si="16"/>
        <v>TRISPrevisão</v>
      </c>
      <c r="B560" t="str">
        <f t="shared" si="17"/>
        <v>TRISPrevisãoJun-2023</v>
      </c>
      <c r="C560" t="s">
        <v>276</v>
      </c>
      <c r="D560" t="s">
        <v>277</v>
      </c>
      <c r="E560" t="s">
        <v>265</v>
      </c>
      <c r="F560" t="s">
        <v>736</v>
      </c>
      <c r="G560" t="s">
        <v>737</v>
      </c>
      <c r="H560" t="s">
        <v>738</v>
      </c>
      <c r="I560" t="s">
        <v>739</v>
      </c>
      <c r="J560" t="s">
        <v>739</v>
      </c>
      <c r="K560" s="2">
        <v>45107</v>
      </c>
      <c r="L560">
        <v>17574.563963740598</v>
      </c>
      <c r="M560">
        <v>2572785.5266542598</v>
      </c>
      <c r="N560">
        <v>99343.903115341003</v>
      </c>
      <c r="O560">
        <v>14598.2529293837</v>
      </c>
      <c r="P560">
        <v>-2572785.5266542598</v>
      </c>
      <c r="Q560">
        <v>-522915.87056033697</v>
      </c>
      <c r="R560">
        <v>3769.15271895658</v>
      </c>
      <c r="S560">
        <v>326.94447227561</v>
      </c>
      <c r="T560">
        <v>602498.17424490897</v>
      </c>
      <c r="U560">
        <v>1694603.8716923599</v>
      </c>
      <c r="V560">
        <v>1875.92777651551</v>
      </c>
    </row>
    <row r="561" spans="1:22" x14ac:dyDescent="0.3">
      <c r="A561" t="str">
        <f t="shared" si="16"/>
        <v>TRISPrevisão</v>
      </c>
      <c r="B561" t="str">
        <f t="shared" si="17"/>
        <v>TRISPrevisãoSet-2023</v>
      </c>
      <c r="C561" t="s">
        <v>276</v>
      </c>
      <c r="D561" t="s">
        <v>277</v>
      </c>
      <c r="E561" t="s">
        <v>265</v>
      </c>
      <c r="F561" t="s">
        <v>736</v>
      </c>
      <c r="G561" t="s">
        <v>737</v>
      </c>
      <c r="H561" t="s">
        <v>738</v>
      </c>
      <c r="I561" t="s">
        <v>739</v>
      </c>
      <c r="J561" t="s">
        <v>739</v>
      </c>
      <c r="K561" s="2">
        <v>45199</v>
      </c>
      <c r="L561">
        <v>14724.4361147937</v>
      </c>
      <c r="M561">
        <v>2715307.5574717298</v>
      </c>
      <c r="N561">
        <v>77353.276791212498</v>
      </c>
      <c r="O561">
        <v>16438.284288471499</v>
      </c>
      <c r="P561">
        <v>-2715307.5574717298</v>
      </c>
      <c r="Q561">
        <v>-548632.45666016499</v>
      </c>
      <c r="R561">
        <v>3555.8126517954702</v>
      </c>
      <c r="S561">
        <v>366.83281711439298</v>
      </c>
      <c r="T561">
        <v>654202.64048199297</v>
      </c>
      <c r="U561">
        <v>1794009.28414608</v>
      </c>
      <c r="V561">
        <v>2302.9265679785599</v>
      </c>
    </row>
    <row r="562" spans="1:22" x14ac:dyDescent="0.3">
      <c r="A562" t="str">
        <f t="shared" si="16"/>
        <v>PDGRPrevisão</v>
      </c>
      <c r="B562" t="str">
        <f t="shared" si="17"/>
        <v>PDGRPrevisãoDez-2017</v>
      </c>
      <c r="C562" t="s">
        <v>712</v>
      </c>
      <c r="D562" t="s">
        <v>281</v>
      </c>
      <c r="E562" t="s">
        <v>265</v>
      </c>
      <c r="F562" t="s">
        <v>736</v>
      </c>
      <c r="G562" t="s">
        <v>737</v>
      </c>
      <c r="H562" t="s">
        <v>738</v>
      </c>
      <c r="I562" t="s">
        <v>739</v>
      </c>
      <c r="J562" t="s">
        <v>739</v>
      </c>
      <c r="K562" s="2">
        <v>43099</v>
      </c>
      <c r="L562">
        <v>-813950.31652631599</v>
      </c>
      <c r="M562">
        <v>-2322520.8221716201</v>
      </c>
      <c r="N562">
        <v>-510235.16407771799</v>
      </c>
      <c r="O562">
        <v>-58070.762414050798</v>
      </c>
      <c r="P562">
        <v>2322520.8221716201</v>
      </c>
      <c r="Q562">
        <v>-6025018.0230032504</v>
      </c>
      <c r="R562">
        <v>-6098.5408708942095</v>
      </c>
      <c r="S562">
        <v>-7786.5759273417198</v>
      </c>
      <c r="T562">
        <v>-371833.15151498897</v>
      </c>
      <c r="U562">
        <v>-10488302.256601799</v>
      </c>
      <c r="V562">
        <v>-10675.019692723299</v>
      </c>
    </row>
    <row r="563" spans="1:22" x14ac:dyDescent="0.3">
      <c r="A563" t="str">
        <f t="shared" si="16"/>
        <v>PDGRPrevisão</v>
      </c>
      <c r="B563" t="str">
        <f t="shared" si="17"/>
        <v>PDGRPrevisãoMar-2018</v>
      </c>
      <c r="C563" t="s">
        <v>712</v>
      </c>
      <c r="D563" t="s">
        <v>281</v>
      </c>
      <c r="E563" t="s">
        <v>265</v>
      </c>
      <c r="F563" t="s">
        <v>736</v>
      </c>
      <c r="G563" t="s">
        <v>737</v>
      </c>
      <c r="H563" t="s">
        <v>738</v>
      </c>
      <c r="I563" t="s">
        <v>739</v>
      </c>
      <c r="J563" t="s">
        <v>739</v>
      </c>
      <c r="K563" s="2">
        <v>43189</v>
      </c>
      <c r="L563">
        <v>-887567.33272733598</v>
      </c>
      <c r="M563">
        <v>-4744131.9771556901</v>
      </c>
      <c r="N563">
        <v>-737264.28974271205</v>
      </c>
      <c r="O563">
        <v>-97487.208184495903</v>
      </c>
      <c r="P563">
        <v>4744131.9771556901</v>
      </c>
      <c r="Q563">
        <v>-6784352.8340067901</v>
      </c>
      <c r="R563">
        <v>-9475.0238060835909</v>
      </c>
      <c r="S563">
        <v>-11556.0597847667</v>
      </c>
      <c r="T563">
        <v>-467210.90585597802</v>
      </c>
      <c r="U563">
        <v>-13931353.050021401</v>
      </c>
      <c r="V563">
        <v>-15510.450487153799</v>
      </c>
    </row>
    <row r="564" spans="1:22" x14ac:dyDescent="0.3">
      <c r="A564" t="str">
        <f t="shared" si="16"/>
        <v>PDGRPrevisão</v>
      </c>
      <c r="B564" t="str">
        <f t="shared" si="17"/>
        <v>PDGRPrevisãoJun-2018</v>
      </c>
      <c r="C564" t="s">
        <v>712</v>
      </c>
      <c r="D564" t="s">
        <v>281</v>
      </c>
      <c r="E564" t="s">
        <v>265</v>
      </c>
      <c r="F564" t="s">
        <v>736</v>
      </c>
      <c r="G564" t="s">
        <v>737</v>
      </c>
      <c r="H564" t="s">
        <v>738</v>
      </c>
      <c r="I564" t="s">
        <v>739</v>
      </c>
      <c r="J564" t="s">
        <v>739</v>
      </c>
      <c r="K564" s="2">
        <v>43281</v>
      </c>
      <c r="L564">
        <v>-963869.14678148902</v>
      </c>
      <c r="M564">
        <v>-7439879.4294986697</v>
      </c>
      <c r="N564">
        <v>-987084.82714959094</v>
      </c>
      <c r="O564">
        <v>-141125.23501990299</v>
      </c>
      <c r="P564">
        <v>7439879.4294986697</v>
      </c>
      <c r="Q564">
        <v>-7612695.68700069</v>
      </c>
      <c r="R564">
        <v>-13226.1607759116</v>
      </c>
      <c r="S564">
        <v>-15722.672757435401</v>
      </c>
      <c r="T564">
        <v>-567308.75233400695</v>
      </c>
      <c r="U564">
        <v>-17777193.315360799</v>
      </c>
      <c r="V564">
        <v>-20836.374573275702</v>
      </c>
    </row>
    <row r="565" spans="1:22" x14ac:dyDescent="0.3">
      <c r="A565" t="str">
        <f t="shared" si="16"/>
        <v>PDGRPrevisão</v>
      </c>
      <c r="B565" t="str">
        <f t="shared" si="17"/>
        <v>PDGRPrevisãoSet-2018</v>
      </c>
      <c r="C565" t="s">
        <v>712</v>
      </c>
      <c r="D565" t="s">
        <v>281</v>
      </c>
      <c r="E565" t="s">
        <v>265</v>
      </c>
      <c r="F565" t="s">
        <v>736</v>
      </c>
      <c r="G565" t="s">
        <v>737</v>
      </c>
      <c r="H565" t="s">
        <v>738</v>
      </c>
      <c r="I565" t="s">
        <v>739</v>
      </c>
      <c r="J565" t="s">
        <v>739</v>
      </c>
      <c r="K565" s="2">
        <v>43373</v>
      </c>
      <c r="L565">
        <v>-1042805.29006583</v>
      </c>
      <c r="M565">
        <v>-10421764.1264097</v>
      </c>
      <c r="N565">
        <v>-1260580.32786208</v>
      </c>
      <c r="O565">
        <v>-189156.11112889799</v>
      </c>
      <c r="P565">
        <v>10421764.1264097</v>
      </c>
      <c r="Q565">
        <v>-8512710.5443797</v>
      </c>
      <c r="R565">
        <v>-17368.4247384302</v>
      </c>
      <c r="S565">
        <v>-20302.851030932401</v>
      </c>
      <c r="T565">
        <v>-672101.73021098902</v>
      </c>
      <c r="U565">
        <v>-22043808.2530181</v>
      </c>
      <c r="V565">
        <v>-26672.322415260402</v>
      </c>
    </row>
    <row r="566" spans="1:22" x14ac:dyDescent="0.3">
      <c r="A566" t="str">
        <f t="shared" si="16"/>
        <v>MULTPrevisão</v>
      </c>
      <c r="B566" t="str">
        <f t="shared" si="17"/>
        <v>MULTPrevisãoDez-2022</v>
      </c>
      <c r="C566" t="s">
        <v>274</v>
      </c>
      <c r="D566" t="s">
        <v>275</v>
      </c>
      <c r="E566" t="s">
        <v>265</v>
      </c>
      <c r="F566" t="s">
        <v>736</v>
      </c>
      <c r="G566" t="s">
        <v>737</v>
      </c>
      <c r="H566" t="s">
        <v>738</v>
      </c>
      <c r="I566" t="s">
        <v>739</v>
      </c>
      <c r="J566" t="s">
        <v>739</v>
      </c>
      <c r="K566" s="2">
        <v>44925</v>
      </c>
      <c r="L566">
        <v>183519.083694083</v>
      </c>
      <c r="M566">
        <v>11078785.4076057</v>
      </c>
      <c r="N566">
        <v>1020849.34088792</v>
      </c>
      <c r="O566">
        <v>364985.95781343599</v>
      </c>
      <c r="P566">
        <v>-11078785.4076057</v>
      </c>
      <c r="Q566">
        <v>-1413221.89533995</v>
      </c>
      <c r="R566">
        <v>0</v>
      </c>
      <c r="S566">
        <v>4526.5468126641699</v>
      </c>
      <c r="T566">
        <v>2992935.2160255499</v>
      </c>
      <c r="U566">
        <v>6738423.5501228301</v>
      </c>
      <c r="V566">
        <v>278671.95857739297</v>
      </c>
    </row>
    <row r="567" spans="1:22" x14ac:dyDescent="0.3">
      <c r="A567" t="str">
        <f t="shared" si="16"/>
        <v>MULTPrevisão</v>
      </c>
      <c r="B567" t="str">
        <f t="shared" si="17"/>
        <v>MULTPrevisãoMar-2023</v>
      </c>
      <c r="C567" t="s">
        <v>274</v>
      </c>
      <c r="D567" t="s">
        <v>275</v>
      </c>
      <c r="E567" t="s">
        <v>265</v>
      </c>
      <c r="F567" t="s">
        <v>736</v>
      </c>
      <c r="G567" t="s">
        <v>737</v>
      </c>
      <c r="H567" t="s">
        <v>738</v>
      </c>
      <c r="I567" t="s">
        <v>739</v>
      </c>
      <c r="J567" t="s">
        <v>739</v>
      </c>
      <c r="K567" s="2">
        <v>45015</v>
      </c>
      <c r="L567">
        <v>186107.281630749</v>
      </c>
      <c r="M567">
        <v>11263361.486353699</v>
      </c>
      <c r="N567">
        <v>934617.97798107297</v>
      </c>
      <c r="O567">
        <v>386126.99258311797</v>
      </c>
      <c r="P567">
        <v>-11263361.486353699</v>
      </c>
      <c r="Q567">
        <v>-1532730.0126566601</v>
      </c>
      <c r="R567">
        <v>0</v>
      </c>
      <c r="S567">
        <v>4311.30944007366</v>
      </c>
      <c r="T567">
        <v>3157564.0922807101</v>
      </c>
      <c r="U567">
        <v>6817230.2189643104</v>
      </c>
      <c r="V567">
        <v>290526.41520132602</v>
      </c>
    </row>
    <row r="568" spans="1:22" x14ac:dyDescent="0.3">
      <c r="A568" t="str">
        <f t="shared" si="16"/>
        <v>MULTPrevisão</v>
      </c>
      <c r="B568" t="str">
        <f t="shared" si="17"/>
        <v>MULTPrevisãoJun-2023</v>
      </c>
      <c r="C568" t="s">
        <v>274</v>
      </c>
      <c r="D568" t="s">
        <v>275</v>
      </c>
      <c r="E568" t="s">
        <v>265</v>
      </c>
      <c r="F568" t="s">
        <v>736</v>
      </c>
      <c r="G568" t="s">
        <v>737</v>
      </c>
      <c r="H568" t="s">
        <v>738</v>
      </c>
      <c r="I568" t="s">
        <v>739</v>
      </c>
      <c r="J568" t="s">
        <v>739</v>
      </c>
      <c r="K568" s="2">
        <v>45107</v>
      </c>
      <c r="L568">
        <v>188204.72941844701</v>
      </c>
      <c r="M568">
        <v>11442991.2994154</v>
      </c>
      <c r="N568">
        <v>831337.50867510296</v>
      </c>
      <c r="O568">
        <v>408928.88883154403</v>
      </c>
      <c r="P568">
        <v>-11442991.2994154</v>
      </c>
      <c r="Q568">
        <v>-1660852.9170885801</v>
      </c>
      <c r="R568">
        <v>0</v>
      </c>
      <c r="S568">
        <v>4158.3119611904904</v>
      </c>
      <c r="T568">
        <v>3330879.5352731999</v>
      </c>
      <c r="U568">
        <v>6891059.9250484202</v>
      </c>
      <c r="V568">
        <v>303661.99258966499</v>
      </c>
    </row>
    <row r="569" spans="1:22" x14ac:dyDescent="0.3">
      <c r="A569" t="str">
        <f t="shared" si="16"/>
        <v>MULTPrevisão</v>
      </c>
      <c r="B569" t="str">
        <f t="shared" si="17"/>
        <v>MULTPrevisãoSet-2023</v>
      </c>
      <c r="C569" t="s">
        <v>274</v>
      </c>
      <c r="D569" t="s">
        <v>275</v>
      </c>
      <c r="E569" t="s">
        <v>265</v>
      </c>
      <c r="F569" t="s">
        <v>736</v>
      </c>
      <c r="G569" t="s">
        <v>737</v>
      </c>
      <c r="H569" t="s">
        <v>738</v>
      </c>
      <c r="I569" t="s">
        <v>739</v>
      </c>
      <c r="J569" t="s">
        <v>739</v>
      </c>
      <c r="K569" s="2">
        <v>45199</v>
      </c>
      <c r="L569">
        <v>189773.22545391999</v>
      </c>
      <c r="M569">
        <v>11617332.892697901</v>
      </c>
      <c r="N569">
        <v>710039.31048987096</v>
      </c>
      <c r="O569">
        <v>433453.616890495</v>
      </c>
      <c r="P569">
        <v>-11617332.892697901</v>
      </c>
      <c r="Q569">
        <v>-1797894.9867734001</v>
      </c>
      <c r="R569">
        <v>0</v>
      </c>
      <c r="S569">
        <v>4070.8481902992098</v>
      </c>
      <c r="T569">
        <v>3513195.6166396998</v>
      </c>
      <c r="U569">
        <v>6959633.34596611</v>
      </c>
      <c r="V569">
        <v>318147.13095791999</v>
      </c>
    </row>
    <row r="570" spans="1:22" x14ac:dyDescent="0.3">
      <c r="A570" t="str">
        <f t="shared" si="16"/>
        <v>MELKPrevisão</v>
      </c>
      <c r="B570" t="str">
        <f t="shared" si="17"/>
        <v>MELKPrevisãoDez-2022</v>
      </c>
      <c r="C570" t="s">
        <v>272</v>
      </c>
      <c r="D570" t="s">
        <v>273</v>
      </c>
      <c r="E570" t="s">
        <v>265</v>
      </c>
      <c r="F570" t="s">
        <v>736</v>
      </c>
      <c r="G570" t="s">
        <v>737</v>
      </c>
      <c r="H570" t="s">
        <v>738</v>
      </c>
      <c r="I570" t="s">
        <v>739</v>
      </c>
      <c r="J570" t="s">
        <v>739</v>
      </c>
      <c r="K570" s="2">
        <v>44925</v>
      </c>
      <c r="L570">
        <v>29607.0476190472</v>
      </c>
      <c r="M570">
        <v>1345441.67460316</v>
      </c>
      <c r="N570">
        <v>359694.73809524497</v>
      </c>
      <c r="O570">
        <v>64931.206349206099</v>
      </c>
      <c r="P570">
        <v>-1345441.67460316</v>
      </c>
      <c r="Q570">
        <v>-71690.666666667705</v>
      </c>
      <c r="R570">
        <v>0</v>
      </c>
      <c r="S570">
        <v>-2638.7698412698401</v>
      </c>
      <c r="T570">
        <v>112848.357142858</v>
      </c>
      <c r="U570">
        <v>1252801.6825396901</v>
      </c>
      <c r="V570">
        <v>2777.2857142857101</v>
      </c>
    </row>
    <row r="571" spans="1:22" x14ac:dyDescent="0.3">
      <c r="A571" t="str">
        <f t="shared" si="16"/>
        <v>MELKPrevisão</v>
      </c>
      <c r="B571" t="str">
        <f t="shared" si="17"/>
        <v>MELKPrevisãoMar-2023</v>
      </c>
      <c r="C571" t="s">
        <v>272</v>
      </c>
      <c r="D571" t="s">
        <v>273</v>
      </c>
      <c r="E571" t="s">
        <v>265</v>
      </c>
      <c r="F571" t="s">
        <v>736</v>
      </c>
      <c r="G571" t="s">
        <v>737</v>
      </c>
      <c r="H571" t="s">
        <v>738</v>
      </c>
      <c r="I571" t="s">
        <v>739</v>
      </c>
      <c r="J571" t="s">
        <v>739</v>
      </c>
      <c r="K571" s="2">
        <v>45015</v>
      </c>
      <c r="L571">
        <v>33309.642857142397</v>
      </c>
      <c r="M571">
        <v>1503786.24603173</v>
      </c>
      <c r="N571">
        <v>665519.38095238595</v>
      </c>
      <c r="O571">
        <v>61160.230158729799</v>
      </c>
      <c r="P571">
        <v>-1503786.24603173</v>
      </c>
      <c r="Q571">
        <v>-98591.166666668505</v>
      </c>
      <c r="R571">
        <v>0</v>
      </c>
      <c r="S571">
        <v>-5837.6984126984098</v>
      </c>
      <c r="T571">
        <v>86521.2380952401</v>
      </c>
      <c r="U571">
        <v>1384939.82539683</v>
      </c>
      <c r="V571">
        <v>3105.3571428571499</v>
      </c>
    </row>
    <row r="572" spans="1:22" x14ac:dyDescent="0.3">
      <c r="A572" t="str">
        <f t="shared" si="16"/>
        <v>MELKPrevisão</v>
      </c>
      <c r="B572" t="str">
        <f t="shared" si="17"/>
        <v>MELKPrevisãoJun-2023</v>
      </c>
      <c r="C572" t="s">
        <v>272</v>
      </c>
      <c r="D572" t="s">
        <v>273</v>
      </c>
      <c r="E572" t="s">
        <v>265</v>
      </c>
      <c r="F572" t="s">
        <v>736</v>
      </c>
      <c r="G572" t="s">
        <v>737</v>
      </c>
      <c r="H572" t="s">
        <v>738</v>
      </c>
      <c r="I572" t="s">
        <v>739</v>
      </c>
      <c r="J572" t="s">
        <v>739</v>
      </c>
      <c r="K572" s="2">
        <v>45107</v>
      </c>
      <c r="L572">
        <v>37701.406926406402</v>
      </c>
      <c r="M572">
        <v>1762831.45165942</v>
      </c>
      <c r="N572">
        <v>1162028.42857143</v>
      </c>
      <c r="O572">
        <v>54226.364357863698</v>
      </c>
      <c r="P572">
        <v>-1762831.45165942</v>
      </c>
      <c r="Q572">
        <v>-132174.57575757799</v>
      </c>
      <c r="R572">
        <v>0</v>
      </c>
      <c r="S572">
        <v>-9966.3867243867207</v>
      </c>
      <c r="T572">
        <v>36459.476190479698</v>
      </c>
      <c r="U572">
        <v>1611906.6911976901</v>
      </c>
      <c r="V572">
        <v>3382.4870129870401</v>
      </c>
    </row>
    <row r="573" spans="1:22" x14ac:dyDescent="0.3">
      <c r="A573" t="str">
        <f t="shared" si="16"/>
        <v>MELKPrevisão</v>
      </c>
      <c r="B573" t="str">
        <f t="shared" si="17"/>
        <v>MELKPrevisãoSet-2023</v>
      </c>
      <c r="C573" t="s">
        <v>272</v>
      </c>
      <c r="D573" t="s">
        <v>273</v>
      </c>
      <c r="E573" t="s">
        <v>265</v>
      </c>
      <c r="F573" t="s">
        <v>736</v>
      </c>
      <c r="G573" t="s">
        <v>737</v>
      </c>
      <c r="H573" t="s">
        <v>738</v>
      </c>
      <c r="I573" t="s">
        <v>739</v>
      </c>
      <c r="J573" t="s">
        <v>739</v>
      </c>
      <c r="K573" s="2">
        <v>45199</v>
      </c>
      <c r="L573">
        <v>42896.7489177483</v>
      </c>
      <c r="M573">
        <v>2146464.1904761498</v>
      </c>
      <c r="N573">
        <v>1887043.47186146</v>
      </c>
      <c r="O573">
        <v>43628.225108224098</v>
      </c>
      <c r="P573">
        <v>-2146464.1904761498</v>
      </c>
      <c r="Q573">
        <v>-172846.54545454899</v>
      </c>
      <c r="R573">
        <v>0</v>
      </c>
      <c r="S573">
        <v>-15135.8701298701</v>
      </c>
      <c r="T573">
        <v>-42121.5194805141</v>
      </c>
      <c r="U573">
        <v>1957349.44155843</v>
      </c>
      <c r="V573">
        <v>3576.5844155844702</v>
      </c>
    </row>
    <row r="574" spans="1:22" x14ac:dyDescent="0.3">
      <c r="A574" t="str">
        <f t="shared" si="16"/>
        <v>LPSBPrevisão</v>
      </c>
      <c r="B574" t="str">
        <f t="shared" si="17"/>
        <v>LPSBPrevisãoDez-2022</v>
      </c>
      <c r="C574" t="s">
        <v>270</v>
      </c>
      <c r="D574" t="s">
        <v>271</v>
      </c>
      <c r="E574" t="s">
        <v>265</v>
      </c>
      <c r="F574" t="s">
        <v>736</v>
      </c>
      <c r="G574" t="s">
        <v>737</v>
      </c>
      <c r="H574" t="s">
        <v>738</v>
      </c>
      <c r="I574" t="s">
        <v>739</v>
      </c>
      <c r="J574" t="s">
        <v>739</v>
      </c>
      <c r="K574" s="2">
        <v>44925</v>
      </c>
      <c r="L574">
        <v>24979.0409133424</v>
      </c>
      <c r="M574">
        <v>622115.16959498799</v>
      </c>
      <c r="N574">
        <v>10092.185128617401</v>
      </c>
      <c r="O574">
        <v>25993.278159748101</v>
      </c>
      <c r="P574">
        <v>-622115.16959498799</v>
      </c>
      <c r="Q574">
        <v>-104499.817417938</v>
      </c>
      <c r="R574">
        <v>3366.8163144042901</v>
      </c>
      <c r="S574">
        <v>1049.89618877821</v>
      </c>
      <c r="T574">
        <v>106199.486630928</v>
      </c>
      <c r="U574">
        <v>454004.31864869402</v>
      </c>
      <c r="V574">
        <v>20191.452762921799</v>
      </c>
    </row>
    <row r="575" spans="1:22" x14ac:dyDescent="0.3">
      <c r="A575" t="str">
        <f t="shared" si="16"/>
        <v>LPSBPrevisão</v>
      </c>
      <c r="B575" t="str">
        <f t="shared" si="17"/>
        <v>LPSBPrevisãoMar-2023</v>
      </c>
      <c r="C575" t="s">
        <v>270</v>
      </c>
      <c r="D575" t="s">
        <v>271</v>
      </c>
      <c r="E575" t="s">
        <v>265</v>
      </c>
      <c r="F575" t="s">
        <v>736</v>
      </c>
      <c r="G575" t="s">
        <v>737</v>
      </c>
      <c r="H575" t="s">
        <v>738</v>
      </c>
      <c r="I575" t="s">
        <v>739</v>
      </c>
      <c r="J575" t="s">
        <v>739</v>
      </c>
      <c r="K575" s="2">
        <v>45015</v>
      </c>
      <c r="L575">
        <v>30585.215209103601</v>
      </c>
      <c r="M575">
        <v>737710.75279927102</v>
      </c>
      <c r="N575">
        <v>8797.2791623023495</v>
      </c>
      <c r="O575">
        <v>29654.434010787401</v>
      </c>
      <c r="P575">
        <v>-737710.75279927102</v>
      </c>
      <c r="Q575">
        <v>-104341.42449025399</v>
      </c>
      <c r="R575">
        <v>4086.3643567169302</v>
      </c>
      <c r="S575">
        <v>1443.29192446804</v>
      </c>
      <c r="T575">
        <v>149745.308171335</v>
      </c>
      <c r="U575">
        <v>565541.372028296</v>
      </c>
      <c r="V575">
        <v>25440.059064410001</v>
      </c>
    </row>
    <row r="576" spans="1:22" x14ac:dyDescent="0.3">
      <c r="A576" t="str">
        <f t="shared" si="16"/>
        <v>LPSBPrevisão</v>
      </c>
      <c r="B576" t="str">
        <f t="shared" si="17"/>
        <v>LPSBPrevisãoJun-2023</v>
      </c>
      <c r="C576" t="s">
        <v>270</v>
      </c>
      <c r="D576" t="s">
        <v>271</v>
      </c>
      <c r="E576" t="s">
        <v>265</v>
      </c>
      <c r="F576" t="s">
        <v>736</v>
      </c>
      <c r="G576" t="s">
        <v>737</v>
      </c>
      <c r="H576" t="s">
        <v>738</v>
      </c>
      <c r="I576" t="s">
        <v>739</v>
      </c>
      <c r="J576" t="s">
        <v>739</v>
      </c>
      <c r="K576" s="2">
        <v>45107</v>
      </c>
      <c r="L576">
        <v>36679.718384224398</v>
      </c>
      <c r="M576">
        <v>869758.575419122</v>
      </c>
      <c r="N576">
        <v>7370.0867554316901</v>
      </c>
      <c r="O576">
        <v>33947.788211799103</v>
      </c>
      <c r="P576">
        <v>-869758.575419122</v>
      </c>
      <c r="Q576">
        <v>-104422.52758619501</v>
      </c>
      <c r="R576">
        <v>4904.5426739508503</v>
      </c>
      <c r="S576">
        <v>1895.3493269712401</v>
      </c>
      <c r="T576">
        <v>199943.67481782299</v>
      </c>
      <c r="U576">
        <v>693086.03744167194</v>
      </c>
      <c r="V576">
        <v>31287.1209129171</v>
      </c>
    </row>
    <row r="577" spans="1:22" x14ac:dyDescent="0.3">
      <c r="A577" t="str">
        <f t="shared" si="16"/>
        <v>LPSBPrevisão</v>
      </c>
      <c r="B577" t="str">
        <f t="shared" si="17"/>
        <v>LPSBPrevisãoSet-2023</v>
      </c>
      <c r="C577" t="s">
        <v>270</v>
      </c>
      <c r="D577" t="s">
        <v>271</v>
      </c>
      <c r="E577" t="s">
        <v>265</v>
      </c>
      <c r="F577" t="s">
        <v>736</v>
      </c>
      <c r="G577" t="s">
        <v>737</v>
      </c>
      <c r="H577" t="s">
        <v>738</v>
      </c>
      <c r="I577" t="s">
        <v>739</v>
      </c>
      <c r="J577" t="s">
        <v>739</v>
      </c>
      <c r="K577" s="2">
        <v>45199</v>
      </c>
      <c r="L577">
        <v>43275.8213511336</v>
      </c>
      <c r="M577">
        <v>1019050.05781904</v>
      </c>
      <c r="N577">
        <v>5794.2003582572497</v>
      </c>
      <c r="O577">
        <v>38907.770781838699</v>
      </c>
      <c r="P577">
        <v>-1019050.05781904</v>
      </c>
      <c r="Q577">
        <v>-104733.355196263</v>
      </c>
      <c r="R577">
        <v>5825.5995474688798</v>
      </c>
      <c r="S577">
        <v>2408.9248785684499</v>
      </c>
      <c r="T577">
        <v>257138.25856085701</v>
      </c>
      <c r="U577">
        <v>837445.78694432601</v>
      </c>
      <c r="V577">
        <v>37757.556759250198</v>
      </c>
    </row>
    <row r="578" spans="1:22" x14ac:dyDescent="0.3">
      <c r="A578" t="str">
        <f t="shared" ref="A578:A641" si="18">_xlfn.CONCAT(D578,F578)</f>
        <v>JHSFPrevisão</v>
      </c>
      <c r="B578" t="str">
        <f t="shared" ref="B578:B641" si="19">_xlfn.CONCAT(D578,F578,PROPER(TEXT(K578,"mmm-aaaa")))</f>
        <v>JHSFPrevisãoDez-2022</v>
      </c>
      <c r="C578" t="s">
        <v>268</v>
      </c>
      <c r="D578" t="s">
        <v>269</v>
      </c>
      <c r="E578" t="s">
        <v>265</v>
      </c>
      <c r="F578" t="s">
        <v>736</v>
      </c>
      <c r="G578" t="s">
        <v>737</v>
      </c>
      <c r="H578" t="s">
        <v>738</v>
      </c>
      <c r="I578" t="s">
        <v>739</v>
      </c>
      <c r="J578" t="s">
        <v>739</v>
      </c>
      <c r="K578" s="2">
        <v>44925</v>
      </c>
      <c r="L578">
        <v>271001.82666999899</v>
      </c>
      <c r="M578">
        <v>8265423.5920569897</v>
      </c>
      <c r="N578">
        <v>1024793.52482811</v>
      </c>
      <c r="O578">
        <v>-32626.447245567</v>
      </c>
      <c r="P578">
        <v>-8265423.5920569897</v>
      </c>
      <c r="Q578">
        <v>-1209451.75867921</v>
      </c>
      <c r="R578">
        <v>176.06374670993401</v>
      </c>
      <c r="S578">
        <v>0</v>
      </c>
      <c r="T578">
        <v>3244657.41999867</v>
      </c>
      <c r="U578">
        <v>5786694.6912824204</v>
      </c>
      <c r="V578">
        <v>290030.94202524598</v>
      </c>
    </row>
    <row r="579" spans="1:22" x14ac:dyDescent="0.3">
      <c r="A579" t="str">
        <f t="shared" si="18"/>
        <v>JHSFPrevisão</v>
      </c>
      <c r="B579" t="str">
        <f t="shared" si="19"/>
        <v>JHSFPrevisãoMar-2023</v>
      </c>
      <c r="C579" t="s">
        <v>268</v>
      </c>
      <c r="D579" t="s">
        <v>269</v>
      </c>
      <c r="E579" t="s">
        <v>265</v>
      </c>
      <c r="F579" t="s">
        <v>736</v>
      </c>
      <c r="G579" t="s">
        <v>737</v>
      </c>
      <c r="H579" t="s">
        <v>738</v>
      </c>
      <c r="I579" t="s">
        <v>739</v>
      </c>
      <c r="J579" t="s">
        <v>739</v>
      </c>
      <c r="K579" s="2">
        <v>45015</v>
      </c>
      <c r="L579">
        <v>293536.81466715003</v>
      </c>
      <c r="M579">
        <v>8957823.1924330797</v>
      </c>
      <c r="N579">
        <v>1134579.97560891</v>
      </c>
      <c r="O579">
        <v>-47248.256769377302</v>
      </c>
      <c r="P579">
        <v>-8957823.1924330797</v>
      </c>
      <c r="Q579">
        <v>-1239740.57321336</v>
      </c>
      <c r="R579">
        <v>378.40919987895597</v>
      </c>
      <c r="S579">
        <v>0</v>
      </c>
      <c r="T579">
        <v>3562484.86721454</v>
      </c>
      <c r="U579">
        <v>6290706.6002426296</v>
      </c>
      <c r="V579">
        <v>313027.060174705</v>
      </c>
    </row>
    <row r="580" spans="1:22" x14ac:dyDescent="0.3">
      <c r="A580" t="str">
        <f t="shared" si="18"/>
        <v>JHSFPrevisão</v>
      </c>
      <c r="B580" t="str">
        <f t="shared" si="19"/>
        <v>JHSFPrevisãoJun-2023</v>
      </c>
      <c r="C580" t="s">
        <v>268</v>
      </c>
      <c r="D580" t="s">
        <v>269</v>
      </c>
      <c r="E580" t="s">
        <v>265</v>
      </c>
      <c r="F580" t="s">
        <v>736</v>
      </c>
      <c r="G580" t="s">
        <v>737</v>
      </c>
      <c r="H580" t="s">
        <v>738</v>
      </c>
      <c r="I580" t="s">
        <v>739</v>
      </c>
      <c r="J580" t="s">
        <v>739</v>
      </c>
      <c r="K580" s="2">
        <v>45107</v>
      </c>
      <c r="L580">
        <v>316771.98373954801</v>
      </c>
      <c r="M580">
        <v>9711651.5718629807</v>
      </c>
      <c r="N580">
        <v>1253625.1900991099</v>
      </c>
      <c r="O580">
        <v>-63203.8130208972</v>
      </c>
      <c r="P580">
        <v>-9711651.5718629807</v>
      </c>
      <c r="Q580">
        <v>-1267360.203489</v>
      </c>
      <c r="R580">
        <v>632.82527366660804</v>
      </c>
      <c r="S580">
        <v>0</v>
      </c>
      <c r="T580">
        <v>3913224.6678265501</v>
      </c>
      <c r="U580">
        <v>6840975.6351083796</v>
      </c>
      <c r="V580">
        <v>336732.90582690499</v>
      </c>
    </row>
    <row r="581" spans="1:22" x14ac:dyDescent="0.3">
      <c r="A581" t="str">
        <f t="shared" si="18"/>
        <v>JHSFPrevisão</v>
      </c>
      <c r="B581" t="str">
        <f t="shared" si="19"/>
        <v>JHSFPrevisãoSet-2023</v>
      </c>
      <c r="C581" t="s">
        <v>268</v>
      </c>
      <c r="D581" t="s">
        <v>269</v>
      </c>
      <c r="E581" t="s">
        <v>265</v>
      </c>
      <c r="F581" t="s">
        <v>736</v>
      </c>
      <c r="G581" t="s">
        <v>737</v>
      </c>
      <c r="H581" t="s">
        <v>738</v>
      </c>
      <c r="I581" t="s">
        <v>739</v>
      </c>
      <c r="J581" t="s">
        <v>739</v>
      </c>
      <c r="K581" s="2">
        <v>45199</v>
      </c>
      <c r="L581">
        <v>340688.38687505899</v>
      </c>
      <c r="M581">
        <v>10529607.619145099</v>
      </c>
      <c r="N581">
        <v>1382256.0811183101</v>
      </c>
      <c r="O581">
        <v>-80541.714927227295</v>
      </c>
      <c r="P581">
        <v>-10529607.619145099</v>
      </c>
      <c r="Q581">
        <v>-1292100.2110971799</v>
      </c>
      <c r="R581">
        <v>942.51173438100602</v>
      </c>
      <c r="S581">
        <v>0</v>
      </c>
      <c r="T581">
        <v>4298503.1813990297</v>
      </c>
      <c r="U581">
        <v>7439607.6256040297</v>
      </c>
      <c r="V581">
        <v>361129.08304062497</v>
      </c>
    </row>
    <row r="582" spans="1:22" x14ac:dyDescent="0.3">
      <c r="A582" t="str">
        <f t="shared" si="18"/>
        <v>EZTCPrevisão</v>
      </c>
      <c r="B582" t="str">
        <f t="shared" si="19"/>
        <v>EZTCPrevisãoDez-2022</v>
      </c>
      <c r="C582" t="s">
        <v>266</v>
      </c>
      <c r="D582" t="s">
        <v>267</v>
      </c>
      <c r="E582" t="s">
        <v>265</v>
      </c>
      <c r="F582" t="s">
        <v>736</v>
      </c>
      <c r="G582" t="s">
        <v>737</v>
      </c>
      <c r="H582" t="s">
        <v>738</v>
      </c>
      <c r="I582" t="s">
        <v>739</v>
      </c>
      <c r="J582" t="s">
        <v>739</v>
      </c>
      <c r="K582" s="2">
        <v>44925</v>
      </c>
      <c r="L582">
        <v>156088.88795519501</v>
      </c>
      <c r="M582">
        <v>5046638.8408453502</v>
      </c>
      <c r="N582">
        <v>573105.53484447801</v>
      </c>
      <c r="O582">
        <v>-8323.8792122806899</v>
      </c>
      <c r="P582">
        <v>-5046638.8408453502</v>
      </c>
      <c r="Q582">
        <v>267602.02631353401</v>
      </c>
      <c r="R582">
        <v>7204.5143026850901</v>
      </c>
      <c r="S582">
        <v>12545.160427806601</v>
      </c>
      <c r="T582">
        <v>1664245.15482634</v>
      </c>
      <c r="U582">
        <v>5050216.6170948399</v>
      </c>
      <c r="V582">
        <v>147266.17833800099</v>
      </c>
    </row>
    <row r="583" spans="1:22" x14ac:dyDescent="0.3">
      <c r="A583" t="str">
        <f t="shared" si="18"/>
        <v>EZTCPrevisão</v>
      </c>
      <c r="B583" t="str">
        <f t="shared" si="19"/>
        <v>EZTCPrevisãoMar-2023</v>
      </c>
      <c r="C583" t="s">
        <v>266</v>
      </c>
      <c r="D583" t="s">
        <v>267</v>
      </c>
      <c r="E583" t="s">
        <v>265</v>
      </c>
      <c r="F583" t="s">
        <v>736</v>
      </c>
      <c r="G583" t="s">
        <v>737</v>
      </c>
      <c r="H583" t="s">
        <v>738</v>
      </c>
      <c r="I583" t="s">
        <v>739</v>
      </c>
      <c r="J583" t="s">
        <v>739</v>
      </c>
      <c r="K583" s="2">
        <v>45015</v>
      </c>
      <c r="L583">
        <v>176058.229691894</v>
      </c>
      <c r="M583">
        <v>5240881.8473698804</v>
      </c>
      <c r="N583">
        <v>507063.31183538702</v>
      </c>
      <c r="O583">
        <v>-10680.012117529301</v>
      </c>
      <c r="P583">
        <v>-5240881.8473698804</v>
      </c>
      <c r="Q583">
        <v>377131.28785695398</v>
      </c>
      <c r="R583">
        <v>8284.94630152842</v>
      </c>
      <c r="S583">
        <v>12270.054611523899</v>
      </c>
      <c r="T583">
        <v>1756787.8691328501</v>
      </c>
      <c r="U583">
        <v>5307737.8703037295</v>
      </c>
      <c r="V583">
        <v>167178.30968784101</v>
      </c>
    </row>
    <row r="584" spans="1:22" x14ac:dyDescent="0.3">
      <c r="A584" t="str">
        <f t="shared" si="18"/>
        <v>EZTCPrevisão</v>
      </c>
      <c r="B584" t="str">
        <f t="shared" si="19"/>
        <v>EZTCPrevisãoJun-2023</v>
      </c>
      <c r="C584" t="s">
        <v>266</v>
      </c>
      <c r="D584" t="s">
        <v>267</v>
      </c>
      <c r="E584" t="s">
        <v>265</v>
      </c>
      <c r="F584" t="s">
        <v>736</v>
      </c>
      <c r="G584" t="s">
        <v>737</v>
      </c>
      <c r="H584" t="s">
        <v>738</v>
      </c>
      <c r="I584" t="s">
        <v>739</v>
      </c>
      <c r="J584" t="s">
        <v>739</v>
      </c>
      <c r="K584" s="2">
        <v>45107</v>
      </c>
      <c r="L584">
        <v>198455.83339910099</v>
      </c>
      <c r="M584">
        <v>5451447.9676543996</v>
      </c>
      <c r="N584">
        <v>429858.54745371197</v>
      </c>
      <c r="O584">
        <v>-13177.6103568746</v>
      </c>
      <c r="P584">
        <v>-5451447.9676543996</v>
      </c>
      <c r="Q584">
        <v>494923.94843379903</v>
      </c>
      <c r="R584">
        <v>9504.8186069482708</v>
      </c>
      <c r="S584">
        <v>11871.349491663599</v>
      </c>
      <c r="T584">
        <v>1861072.43926407</v>
      </c>
      <c r="U584">
        <v>5585239.2194085298</v>
      </c>
      <c r="V584">
        <v>189496.566745433</v>
      </c>
    </row>
    <row r="585" spans="1:22" x14ac:dyDescent="0.3">
      <c r="A585" t="str">
        <f t="shared" si="18"/>
        <v>EZTCPrevisão</v>
      </c>
      <c r="B585" t="str">
        <f t="shared" si="19"/>
        <v>EZTCPrevisãoSet-2023</v>
      </c>
      <c r="C585" t="s">
        <v>266</v>
      </c>
      <c r="D585" t="s">
        <v>267</v>
      </c>
      <c r="E585" t="s">
        <v>265</v>
      </c>
      <c r="F585" t="s">
        <v>736</v>
      </c>
      <c r="G585" t="s">
        <v>737</v>
      </c>
      <c r="H585" t="s">
        <v>738</v>
      </c>
      <c r="I585" t="s">
        <v>739</v>
      </c>
      <c r="J585" t="s">
        <v>739</v>
      </c>
      <c r="K585" s="2">
        <v>45199</v>
      </c>
      <c r="L585">
        <v>223398.06297941701</v>
      </c>
      <c r="M585">
        <v>5679268.1188136404</v>
      </c>
      <c r="N585">
        <v>340925.73863881698</v>
      </c>
      <c r="O585">
        <v>-15818.127015327</v>
      </c>
      <c r="P585">
        <v>-5679268.1188136404</v>
      </c>
      <c r="Q585">
        <v>621199.23926320602</v>
      </c>
      <c r="R585">
        <v>10871.0963528633</v>
      </c>
      <c r="S585">
        <v>11341.813660997301</v>
      </c>
      <c r="T585">
        <v>1977819.8764488499</v>
      </c>
      <c r="U585">
        <v>5883669.5063753603</v>
      </c>
      <c r="V585">
        <v>214334.99149703499</v>
      </c>
    </row>
    <row r="586" spans="1:22" x14ac:dyDescent="0.3">
      <c r="A586" t="str">
        <f t="shared" si="18"/>
        <v>SYNEPrevisão</v>
      </c>
      <c r="B586" t="str">
        <f t="shared" si="19"/>
        <v>SYNEPrevisãoDez-2022</v>
      </c>
      <c r="C586" t="s">
        <v>263</v>
      </c>
      <c r="D586" t="s">
        <v>264</v>
      </c>
      <c r="E586" t="s">
        <v>265</v>
      </c>
      <c r="F586" t="s">
        <v>736</v>
      </c>
      <c r="G586" t="s">
        <v>737</v>
      </c>
      <c r="H586" t="s">
        <v>738</v>
      </c>
      <c r="I586" t="s">
        <v>739</v>
      </c>
      <c r="J586" t="s">
        <v>739</v>
      </c>
      <c r="K586" s="2">
        <v>44925</v>
      </c>
      <c r="L586">
        <v>-9308.0915881610199</v>
      </c>
      <c r="M586">
        <v>2891680.4324758202</v>
      </c>
      <c r="N586">
        <v>373803.16433240997</v>
      </c>
      <c r="O586">
        <v>444.21169679988702</v>
      </c>
      <c r="P586">
        <v>-2891680.4324758202</v>
      </c>
      <c r="Q586">
        <v>-55674.988540694198</v>
      </c>
      <c r="R586">
        <v>-158.286647992887</v>
      </c>
      <c r="S586">
        <v>-5576.5934980076199</v>
      </c>
      <c r="T586">
        <v>110977.371445671</v>
      </c>
      <c r="U586">
        <v>1692556.26661568</v>
      </c>
      <c r="V586">
        <v>14625.251591545</v>
      </c>
    </row>
    <row r="587" spans="1:22" x14ac:dyDescent="0.3">
      <c r="A587" t="str">
        <f t="shared" si="18"/>
        <v>SYNEPrevisão</v>
      </c>
      <c r="B587" t="str">
        <f t="shared" si="19"/>
        <v>SYNEPrevisãoMar-2023</v>
      </c>
      <c r="C587" t="s">
        <v>263</v>
      </c>
      <c r="D587" t="s">
        <v>264</v>
      </c>
      <c r="E587" t="s">
        <v>265</v>
      </c>
      <c r="F587" t="s">
        <v>736</v>
      </c>
      <c r="G587" t="s">
        <v>737</v>
      </c>
      <c r="H587" t="s">
        <v>738</v>
      </c>
      <c r="I587" t="s">
        <v>739</v>
      </c>
      <c r="J587" t="s">
        <v>739</v>
      </c>
      <c r="K587" s="2">
        <v>45015</v>
      </c>
      <c r="L587">
        <v>-12211.3914869931</v>
      </c>
      <c r="M587">
        <v>2895395.3774169902</v>
      </c>
      <c r="N587">
        <v>342549.948191893</v>
      </c>
      <c r="O587">
        <v>511.45341904160398</v>
      </c>
      <c r="P587">
        <v>-2895395.3774169902</v>
      </c>
      <c r="Q587">
        <v>-25247.1868076959</v>
      </c>
      <c r="R587">
        <v>-225.58341534855299</v>
      </c>
      <c r="S587">
        <v>-7856.9954622333698</v>
      </c>
      <c r="T587">
        <v>96226.104300022998</v>
      </c>
      <c r="U587">
        <v>1706160.4156187701</v>
      </c>
      <c r="V587">
        <v>17037.378006730502</v>
      </c>
    </row>
    <row r="588" spans="1:22" x14ac:dyDescent="0.3">
      <c r="A588" t="str">
        <f t="shared" si="18"/>
        <v>SYNEPrevisão</v>
      </c>
      <c r="B588" t="str">
        <f t="shared" si="19"/>
        <v>SYNEPrevisãoJun-2023</v>
      </c>
      <c r="C588" t="s">
        <v>263</v>
      </c>
      <c r="D588" t="s">
        <v>264</v>
      </c>
      <c r="E588" t="s">
        <v>265</v>
      </c>
      <c r="F588" t="s">
        <v>736</v>
      </c>
      <c r="G588" t="s">
        <v>737</v>
      </c>
      <c r="H588" t="s">
        <v>738</v>
      </c>
      <c r="I588" t="s">
        <v>739</v>
      </c>
      <c r="J588" t="s">
        <v>739</v>
      </c>
      <c r="K588" s="2">
        <v>45107</v>
      </c>
      <c r="L588">
        <v>-15321.1922640509</v>
      </c>
      <c r="M588">
        <v>2902292.3187952698</v>
      </c>
      <c r="N588">
        <v>305850.47953614499</v>
      </c>
      <c r="O588">
        <v>588.52893193135299</v>
      </c>
      <c r="P588">
        <v>-2902292.3187952698</v>
      </c>
      <c r="Q588">
        <v>7186.1447264647804</v>
      </c>
      <c r="R588">
        <v>-304.01044078184998</v>
      </c>
      <c r="S588">
        <v>-10380.6691166689</v>
      </c>
      <c r="T588">
        <v>82361.023519264505</v>
      </c>
      <c r="U588">
        <v>1716887.3958432099</v>
      </c>
      <c r="V588">
        <v>19687.4622080564</v>
      </c>
    </row>
    <row r="589" spans="1:22" x14ac:dyDescent="0.3">
      <c r="A589" t="str">
        <f t="shared" si="18"/>
        <v>SYNEPrevisão</v>
      </c>
      <c r="B589" t="str">
        <f t="shared" si="19"/>
        <v>SYNEPrevisãoSet-2023</v>
      </c>
      <c r="C589" t="s">
        <v>263</v>
      </c>
      <c r="D589" t="s">
        <v>264</v>
      </c>
      <c r="E589" t="s">
        <v>265</v>
      </c>
      <c r="F589" t="s">
        <v>736</v>
      </c>
      <c r="G589" t="s">
        <v>737</v>
      </c>
      <c r="H589" t="s">
        <v>738</v>
      </c>
      <c r="I589" t="s">
        <v>739</v>
      </c>
      <c r="J589" t="s">
        <v>739</v>
      </c>
      <c r="K589" s="2">
        <v>45199</v>
      </c>
      <c r="L589">
        <v>-18646.973840226201</v>
      </c>
      <c r="M589">
        <v>2912853.7247287901</v>
      </c>
      <c r="N589">
        <v>263412.80901071301</v>
      </c>
      <c r="O589">
        <v>675.956460074044</v>
      </c>
      <c r="P589">
        <v>-2912853.7247287901</v>
      </c>
      <c r="Q589">
        <v>41658.751607264501</v>
      </c>
      <c r="R589">
        <v>-394.26446389973898</v>
      </c>
      <c r="S589">
        <v>-13158.0150477674</v>
      </c>
      <c r="T589">
        <v>69521.027870160702</v>
      </c>
      <c r="U589">
        <v>1724595.8752024199</v>
      </c>
      <c r="V589">
        <v>22585.589018183498</v>
      </c>
    </row>
    <row r="590" spans="1:22" x14ac:dyDescent="0.3">
      <c r="A590" t="str">
        <f t="shared" si="18"/>
        <v>BBRKPrevisão</v>
      </c>
      <c r="B590" t="str">
        <f t="shared" si="19"/>
        <v>BBRKPrevisãoDez-2022</v>
      </c>
      <c r="C590" t="s">
        <v>278</v>
      </c>
      <c r="D590" t="s">
        <v>279</v>
      </c>
      <c r="E590" t="s">
        <v>265</v>
      </c>
      <c r="F590" t="s">
        <v>736</v>
      </c>
      <c r="G590" t="s">
        <v>737</v>
      </c>
      <c r="H590" t="s">
        <v>738</v>
      </c>
      <c r="I590" t="s">
        <v>739</v>
      </c>
      <c r="J590" t="s">
        <v>739</v>
      </c>
      <c r="K590" s="2">
        <v>44925</v>
      </c>
      <c r="L590">
        <v>-6693.8746286544001</v>
      </c>
      <c r="M590">
        <v>360073.98981410399</v>
      </c>
      <c r="N590">
        <v>49029.641796126904</v>
      </c>
      <c r="O590">
        <v>595.486376368572</v>
      </c>
      <c r="P590">
        <v>-360073.98981410399</v>
      </c>
      <c r="Q590">
        <v>-59078.932094049698</v>
      </c>
      <c r="R590">
        <v>905.95306001195104</v>
      </c>
      <c r="S590">
        <v>3725.2711145076901</v>
      </c>
      <c r="T590">
        <v>-26776.488243811</v>
      </c>
      <c r="U590">
        <v>55453.113657586699</v>
      </c>
      <c r="V590">
        <v>10631.513368998099</v>
      </c>
    </row>
    <row r="591" spans="1:22" x14ac:dyDescent="0.3">
      <c r="A591" t="str">
        <f t="shared" si="18"/>
        <v>BBRKPrevisão</v>
      </c>
      <c r="B591" t="str">
        <f t="shared" si="19"/>
        <v>BBRKPrevisãoMar-2023</v>
      </c>
      <c r="C591" t="s">
        <v>278</v>
      </c>
      <c r="D591" t="s">
        <v>279</v>
      </c>
      <c r="E591" t="s">
        <v>265</v>
      </c>
      <c r="F591" t="s">
        <v>736</v>
      </c>
      <c r="G591" t="s">
        <v>737</v>
      </c>
      <c r="H591" t="s">
        <v>738</v>
      </c>
      <c r="I591" t="s">
        <v>739</v>
      </c>
      <c r="J591" t="s">
        <v>739</v>
      </c>
      <c r="K591" s="2">
        <v>45015</v>
      </c>
      <c r="L591">
        <v>-3533.0931848758501</v>
      </c>
      <c r="M591">
        <v>384276.52409857197</v>
      </c>
      <c r="N591">
        <v>43957.998935540898</v>
      </c>
      <c r="O591">
        <v>283.808023454823</v>
      </c>
      <c r="P591">
        <v>-384276.52409857197</v>
      </c>
      <c r="Q591">
        <v>-68454.090099266701</v>
      </c>
      <c r="R591">
        <v>1077.72169572178</v>
      </c>
      <c r="S591">
        <v>3976.3638887182301</v>
      </c>
      <c r="T591">
        <v>-6978.6019266401699</v>
      </c>
      <c r="U591">
        <v>65418.314271493298</v>
      </c>
      <c r="V591">
        <v>9159.6682840367903</v>
      </c>
    </row>
    <row r="592" spans="1:22" x14ac:dyDescent="0.3">
      <c r="A592" t="str">
        <f t="shared" si="18"/>
        <v>BBRKPrevisão</v>
      </c>
      <c r="B592" t="str">
        <f t="shared" si="19"/>
        <v>BBRKPrevisãoJun-2023</v>
      </c>
      <c r="C592" t="s">
        <v>278</v>
      </c>
      <c r="D592" t="s">
        <v>279</v>
      </c>
      <c r="E592" t="s">
        <v>265</v>
      </c>
      <c r="F592" t="s">
        <v>736</v>
      </c>
      <c r="G592" t="s">
        <v>737</v>
      </c>
      <c r="H592" t="s">
        <v>738</v>
      </c>
      <c r="I592" t="s">
        <v>739</v>
      </c>
      <c r="J592" t="s">
        <v>739</v>
      </c>
      <c r="K592" s="2">
        <v>45107</v>
      </c>
      <c r="L592">
        <v>8.1669107277848507</v>
      </c>
      <c r="M592">
        <v>412929.13854333299</v>
      </c>
      <c r="N592">
        <v>37755.8499034696</v>
      </c>
      <c r="O592">
        <v>-76.163641869903003</v>
      </c>
      <c r="P592">
        <v>-412929.13854333299</v>
      </c>
      <c r="Q592">
        <v>-78761.752456489499</v>
      </c>
      <c r="R592">
        <v>1271.35212531509</v>
      </c>
      <c r="S592">
        <v>4233.5500627094698</v>
      </c>
      <c r="T592">
        <v>15405.7571419992</v>
      </c>
      <c r="U592">
        <v>79884.057630468393</v>
      </c>
      <c r="V592">
        <v>7367.8747754800297</v>
      </c>
    </row>
    <row r="593" spans="1:22" x14ac:dyDescent="0.3">
      <c r="A593" t="str">
        <f t="shared" si="18"/>
        <v>BBRKPrevisão</v>
      </c>
      <c r="B593" t="str">
        <f t="shared" si="19"/>
        <v>BBRKPrevisãoSet-2023</v>
      </c>
      <c r="C593" t="s">
        <v>278</v>
      </c>
      <c r="D593" t="s">
        <v>279</v>
      </c>
      <c r="E593" t="s">
        <v>265</v>
      </c>
      <c r="F593" t="s">
        <v>736</v>
      </c>
      <c r="G593" t="s">
        <v>737</v>
      </c>
      <c r="H593" t="s">
        <v>738</v>
      </c>
      <c r="I593" t="s">
        <v>739</v>
      </c>
      <c r="J593" t="s">
        <v>739</v>
      </c>
      <c r="K593" s="2">
        <v>45199</v>
      </c>
      <c r="L593">
        <v>3942.2191495257298</v>
      </c>
      <c r="M593">
        <v>446226.54230732698</v>
      </c>
      <c r="N593">
        <v>30334.965793117899</v>
      </c>
      <c r="O593">
        <v>-486.89163027913202</v>
      </c>
      <c r="P593">
        <v>-446226.54230732698</v>
      </c>
      <c r="Q593">
        <v>-90037.997159146005</v>
      </c>
      <c r="R593">
        <v>1487.7586658455</v>
      </c>
      <c r="S593">
        <v>4496.5723495554103</v>
      </c>
      <c r="T593">
        <v>40472.771139434502</v>
      </c>
      <c r="U593">
        <v>99088.0258183806</v>
      </c>
      <c r="V593">
        <v>5237.35058422359</v>
      </c>
    </row>
    <row r="594" spans="1:22" x14ac:dyDescent="0.3">
      <c r="A594" t="str">
        <f t="shared" si="18"/>
        <v>LUXMPrevisão</v>
      </c>
      <c r="B594" t="str">
        <f t="shared" si="19"/>
        <v>LUXMPrevisãoDez-2022</v>
      </c>
      <c r="C594" t="s">
        <v>378</v>
      </c>
      <c r="D594" t="s">
        <v>379</v>
      </c>
      <c r="E594" t="s">
        <v>365</v>
      </c>
      <c r="F594" t="s">
        <v>736</v>
      </c>
      <c r="G594" t="s">
        <v>737</v>
      </c>
      <c r="H594" t="s">
        <v>738</v>
      </c>
      <c r="I594" t="s">
        <v>739</v>
      </c>
      <c r="J594" t="s">
        <v>739</v>
      </c>
      <c r="K594" s="2">
        <v>44925</v>
      </c>
      <c r="L594">
        <v>3861.2145828022399</v>
      </c>
      <c r="M594">
        <v>111920.744334096</v>
      </c>
      <c r="N594">
        <v>2959.1052542229099</v>
      </c>
      <c r="O594">
        <v>259.63882522733797</v>
      </c>
      <c r="P594">
        <v>-111920.744334096</v>
      </c>
      <c r="Q594">
        <v>-704.18657159979296</v>
      </c>
      <c r="R594">
        <v>-108.816823699192</v>
      </c>
      <c r="S594">
        <v>483.32026143801397</v>
      </c>
      <c r="T594">
        <v>45078.616755800998</v>
      </c>
      <c r="U594">
        <v>97746.940667174102</v>
      </c>
      <c r="V594">
        <v>475.38197097002501</v>
      </c>
    </row>
    <row r="595" spans="1:22" x14ac:dyDescent="0.3">
      <c r="A595" t="str">
        <f t="shared" si="18"/>
        <v>LUXMPrevisão</v>
      </c>
      <c r="B595" t="str">
        <f t="shared" si="19"/>
        <v>LUXMPrevisãoMar-2023</v>
      </c>
      <c r="C595" t="s">
        <v>378</v>
      </c>
      <c r="D595" t="s">
        <v>379</v>
      </c>
      <c r="E595" t="s">
        <v>365</v>
      </c>
      <c r="F595" t="s">
        <v>736</v>
      </c>
      <c r="G595" t="s">
        <v>737</v>
      </c>
      <c r="H595" t="s">
        <v>738</v>
      </c>
      <c r="I595" t="s">
        <v>739</v>
      </c>
      <c r="J595" t="s">
        <v>739</v>
      </c>
      <c r="K595" s="2">
        <v>45015</v>
      </c>
      <c r="L595">
        <v>3785.8618136845298</v>
      </c>
      <c r="M595">
        <v>108749.284626872</v>
      </c>
      <c r="N595">
        <v>3084.0985095102601</v>
      </c>
      <c r="O595">
        <v>284.53304335689302</v>
      </c>
      <c r="P595">
        <v>-108749.284626872</v>
      </c>
      <c r="Q595">
        <v>78.910008555505499</v>
      </c>
      <c r="R595">
        <v>-234.93706540767701</v>
      </c>
      <c r="S595">
        <v>465.21275897758898</v>
      </c>
      <c r="T595">
        <v>46180.493217443698</v>
      </c>
      <c r="U595">
        <v>95533.284964106395</v>
      </c>
      <c r="V595">
        <v>514.388584917804</v>
      </c>
    </row>
    <row r="596" spans="1:22" x14ac:dyDescent="0.3">
      <c r="A596" t="str">
        <f t="shared" si="18"/>
        <v>LUXMPrevisão</v>
      </c>
      <c r="B596" t="str">
        <f t="shared" si="19"/>
        <v>LUXMPrevisãoJun-2023</v>
      </c>
      <c r="C596" t="s">
        <v>378</v>
      </c>
      <c r="D596" t="s">
        <v>379</v>
      </c>
      <c r="E596" t="s">
        <v>365</v>
      </c>
      <c r="F596" t="s">
        <v>736</v>
      </c>
      <c r="G596" t="s">
        <v>737</v>
      </c>
      <c r="H596" t="s">
        <v>738</v>
      </c>
      <c r="I596" t="s">
        <v>739</v>
      </c>
      <c r="J596" t="s">
        <v>739</v>
      </c>
      <c r="K596" s="2">
        <v>45107</v>
      </c>
      <c r="L596">
        <v>3688.1836013156399</v>
      </c>
      <c r="M596">
        <v>105128.641885823</v>
      </c>
      <c r="N596">
        <v>3203.4717858865902</v>
      </c>
      <c r="O596">
        <v>314.00551482321998</v>
      </c>
      <c r="P596">
        <v>-105128.641885823</v>
      </c>
      <c r="Q596">
        <v>959.54196059910998</v>
      </c>
      <c r="R596">
        <v>-375.35913952635298</v>
      </c>
      <c r="S596">
        <v>443.76418922253703</v>
      </c>
      <c r="T596">
        <v>47447.483470937099</v>
      </c>
      <c r="U596">
        <v>93024.430080836493</v>
      </c>
      <c r="V596">
        <v>558.987908418046</v>
      </c>
    </row>
    <row r="597" spans="1:22" x14ac:dyDescent="0.3">
      <c r="A597" t="str">
        <f t="shared" si="18"/>
        <v>LUXMPrevisão</v>
      </c>
      <c r="B597" t="str">
        <f t="shared" si="19"/>
        <v>LUXMPrevisãoSet-2023</v>
      </c>
      <c r="C597" t="s">
        <v>378</v>
      </c>
      <c r="D597" t="s">
        <v>379</v>
      </c>
      <c r="E597" t="s">
        <v>365</v>
      </c>
      <c r="F597" t="s">
        <v>736</v>
      </c>
      <c r="G597" t="s">
        <v>737</v>
      </c>
      <c r="H597" t="s">
        <v>738</v>
      </c>
      <c r="I597" t="s">
        <v>739</v>
      </c>
      <c r="J597" t="s">
        <v>739</v>
      </c>
      <c r="K597" s="2">
        <v>45199</v>
      </c>
      <c r="L597">
        <v>3567.01574380072</v>
      </c>
      <c r="M597">
        <v>101038.613352171</v>
      </c>
      <c r="N597">
        <v>3316.4262376119</v>
      </c>
      <c r="O597">
        <v>348.31974515917301</v>
      </c>
      <c r="P597">
        <v>-101038.613352171</v>
      </c>
      <c r="Q597">
        <v>1942.1479340099299</v>
      </c>
      <c r="R597">
        <v>-530.69063238107401</v>
      </c>
      <c r="S597">
        <v>418.84626050896401</v>
      </c>
      <c r="T597">
        <v>48888.786388365697</v>
      </c>
      <c r="U597">
        <v>90209.089616932295</v>
      </c>
      <c r="V597">
        <v>609.46930505113403</v>
      </c>
    </row>
    <row r="598" spans="1:22" x14ac:dyDescent="0.3">
      <c r="A598" t="str">
        <f t="shared" si="18"/>
        <v>SCARPrevisão</v>
      </c>
      <c r="B598" t="str">
        <f t="shared" si="19"/>
        <v>SCARPrevisãoDez-2022</v>
      </c>
      <c r="C598" t="s">
        <v>376</v>
      </c>
      <c r="D598" t="s">
        <v>377</v>
      </c>
      <c r="E598" t="s">
        <v>365</v>
      </c>
      <c r="F598" t="s">
        <v>736</v>
      </c>
      <c r="G598" t="s">
        <v>737</v>
      </c>
      <c r="H598" t="s">
        <v>738</v>
      </c>
      <c r="I598" t="s">
        <v>739</v>
      </c>
      <c r="J598" t="s">
        <v>739</v>
      </c>
      <c r="K598" s="2">
        <v>44925</v>
      </c>
      <c r="L598">
        <v>-13308.0732535472</v>
      </c>
      <c r="M598">
        <v>3157407.74306075</v>
      </c>
      <c r="N598">
        <v>246981.522196798</v>
      </c>
      <c r="O598">
        <v>28018.421950597502</v>
      </c>
      <c r="P598">
        <v>-3157407.74306075</v>
      </c>
      <c r="Q598">
        <v>-219778.60453272</v>
      </c>
      <c r="R598">
        <v>0</v>
      </c>
      <c r="S598">
        <v>179.99745352673199</v>
      </c>
      <c r="T598">
        <v>605014.16025792295</v>
      </c>
      <c r="U598">
        <v>1554858.0527119399</v>
      </c>
      <c r="V598">
        <v>25788.599015359901</v>
      </c>
    </row>
    <row r="599" spans="1:22" x14ac:dyDescent="0.3">
      <c r="A599" t="str">
        <f t="shared" si="18"/>
        <v>SCARPrevisão</v>
      </c>
      <c r="B599" t="str">
        <f t="shared" si="19"/>
        <v>SCARPrevisãoMar-2023</v>
      </c>
      <c r="C599" t="s">
        <v>376</v>
      </c>
      <c r="D599" t="s">
        <v>377</v>
      </c>
      <c r="E599" t="s">
        <v>365</v>
      </c>
      <c r="F599" t="s">
        <v>736</v>
      </c>
      <c r="G599" t="s">
        <v>737</v>
      </c>
      <c r="H599" t="s">
        <v>738</v>
      </c>
      <c r="I599" t="s">
        <v>739</v>
      </c>
      <c r="J599" t="s">
        <v>739</v>
      </c>
      <c r="K599" s="2">
        <v>45015</v>
      </c>
      <c r="L599">
        <v>-16071.1166192979</v>
      </c>
      <c r="M599">
        <v>3216902.6713121701</v>
      </c>
      <c r="N599">
        <v>235809.318251827</v>
      </c>
      <c r="O599">
        <v>19430.4259354838</v>
      </c>
      <c r="P599">
        <v>-3216902.6713121701</v>
      </c>
      <c r="Q599">
        <v>-234696.03808697601</v>
      </c>
      <c r="R599">
        <v>0</v>
      </c>
      <c r="S599">
        <v>254.521572756707</v>
      </c>
      <c r="T599">
        <v>653581.77556154295</v>
      </c>
      <c r="U599">
        <v>1557752.01847909</v>
      </c>
      <c r="V599">
        <v>29156.594335355301</v>
      </c>
    </row>
    <row r="600" spans="1:22" x14ac:dyDescent="0.3">
      <c r="A600" t="str">
        <f t="shared" si="18"/>
        <v>SCARPrevisão</v>
      </c>
      <c r="B600" t="str">
        <f t="shared" si="19"/>
        <v>SCARPrevisãoJun-2023</v>
      </c>
      <c r="C600" t="s">
        <v>376</v>
      </c>
      <c r="D600" t="s">
        <v>377</v>
      </c>
      <c r="E600" t="s">
        <v>365</v>
      </c>
      <c r="F600" t="s">
        <v>736</v>
      </c>
      <c r="G600" t="s">
        <v>737</v>
      </c>
      <c r="H600" t="s">
        <v>738</v>
      </c>
      <c r="I600" t="s">
        <v>739</v>
      </c>
      <c r="J600" t="s">
        <v>739</v>
      </c>
      <c r="K600" s="2">
        <v>45107</v>
      </c>
      <c r="L600">
        <v>-18865.853684900401</v>
      </c>
      <c r="M600">
        <v>3277407.3746857299</v>
      </c>
      <c r="N600">
        <v>223372.54448694599</v>
      </c>
      <c r="O600">
        <v>9876.0023573885301</v>
      </c>
      <c r="P600">
        <v>-3277407.3746857299</v>
      </c>
      <c r="Q600">
        <v>-250536.86952603</v>
      </c>
      <c r="R600">
        <v>0</v>
      </c>
      <c r="S600">
        <v>340.32306956127002</v>
      </c>
      <c r="T600">
        <v>709430.62881043996</v>
      </c>
      <c r="U600">
        <v>1560009.8889186799</v>
      </c>
      <c r="V600">
        <v>33016.961058638502</v>
      </c>
    </row>
    <row r="601" spans="1:22" x14ac:dyDescent="0.3">
      <c r="A601" t="str">
        <f t="shared" si="18"/>
        <v>SCARPrevisão</v>
      </c>
      <c r="B601" t="str">
        <f t="shared" si="19"/>
        <v>SCARPrevisãoSet-2023</v>
      </c>
      <c r="C601" t="s">
        <v>376</v>
      </c>
      <c r="D601" t="s">
        <v>377</v>
      </c>
      <c r="E601" t="s">
        <v>365</v>
      </c>
      <c r="F601" t="s">
        <v>736</v>
      </c>
      <c r="G601" t="s">
        <v>737</v>
      </c>
      <c r="H601" t="s">
        <v>738</v>
      </c>
      <c r="I601" t="s">
        <v>739</v>
      </c>
      <c r="J601" t="s">
        <v>739</v>
      </c>
      <c r="K601" s="2">
        <v>45199</v>
      </c>
      <c r="L601">
        <v>-21688.318781943301</v>
      </c>
      <c r="M601">
        <v>3339006.8535883301</v>
      </c>
      <c r="N601">
        <v>209603.726800023</v>
      </c>
      <c r="O601">
        <v>-683.37798558307202</v>
      </c>
      <c r="P601">
        <v>-3339006.8535883301</v>
      </c>
      <c r="Q601">
        <v>-267327.70075833402</v>
      </c>
      <c r="R601">
        <v>0</v>
      </c>
      <c r="S601">
        <v>437.95876151271898</v>
      </c>
      <c r="T601">
        <v>772979.77541164297</v>
      </c>
      <c r="U601">
        <v>1561677.6085604101</v>
      </c>
      <c r="V601">
        <v>37396.229389578803</v>
      </c>
    </row>
    <row r="602" spans="1:22" x14ac:dyDescent="0.3">
      <c r="A602" t="str">
        <f t="shared" si="18"/>
        <v>PPARPrevisão</v>
      </c>
      <c r="B602" t="str">
        <f t="shared" si="19"/>
        <v>PPARPrevisãoDez-2022</v>
      </c>
      <c r="C602" t="s">
        <v>380</v>
      </c>
      <c r="D602" t="s">
        <v>381</v>
      </c>
      <c r="E602" t="s">
        <v>365</v>
      </c>
      <c r="F602" t="s">
        <v>736</v>
      </c>
      <c r="G602" t="s">
        <v>737</v>
      </c>
      <c r="H602" t="s">
        <v>738</v>
      </c>
      <c r="I602" t="s">
        <v>739</v>
      </c>
      <c r="J602" t="s">
        <v>739</v>
      </c>
      <c r="K602" s="2">
        <v>44925</v>
      </c>
      <c r="L602">
        <v>461.34462269773798</v>
      </c>
      <c r="M602">
        <v>70304.742212032899</v>
      </c>
      <c r="N602">
        <v>3542.2353790000202</v>
      </c>
      <c r="O602">
        <v>0</v>
      </c>
      <c r="P602">
        <v>-70304.742212032899</v>
      </c>
      <c r="Q602">
        <v>11.7962821492108</v>
      </c>
      <c r="R602">
        <v>0</v>
      </c>
      <c r="S602">
        <v>20.318394024282501</v>
      </c>
      <c r="T602">
        <v>951.49053560950699</v>
      </c>
      <c r="U602">
        <v>49865.554536962904</v>
      </c>
      <c r="V602">
        <v>358.308632544072</v>
      </c>
    </row>
    <row r="603" spans="1:22" x14ac:dyDescent="0.3">
      <c r="A603" t="str">
        <f t="shared" si="18"/>
        <v>PPARPrevisão</v>
      </c>
      <c r="B603" t="str">
        <f t="shared" si="19"/>
        <v>PPARPrevisãoMar-2023</v>
      </c>
      <c r="C603" t="s">
        <v>380</v>
      </c>
      <c r="D603" t="s">
        <v>381</v>
      </c>
      <c r="E603" t="s">
        <v>365</v>
      </c>
      <c r="F603" t="s">
        <v>736</v>
      </c>
      <c r="G603" t="s">
        <v>737</v>
      </c>
      <c r="H603" t="s">
        <v>738</v>
      </c>
      <c r="I603" t="s">
        <v>739</v>
      </c>
      <c r="J603" t="s">
        <v>739</v>
      </c>
      <c r="K603" s="2">
        <v>45015</v>
      </c>
      <c r="L603">
        <v>534.21890263087903</v>
      </c>
      <c r="M603">
        <v>70407.930465219906</v>
      </c>
      <c r="N603">
        <v>3600.0540907598902</v>
      </c>
      <c r="O603">
        <v>0</v>
      </c>
      <c r="P603">
        <v>-70407.930465219906</v>
      </c>
      <c r="Q603">
        <v>23.390140331298401</v>
      </c>
      <c r="R603">
        <v>0</v>
      </c>
      <c r="S603">
        <v>23.027153203631102</v>
      </c>
      <c r="T603">
        <v>488.819133879422</v>
      </c>
      <c r="U603">
        <v>49794.301651532704</v>
      </c>
      <c r="V603">
        <v>415.86697774950602</v>
      </c>
    </row>
    <row r="604" spans="1:22" x14ac:dyDescent="0.3">
      <c r="A604" t="str">
        <f t="shared" si="18"/>
        <v>PPARPrevisão</v>
      </c>
      <c r="B604" t="str">
        <f t="shared" si="19"/>
        <v>PPARPrevisãoJun-2023</v>
      </c>
      <c r="C604" t="s">
        <v>380</v>
      </c>
      <c r="D604" t="s">
        <v>381</v>
      </c>
      <c r="E604" t="s">
        <v>365</v>
      </c>
      <c r="F604" t="s">
        <v>736</v>
      </c>
      <c r="G604" t="s">
        <v>737</v>
      </c>
      <c r="H604" t="s">
        <v>738</v>
      </c>
      <c r="I604" t="s">
        <v>739</v>
      </c>
      <c r="J604" t="s">
        <v>739</v>
      </c>
      <c r="K604" s="2">
        <v>45107</v>
      </c>
      <c r="L604">
        <v>615.11729654169801</v>
      </c>
      <c r="M604">
        <v>70118.105613669395</v>
      </c>
      <c r="N604">
        <v>3647.32227639958</v>
      </c>
      <c r="O604">
        <v>0</v>
      </c>
      <c r="P604">
        <v>-70118.105613669395</v>
      </c>
      <c r="Q604">
        <v>35.901949917404501</v>
      </c>
      <c r="R604">
        <v>0</v>
      </c>
      <c r="S604">
        <v>25.9917188307369</v>
      </c>
      <c r="T604">
        <v>-37.597586487610897</v>
      </c>
      <c r="U604">
        <v>49436.571113668098</v>
      </c>
      <c r="V604">
        <v>479.60852920006897</v>
      </c>
    </row>
    <row r="605" spans="1:22" x14ac:dyDescent="0.3">
      <c r="A605" t="str">
        <f t="shared" si="18"/>
        <v>PPARPrevisão</v>
      </c>
      <c r="B605" t="str">
        <f t="shared" si="19"/>
        <v>PPARPrevisãoSet-2023</v>
      </c>
      <c r="C605" t="s">
        <v>380</v>
      </c>
      <c r="D605" t="s">
        <v>381</v>
      </c>
      <c r="E605" t="s">
        <v>365</v>
      </c>
      <c r="F605" t="s">
        <v>736</v>
      </c>
      <c r="G605" t="s">
        <v>737</v>
      </c>
      <c r="H605" t="s">
        <v>738</v>
      </c>
      <c r="I605" t="s">
        <v>739</v>
      </c>
      <c r="J605" t="s">
        <v>739</v>
      </c>
      <c r="K605" s="2">
        <v>45199</v>
      </c>
      <c r="L605">
        <v>704.42864543513497</v>
      </c>
      <c r="M605">
        <v>69410.108751002306</v>
      </c>
      <c r="N605">
        <v>3683.3126982351801</v>
      </c>
      <c r="O605">
        <v>0</v>
      </c>
      <c r="P605">
        <v>-69410.108751002306</v>
      </c>
      <c r="Q605">
        <v>49.3617043988231</v>
      </c>
      <c r="R605">
        <v>0</v>
      </c>
      <c r="S605">
        <v>29.223366291487999</v>
      </c>
      <c r="T605">
        <v>-630.93620322544405</v>
      </c>
      <c r="U605">
        <v>48774.627101422702</v>
      </c>
      <c r="V605">
        <v>549.83257542415095</v>
      </c>
    </row>
    <row r="606" spans="1:22" x14ac:dyDescent="0.3">
      <c r="A606" t="str">
        <f t="shared" si="18"/>
        <v>OSXBPrevisão</v>
      </c>
      <c r="B606" t="str">
        <f t="shared" si="19"/>
        <v>OSXBPrevisãoDez-2022</v>
      </c>
      <c r="C606" t="s">
        <v>384</v>
      </c>
      <c r="D606" t="s">
        <v>385</v>
      </c>
      <c r="E606" t="s">
        <v>365</v>
      </c>
      <c r="F606" t="s">
        <v>736</v>
      </c>
      <c r="G606" t="s">
        <v>737</v>
      </c>
      <c r="H606" t="s">
        <v>738</v>
      </c>
      <c r="I606" t="s">
        <v>739</v>
      </c>
      <c r="J606" t="s">
        <v>739</v>
      </c>
      <c r="K606" s="2">
        <v>44925</v>
      </c>
      <c r="L606">
        <v>-354024.50207922101</v>
      </c>
      <c r="M606">
        <v>814532.703165991</v>
      </c>
      <c r="N606">
        <v>-250497.42899535201</v>
      </c>
      <c r="O606">
        <v>-21487.206943372301</v>
      </c>
      <c r="P606">
        <v>-814532.703165991</v>
      </c>
      <c r="Q606">
        <v>-328425.981410757</v>
      </c>
      <c r="R606">
        <v>2921.7236227835001</v>
      </c>
      <c r="S606">
        <v>3357.2006620726102</v>
      </c>
      <c r="T606">
        <v>0</v>
      </c>
      <c r="U606">
        <v>-5117947.7170860199</v>
      </c>
      <c r="V606">
        <v>-360004.11229999497</v>
      </c>
    </row>
    <row r="607" spans="1:22" x14ac:dyDescent="0.3">
      <c r="A607" t="str">
        <f t="shared" si="18"/>
        <v>OSXBPrevisão</v>
      </c>
      <c r="B607" t="str">
        <f t="shared" si="19"/>
        <v>OSXBPrevisãoMar-2023</v>
      </c>
      <c r="C607" t="s">
        <v>384</v>
      </c>
      <c r="D607" t="s">
        <v>385</v>
      </c>
      <c r="E607" t="s">
        <v>365</v>
      </c>
      <c r="F607" t="s">
        <v>736</v>
      </c>
      <c r="G607" t="s">
        <v>737</v>
      </c>
      <c r="H607" t="s">
        <v>738</v>
      </c>
      <c r="I607" t="s">
        <v>739</v>
      </c>
      <c r="J607" t="s">
        <v>739</v>
      </c>
      <c r="K607" s="2">
        <v>45015</v>
      </c>
      <c r="L607">
        <v>-470803.35588412598</v>
      </c>
      <c r="M607">
        <v>1057027.68456977</v>
      </c>
      <c r="N607">
        <v>-358635.14485709899</v>
      </c>
      <c r="O607">
        <v>-26893.998111923898</v>
      </c>
      <c r="P607">
        <v>-1057027.68456977</v>
      </c>
      <c r="Q607">
        <v>-311203.20106127497</v>
      </c>
      <c r="R607">
        <v>3895.9449870050098</v>
      </c>
      <c r="S607">
        <v>2531.4914968333101</v>
      </c>
      <c r="T607">
        <v>0</v>
      </c>
      <c r="U607">
        <v>-4916240.9649473401</v>
      </c>
      <c r="V607">
        <v>-481279.07127434399</v>
      </c>
    </row>
    <row r="608" spans="1:22" x14ac:dyDescent="0.3">
      <c r="A608" t="str">
        <f t="shared" si="18"/>
        <v>OSXBPrevisão</v>
      </c>
      <c r="B608" t="str">
        <f t="shared" si="19"/>
        <v>OSXBPrevisãoJun-2023</v>
      </c>
      <c r="C608" t="s">
        <v>384</v>
      </c>
      <c r="D608" t="s">
        <v>385</v>
      </c>
      <c r="E608" t="s">
        <v>365</v>
      </c>
      <c r="F608" t="s">
        <v>736</v>
      </c>
      <c r="G608" t="s">
        <v>737</v>
      </c>
      <c r="H608" t="s">
        <v>738</v>
      </c>
      <c r="I608" t="s">
        <v>739</v>
      </c>
      <c r="J608" t="s">
        <v>739</v>
      </c>
      <c r="K608" s="2">
        <v>45107</v>
      </c>
      <c r="L608">
        <v>-605364.43456470803</v>
      </c>
      <c r="M608">
        <v>1330821.04349888</v>
      </c>
      <c r="N608">
        <v>-484830.636491924</v>
      </c>
      <c r="O608">
        <v>-32478.538093539599</v>
      </c>
      <c r="P608">
        <v>-1330821.04349888</v>
      </c>
      <c r="Q608">
        <v>-290920.272821836</v>
      </c>
      <c r="R608">
        <v>5006.5829650982596</v>
      </c>
      <c r="S608">
        <v>1653.99929726299</v>
      </c>
      <c r="T608">
        <v>0</v>
      </c>
      <c r="U608">
        <v>-4664757.4412374496</v>
      </c>
      <c r="V608">
        <v>-620891.19099128805</v>
      </c>
    </row>
    <row r="609" spans="1:22" x14ac:dyDescent="0.3">
      <c r="A609" t="str">
        <f t="shared" si="18"/>
        <v>OSXBPrevisão</v>
      </c>
      <c r="B609" t="str">
        <f t="shared" si="19"/>
        <v>OSXBPrevisãoSet-2023</v>
      </c>
      <c r="C609" t="s">
        <v>384</v>
      </c>
      <c r="D609" t="s">
        <v>385</v>
      </c>
      <c r="E609" t="s">
        <v>365</v>
      </c>
      <c r="F609" t="s">
        <v>736</v>
      </c>
      <c r="G609" t="s">
        <v>737</v>
      </c>
      <c r="H609" t="s">
        <v>738</v>
      </c>
      <c r="I609" t="s">
        <v>739</v>
      </c>
      <c r="J609" t="s">
        <v>739</v>
      </c>
      <c r="K609" s="2">
        <v>45199</v>
      </c>
      <c r="L609">
        <v>-758667.19513051002</v>
      </c>
      <c r="M609">
        <v>1637075.1229339601</v>
      </c>
      <c r="N609">
        <v>-630229.27469291096</v>
      </c>
      <c r="O609">
        <v>-38232.090781895102</v>
      </c>
      <c r="P609">
        <v>-1637075.1229339601</v>
      </c>
      <c r="Q609">
        <v>-267443.14473494003</v>
      </c>
      <c r="R609">
        <v>6259.2739648451598</v>
      </c>
      <c r="S609">
        <v>724.86074073053203</v>
      </c>
      <c r="T609">
        <v>0</v>
      </c>
      <c r="U609">
        <v>-4361435.3174043102</v>
      </c>
      <c r="V609">
        <v>-779823.64925280295</v>
      </c>
    </row>
    <row r="610" spans="1:22" x14ac:dyDescent="0.3">
      <c r="A610" t="str">
        <f t="shared" si="18"/>
        <v>MOARPrevisão</v>
      </c>
      <c r="B610" t="str">
        <f t="shared" si="19"/>
        <v>MOARPrevisãoDez-2022</v>
      </c>
      <c r="C610" t="s">
        <v>374</v>
      </c>
      <c r="D610" t="s">
        <v>375</v>
      </c>
      <c r="E610" t="s">
        <v>365</v>
      </c>
      <c r="F610" t="s">
        <v>736</v>
      </c>
      <c r="G610" t="s">
        <v>737</v>
      </c>
      <c r="H610" t="s">
        <v>738</v>
      </c>
      <c r="I610" t="s">
        <v>739</v>
      </c>
      <c r="J610" t="s">
        <v>739</v>
      </c>
      <c r="K610" s="2">
        <v>44925</v>
      </c>
      <c r="L610">
        <v>76031.316187071396</v>
      </c>
      <c r="M610">
        <v>2288746.4351922199</v>
      </c>
      <c r="N610">
        <v>929767.63941951096</v>
      </c>
      <c r="O610">
        <v>21897.395382394301</v>
      </c>
      <c r="P610">
        <v>-2288746.4351922199</v>
      </c>
      <c r="Q610">
        <v>-258747.422629657</v>
      </c>
      <c r="R610">
        <v>1156.2341906460999</v>
      </c>
      <c r="S610">
        <v>545.24514048040305</v>
      </c>
      <c r="T610">
        <v>30796.444359548099</v>
      </c>
      <c r="U610">
        <v>897172.72133088601</v>
      </c>
      <c r="V610">
        <v>96613.141329241407</v>
      </c>
    </row>
    <row r="611" spans="1:22" x14ac:dyDescent="0.3">
      <c r="A611" t="str">
        <f t="shared" si="18"/>
        <v>MOARPrevisão</v>
      </c>
      <c r="B611" t="str">
        <f t="shared" si="19"/>
        <v>MOARPrevisãoMar-2023</v>
      </c>
      <c r="C611" t="s">
        <v>374</v>
      </c>
      <c r="D611" t="s">
        <v>375</v>
      </c>
      <c r="E611" t="s">
        <v>365</v>
      </c>
      <c r="F611" t="s">
        <v>736</v>
      </c>
      <c r="G611" t="s">
        <v>737</v>
      </c>
      <c r="H611" t="s">
        <v>738</v>
      </c>
      <c r="I611" t="s">
        <v>739</v>
      </c>
      <c r="J611" t="s">
        <v>739</v>
      </c>
      <c r="K611" s="2">
        <v>45015</v>
      </c>
      <c r="L611">
        <v>82744.158532850895</v>
      </c>
      <c r="M611">
        <v>2413741.66975682</v>
      </c>
      <c r="N611">
        <v>1008864.66056213</v>
      </c>
      <c r="O611">
        <v>23192.004725885799</v>
      </c>
      <c r="P611">
        <v>-2413741.66975682</v>
      </c>
      <c r="Q611">
        <v>-266120.35392993898</v>
      </c>
      <c r="R611">
        <v>1144.83084994866</v>
      </c>
      <c r="S611">
        <v>612.16642004876599</v>
      </c>
      <c r="T611">
        <v>-32535.128080732698</v>
      </c>
      <c r="U611">
        <v>874534.57962309697</v>
      </c>
      <c r="V611">
        <v>109736.325707656</v>
      </c>
    </row>
    <row r="612" spans="1:22" x14ac:dyDescent="0.3">
      <c r="A612" t="str">
        <f t="shared" si="18"/>
        <v>MOARPrevisão</v>
      </c>
      <c r="B612" t="str">
        <f t="shared" si="19"/>
        <v>MOARPrevisãoJun-2023</v>
      </c>
      <c r="C612" t="s">
        <v>374</v>
      </c>
      <c r="D612" t="s">
        <v>375</v>
      </c>
      <c r="E612" t="s">
        <v>365</v>
      </c>
      <c r="F612" t="s">
        <v>736</v>
      </c>
      <c r="G612" t="s">
        <v>737</v>
      </c>
      <c r="H612" t="s">
        <v>738</v>
      </c>
      <c r="I612" t="s">
        <v>739</v>
      </c>
      <c r="J612" t="s">
        <v>739</v>
      </c>
      <c r="K612" s="2">
        <v>45107</v>
      </c>
      <c r="L612">
        <v>89925.324626647096</v>
      </c>
      <c r="M612">
        <v>2550090.7263443102</v>
      </c>
      <c r="N612">
        <v>1095625.9437118501</v>
      </c>
      <c r="O612">
        <v>24601.806129597298</v>
      </c>
      <c r="P612">
        <v>-2550090.7263443102</v>
      </c>
      <c r="Q612">
        <v>-273037.77738813398</v>
      </c>
      <c r="R612">
        <v>1132.72432514557</v>
      </c>
      <c r="S612">
        <v>697.77019462470696</v>
      </c>
      <c r="T612">
        <v>-101577.92893748</v>
      </c>
      <c r="U612">
        <v>852116.14101827506</v>
      </c>
      <c r="V612">
        <v>123998.54541938</v>
      </c>
    </row>
    <row r="613" spans="1:22" x14ac:dyDescent="0.3">
      <c r="A613" t="str">
        <f t="shared" si="18"/>
        <v>MOARPrevisão</v>
      </c>
      <c r="B613" t="str">
        <f t="shared" si="19"/>
        <v>MOARPrevisãoSet-2023</v>
      </c>
      <c r="C613" t="s">
        <v>374</v>
      </c>
      <c r="D613" t="s">
        <v>375</v>
      </c>
      <c r="E613" t="s">
        <v>365</v>
      </c>
      <c r="F613" t="s">
        <v>736</v>
      </c>
      <c r="G613" t="s">
        <v>737</v>
      </c>
      <c r="H613" t="s">
        <v>738</v>
      </c>
      <c r="I613" t="s">
        <v>739</v>
      </c>
      <c r="J613" t="s">
        <v>739</v>
      </c>
      <c r="K613" s="2">
        <v>45199</v>
      </c>
      <c r="L613">
        <v>97585.421835163303</v>
      </c>
      <c r="M613">
        <v>2698297.6725044302</v>
      </c>
      <c r="N613">
        <v>1190409.37965698</v>
      </c>
      <c r="O613">
        <v>26132.3969313241</v>
      </c>
      <c r="P613">
        <v>-2698297.6725044302</v>
      </c>
      <c r="Q613">
        <v>-279459.53386712301</v>
      </c>
      <c r="R613">
        <v>1119.9488163639001</v>
      </c>
      <c r="S613">
        <v>803.25768705960104</v>
      </c>
      <c r="T613">
        <v>-176579.85560621801</v>
      </c>
      <c r="U613">
        <v>830012.89581710706</v>
      </c>
      <c r="V613">
        <v>139438.14851323701</v>
      </c>
    </row>
    <row r="614" spans="1:22" x14ac:dyDescent="0.3">
      <c r="A614" t="str">
        <f t="shared" si="18"/>
        <v>EPARPrevisão</v>
      </c>
      <c r="B614" t="str">
        <f t="shared" si="19"/>
        <v>EPARPrevisãoDez-2022</v>
      </c>
      <c r="C614" t="s">
        <v>372</v>
      </c>
      <c r="D614" t="s">
        <v>373</v>
      </c>
      <c r="E614" t="s">
        <v>365</v>
      </c>
      <c r="F614" t="s">
        <v>736</v>
      </c>
      <c r="G614" t="s">
        <v>737</v>
      </c>
      <c r="H614" t="s">
        <v>738</v>
      </c>
      <c r="I614" t="s">
        <v>739</v>
      </c>
      <c r="J614" t="s">
        <v>739</v>
      </c>
      <c r="K614" s="2">
        <v>44925</v>
      </c>
      <c r="L614">
        <v>13222.879382055</v>
      </c>
      <c r="M614">
        <v>176669.85400224</v>
      </c>
      <c r="N614">
        <v>74516.582463253595</v>
      </c>
      <c r="O614">
        <v>50555.566844804998</v>
      </c>
      <c r="P614">
        <v>-176669.85400224</v>
      </c>
      <c r="Q614">
        <v>-107957.96698071899</v>
      </c>
      <c r="R614">
        <v>527.36244801770499</v>
      </c>
      <c r="S614">
        <v>756.17697988957798</v>
      </c>
      <c r="T614">
        <v>16469.744588748799</v>
      </c>
      <c r="U614">
        <v>48660.683728019198</v>
      </c>
      <c r="V614">
        <v>122008.980307534</v>
      </c>
    </row>
    <row r="615" spans="1:22" x14ac:dyDescent="0.3">
      <c r="A615" t="str">
        <f t="shared" si="18"/>
        <v>EPARPrevisão</v>
      </c>
      <c r="B615" t="str">
        <f t="shared" si="19"/>
        <v>EPARPrevisãoMar-2023</v>
      </c>
      <c r="C615" t="s">
        <v>372</v>
      </c>
      <c r="D615" t="s">
        <v>373</v>
      </c>
      <c r="E615" t="s">
        <v>365</v>
      </c>
      <c r="F615" t="s">
        <v>736</v>
      </c>
      <c r="G615" t="s">
        <v>737</v>
      </c>
      <c r="H615" t="s">
        <v>738</v>
      </c>
      <c r="I615" t="s">
        <v>739</v>
      </c>
      <c r="J615" t="s">
        <v>739</v>
      </c>
      <c r="K615" s="2">
        <v>45015</v>
      </c>
      <c r="L615">
        <v>13882.060491354499</v>
      </c>
      <c r="M615">
        <v>217838.643353864</v>
      </c>
      <c r="N615">
        <v>102850.537211737</v>
      </c>
      <c r="O615">
        <v>71016.484958477595</v>
      </c>
      <c r="P615">
        <v>-217838.643353864</v>
      </c>
      <c r="Q615">
        <v>-153429.58463122699</v>
      </c>
      <c r="R615">
        <v>1040.1232722506199</v>
      </c>
      <c r="S615">
        <v>1127.4658875914299</v>
      </c>
      <c r="T615">
        <v>19157.6252623941</v>
      </c>
      <c r="U615">
        <v>40778.316333885399</v>
      </c>
      <c r="V615">
        <v>166462.55526679099</v>
      </c>
    </row>
    <row r="616" spans="1:22" x14ac:dyDescent="0.3">
      <c r="A616" t="str">
        <f t="shared" si="18"/>
        <v>EPARPrevisão</v>
      </c>
      <c r="B616" t="str">
        <f t="shared" si="19"/>
        <v>EPARPrevisãoJun-2023</v>
      </c>
      <c r="C616" t="s">
        <v>372</v>
      </c>
      <c r="D616" t="s">
        <v>373</v>
      </c>
      <c r="E616" t="s">
        <v>365</v>
      </c>
      <c r="F616" t="s">
        <v>736</v>
      </c>
      <c r="G616" t="s">
        <v>737</v>
      </c>
      <c r="H616" t="s">
        <v>738</v>
      </c>
      <c r="I616" t="s">
        <v>739</v>
      </c>
      <c r="J616" t="s">
        <v>739</v>
      </c>
      <c r="K616" s="2">
        <v>45107</v>
      </c>
      <c r="L616">
        <v>14548.3325361879</v>
      </c>
      <c r="M616">
        <v>265151.79181217402</v>
      </c>
      <c r="N616">
        <v>135368.091241341</v>
      </c>
      <c r="O616">
        <v>94547.8809716244</v>
      </c>
      <c r="P616">
        <v>-265151.79181217402</v>
      </c>
      <c r="Q616">
        <v>-206162.21990275299</v>
      </c>
      <c r="R616">
        <v>1712.72881885472</v>
      </c>
      <c r="S616">
        <v>1607.3731673544801</v>
      </c>
      <c r="T616">
        <v>22056.621337999801</v>
      </c>
      <c r="U616">
        <v>31139.467986682299</v>
      </c>
      <c r="V616">
        <v>217443.261325225</v>
      </c>
    </row>
    <row r="617" spans="1:22" x14ac:dyDescent="0.3">
      <c r="A617" t="str">
        <f t="shared" si="18"/>
        <v>EPARPrevisão</v>
      </c>
      <c r="B617" t="str">
        <f t="shared" si="19"/>
        <v>EPARPrevisãoSet-2023</v>
      </c>
      <c r="C617" t="s">
        <v>372</v>
      </c>
      <c r="D617" t="s">
        <v>373</v>
      </c>
      <c r="E617" t="s">
        <v>365</v>
      </c>
      <c r="F617" t="s">
        <v>736</v>
      </c>
      <c r="G617" t="s">
        <v>737</v>
      </c>
      <c r="H617" t="s">
        <v>738</v>
      </c>
      <c r="I617" t="s">
        <v>739</v>
      </c>
      <c r="J617" t="s">
        <v>739</v>
      </c>
      <c r="K617" s="2">
        <v>45199</v>
      </c>
      <c r="L617">
        <v>15223.000584835399</v>
      </c>
      <c r="M617">
        <v>318915.67574292701</v>
      </c>
      <c r="N617">
        <v>172280.723411188</v>
      </c>
      <c r="O617">
        <v>121308.563573534</v>
      </c>
      <c r="P617">
        <v>-318915.67574292701</v>
      </c>
      <c r="Q617">
        <v>-266539.50536033203</v>
      </c>
      <c r="R617">
        <v>2555.8139423255402</v>
      </c>
      <c r="S617">
        <v>2203.1409018945401</v>
      </c>
      <c r="T617">
        <v>25171.263761177601</v>
      </c>
      <c r="U617">
        <v>19647.834215687501</v>
      </c>
      <c r="V617">
        <v>275287.18410271697</v>
      </c>
    </row>
    <row r="618" spans="1:22" x14ac:dyDescent="0.3">
      <c r="A618" t="str">
        <f t="shared" si="18"/>
        <v>CARDPrevisão</v>
      </c>
      <c r="B618" t="str">
        <f t="shared" si="19"/>
        <v>CARDPrevisãoDez-2022</v>
      </c>
      <c r="C618" t="s">
        <v>370</v>
      </c>
      <c r="D618" t="s">
        <v>371</v>
      </c>
      <c r="E618" t="s">
        <v>365</v>
      </c>
      <c r="F618" t="s">
        <v>736</v>
      </c>
      <c r="G618" t="s">
        <v>737</v>
      </c>
      <c r="H618" t="s">
        <v>738</v>
      </c>
      <c r="I618" t="s">
        <v>739</v>
      </c>
      <c r="J618" t="s">
        <v>739</v>
      </c>
      <c r="K618" s="2">
        <v>44925</v>
      </c>
      <c r="L618">
        <v>18689.692131400501</v>
      </c>
      <c r="M618">
        <v>639045.53144893399</v>
      </c>
      <c r="N618">
        <v>188071.17052881001</v>
      </c>
      <c r="O618">
        <v>68572.058568878696</v>
      </c>
      <c r="P618">
        <v>-639045.53144893399</v>
      </c>
      <c r="Q618">
        <v>-160265.59867583</v>
      </c>
      <c r="R618">
        <v>59835.679314149398</v>
      </c>
      <c r="S618">
        <v>6595.4724556471801</v>
      </c>
      <c r="T618">
        <v>156624.15278838499</v>
      </c>
      <c r="U618">
        <v>375900.84211866697</v>
      </c>
      <c r="V618">
        <v>136591.306850008</v>
      </c>
    </row>
    <row r="619" spans="1:22" x14ac:dyDescent="0.3">
      <c r="A619" t="str">
        <f t="shared" si="18"/>
        <v>CARDPrevisão</v>
      </c>
      <c r="B619" t="str">
        <f t="shared" si="19"/>
        <v>CARDPrevisãoMar-2023</v>
      </c>
      <c r="C619" t="s">
        <v>370</v>
      </c>
      <c r="D619" t="s">
        <v>371</v>
      </c>
      <c r="E619" t="s">
        <v>365</v>
      </c>
      <c r="F619" t="s">
        <v>736</v>
      </c>
      <c r="G619" t="s">
        <v>737</v>
      </c>
      <c r="H619" t="s">
        <v>738</v>
      </c>
      <c r="I619" t="s">
        <v>739</v>
      </c>
      <c r="J619" t="s">
        <v>739</v>
      </c>
      <c r="K619" s="2">
        <v>45015</v>
      </c>
      <c r="L619">
        <v>19726.485990959201</v>
      </c>
      <c r="M619">
        <v>661970.351853751</v>
      </c>
      <c r="N619">
        <v>193752.12226969999</v>
      </c>
      <c r="O619">
        <v>67527.188473419199</v>
      </c>
      <c r="P619">
        <v>-661970.351853751</v>
      </c>
      <c r="Q619">
        <v>-163646.680190499</v>
      </c>
      <c r="R619">
        <v>61850.052406875198</v>
      </c>
      <c r="S619">
        <v>7121.2893986401295</v>
      </c>
      <c r="T619">
        <v>160727.711388236</v>
      </c>
      <c r="U619">
        <v>389530.04180345498</v>
      </c>
      <c r="V619">
        <v>139814.223463337</v>
      </c>
    </row>
    <row r="620" spans="1:22" x14ac:dyDescent="0.3">
      <c r="A620" t="str">
        <f t="shared" si="18"/>
        <v>CARDPrevisão</v>
      </c>
      <c r="B620" t="str">
        <f t="shared" si="19"/>
        <v>CARDPrevisãoJun-2023</v>
      </c>
      <c r="C620" t="s">
        <v>370</v>
      </c>
      <c r="D620" t="s">
        <v>371</v>
      </c>
      <c r="E620" t="s">
        <v>365</v>
      </c>
      <c r="F620" t="s">
        <v>736</v>
      </c>
      <c r="G620" t="s">
        <v>737</v>
      </c>
      <c r="H620" t="s">
        <v>738</v>
      </c>
      <c r="I620" t="s">
        <v>739</v>
      </c>
      <c r="J620" t="s">
        <v>739</v>
      </c>
      <c r="K620" s="2">
        <v>45107</v>
      </c>
      <c r="L620">
        <v>20795.004072548702</v>
      </c>
      <c r="M620">
        <v>685990.70256612694</v>
      </c>
      <c r="N620">
        <v>199443.12105731599</v>
      </c>
      <c r="O620">
        <v>66185.563220083699</v>
      </c>
      <c r="P620">
        <v>-685990.70256612694</v>
      </c>
      <c r="Q620">
        <v>-166961.19955981299</v>
      </c>
      <c r="R620">
        <v>63948.576335572201</v>
      </c>
      <c r="S620">
        <v>7687.4601633893199</v>
      </c>
      <c r="T620">
        <v>164490.43380129201</v>
      </c>
      <c r="U620">
        <v>403538.23913773498</v>
      </c>
      <c r="V620">
        <v>143301.88225948199</v>
      </c>
    </row>
    <row r="621" spans="1:22" x14ac:dyDescent="0.3">
      <c r="A621" t="str">
        <f t="shared" si="18"/>
        <v>CARDPrevisão</v>
      </c>
      <c r="B621" t="str">
        <f t="shared" si="19"/>
        <v>CARDPrevisãoSet-2023</v>
      </c>
      <c r="C621" t="s">
        <v>370</v>
      </c>
      <c r="D621" t="s">
        <v>371</v>
      </c>
      <c r="E621" t="s">
        <v>365</v>
      </c>
      <c r="F621" t="s">
        <v>736</v>
      </c>
      <c r="G621" t="s">
        <v>737</v>
      </c>
      <c r="H621" t="s">
        <v>738</v>
      </c>
      <c r="I621" t="s">
        <v>739</v>
      </c>
      <c r="J621" t="s">
        <v>739</v>
      </c>
      <c r="K621" s="2">
        <v>45199</v>
      </c>
      <c r="L621">
        <v>21894.982485679</v>
      </c>
      <c r="M621">
        <v>711131.98257716198</v>
      </c>
      <c r="N621">
        <v>205132.89516445299</v>
      </c>
      <c r="O621">
        <v>64530.082689483999</v>
      </c>
      <c r="P621">
        <v>-711131.98257716198</v>
      </c>
      <c r="Q621">
        <v>-170199.49685265101</v>
      </c>
      <c r="R621">
        <v>66132.672000020495</v>
      </c>
      <c r="S621">
        <v>8294.6717052473505</v>
      </c>
      <c r="T621">
        <v>167883.10126305101</v>
      </c>
      <c r="U621">
        <v>417923.01281960699</v>
      </c>
      <c r="V621">
        <v>147066.96976670899</v>
      </c>
    </row>
    <row r="622" spans="1:22" x14ac:dyDescent="0.3">
      <c r="A622" t="str">
        <f t="shared" si="18"/>
        <v>PEABPrevisão</v>
      </c>
      <c r="B622" t="str">
        <f t="shared" si="19"/>
        <v>PEABPrevisãoDez-2022</v>
      </c>
      <c r="C622" t="s">
        <v>368</v>
      </c>
      <c r="D622" t="s">
        <v>369</v>
      </c>
      <c r="E622" t="s">
        <v>365</v>
      </c>
      <c r="F622" t="s">
        <v>736</v>
      </c>
      <c r="G622" t="s">
        <v>737</v>
      </c>
      <c r="H622" t="s">
        <v>738</v>
      </c>
      <c r="I622" t="s">
        <v>739</v>
      </c>
      <c r="J622" t="s">
        <v>739</v>
      </c>
      <c r="K622" s="2">
        <v>44925</v>
      </c>
      <c r="L622">
        <v>64292.911043204898</v>
      </c>
      <c r="M622">
        <v>871371.08742894698</v>
      </c>
      <c r="N622">
        <v>351024.61429434601</v>
      </c>
      <c r="O622">
        <v>29040.519310759501</v>
      </c>
      <c r="P622">
        <v>-871371.08742894698</v>
      </c>
      <c r="Q622">
        <v>-20685.660300516502</v>
      </c>
      <c r="R622">
        <v>7498.4601476708904</v>
      </c>
      <c r="S622">
        <v>525.90866649597899</v>
      </c>
      <c r="T622">
        <v>264496.01816486003</v>
      </c>
      <c r="U622">
        <v>751927.74764437706</v>
      </c>
      <c r="V622">
        <v>-2482.49028096236</v>
      </c>
    </row>
    <row r="623" spans="1:22" x14ac:dyDescent="0.3">
      <c r="A623" t="str">
        <f t="shared" si="18"/>
        <v>PEABPrevisão</v>
      </c>
      <c r="B623" t="str">
        <f t="shared" si="19"/>
        <v>PEABPrevisãoMar-2023</v>
      </c>
      <c r="C623" t="s">
        <v>368</v>
      </c>
      <c r="D623" t="s">
        <v>369</v>
      </c>
      <c r="E623" t="s">
        <v>365</v>
      </c>
      <c r="F623" t="s">
        <v>736</v>
      </c>
      <c r="G623" t="s">
        <v>737</v>
      </c>
      <c r="H623" t="s">
        <v>738</v>
      </c>
      <c r="I623" t="s">
        <v>739</v>
      </c>
      <c r="J623" t="s">
        <v>739</v>
      </c>
      <c r="K623" s="2">
        <v>45015</v>
      </c>
      <c r="L623">
        <v>60840.447261620699</v>
      </c>
      <c r="M623">
        <v>901607.21336924401</v>
      </c>
      <c r="N623">
        <v>376083.18327280402</v>
      </c>
      <c r="O623">
        <v>33572.881921652399</v>
      </c>
      <c r="P623">
        <v>-901607.21336924401</v>
      </c>
      <c r="Q623">
        <v>-15716.693893310799</v>
      </c>
      <c r="R623">
        <v>2646.2285080818801</v>
      </c>
      <c r="S623">
        <v>455.81620887381598</v>
      </c>
      <c r="T623">
        <v>298938.74803223897</v>
      </c>
      <c r="U623">
        <v>774011.23639513995</v>
      </c>
      <c r="V623">
        <v>-3704.4999988539298</v>
      </c>
    </row>
    <row r="624" spans="1:22" x14ac:dyDescent="0.3">
      <c r="A624" t="str">
        <f t="shared" si="18"/>
        <v>PEABPrevisão</v>
      </c>
      <c r="B624" t="str">
        <f t="shared" si="19"/>
        <v>PEABPrevisãoJun-2023</v>
      </c>
      <c r="C624" t="s">
        <v>368</v>
      </c>
      <c r="D624" t="s">
        <v>369</v>
      </c>
      <c r="E624" t="s">
        <v>365</v>
      </c>
      <c r="F624" t="s">
        <v>736</v>
      </c>
      <c r="G624" t="s">
        <v>737</v>
      </c>
      <c r="H624" t="s">
        <v>738</v>
      </c>
      <c r="I624" t="s">
        <v>739</v>
      </c>
      <c r="J624" t="s">
        <v>739</v>
      </c>
      <c r="K624" s="2">
        <v>45107</v>
      </c>
      <c r="L624">
        <v>56344.611278756798</v>
      </c>
      <c r="M624">
        <v>932864.20690923696</v>
      </c>
      <c r="N624">
        <v>402608.81681685202</v>
      </c>
      <c r="O624">
        <v>38517.3721282365</v>
      </c>
      <c r="P624">
        <v>-932864.20690923696</v>
      </c>
      <c r="Q624">
        <v>-9689.66935515757</v>
      </c>
      <c r="R624">
        <v>-2965.7009484592199</v>
      </c>
      <c r="S624">
        <v>365.02566588789398</v>
      </c>
      <c r="T624">
        <v>336356.67857437802</v>
      </c>
      <c r="U624">
        <v>796668.23008580599</v>
      </c>
      <c r="V624">
        <v>-5034.9080691809004</v>
      </c>
    </row>
    <row r="625" spans="1:22" x14ac:dyDescent="0.3">
      <c r="A625" t="str">
        <f t="shared" si="18"/>
        <v>PEABPrevisão</v>
      </c>
      <c r="B625" t="str">
        <f t="shared" si="19"/>
        <v>PEABPrevisãoSet-2023</v>
      </c>
      <c r="C625" t="s">
        <v>368</v>
      </c>
      <c r="D625" t="s">
        <v>369</v>
      </c>
      <c r="E625" t="s">
        <v>365</v>
      </c>
      <c r="F625" t="s">
        <v>736</v>
      </c>
      <c r="G625" t="s">
        <v>737</v>
      </c>
      <c r="H625" t="s">
        <v>738</v>
      </c>
      <c r="I625" t="s">
        <v>739</v>
      </c>
      <c r="J625" t="s">
        <v>739</v>
      </c>
      <c r="K625" s="2">
        <v>45199</v>
      </c>
      <c r="L625">
        <v>50743.8540774106</v>
      </c>
      <c r="M625">
        <v>965106.54714756599</v>
      </c>
      <c r="N625">
        <v>430597.99444467598</v>
      </c>
      <c r="O625">
        <v>43890.8396538413</v>
      </c>
      <c r="P625">
        <v>-965106.54714756599</v>
      </c>
      <c r="Q625">
        <v>-2532.7224291518</v>
      </c>
      <c r="R625">
        <v>-9377.0744857854497</v>
      </c>
      <c r="S625">
        <v>252.06341704291901</v>
      </c>
      <c r="T625">
        <v>376853.206278308</v>
      </c>
      <c r="U625">
        <v>819866.11329626106</v>
      </c>
      <c r="V625">
        <v>-6476.1323188285696</v>
      </c>
    </row>
    <row r="626" spans="1:22" x14ac:dyDescent="0.3">
      <c r="A626" t="str">
        <f t="shared" si="18"/>
        <v>MAPTPrevisão</v>
      </c>
      <c r="B626" t="str">
        <f t="shared" si="19"/>
        <v>MAPTPrevisãoDez-2022</v>
      </c>
      <c r="C626" t="s">
        <v>382</v>
      </c>
      <c r="D626" t="s">
        <v>383</v>
      </c>
      <c r="E626" t="s">
        <v>365</v>
      </c>
      <c r="F626" t="s">
        <v>736</v>
      </c>
      <c r="G626" t="s">
        <v>737</v>
      </c>
      <c r="H626" t="s">
        <v>738</v>
      </c>
      <c r="I626" t="s">
        <v>739</v>
      </c>
      <c r="J626" t="s">
        <v>739</v>
      </c>
      <c r="K626" s="2">
        <v>44925</v>
      </c>
      <c r="L626">
        <v>-33.445293268794003</v>
      </c>
      <c r="M626">
        <v>761.19047619047103</v>
      </c>
      <c r="N626">
        <v>-11.809523809528301</v>
      </c>
      <c r="O626">
        <v>0</v>
      </c>
      <c r="P626">
        <v>-761.19047619047103</v>
      </c>
      <c r="Q626">
        <v>-0.31779984721849502</v>
      </c>
      <c r="R626">
        <v>0</v>
      </c>
      <c r="S626">
        <v>-1.26814362108483</v>
      </c>
      <c r="T626">
        <v>0</v>
      </c>
      <c r="U626">
        <v>-6173.70452423397</v>
      </c>
      <c r="V626">
        <v>-27.240217298961301</v>
      </c>
    </row>
    <row r="627" spans="1:22" x14ac:dyDescent="0.3">
      <c r="A627" t="str">
        <f t="shared" si="18"/>
        <v>MAPTPrevisão</v>
      </c>
      <c r="B627" t="str">
        <f t="shared" si="19"/>
        <v>MAPTPrevisãoMar-2023</v>
      </c>
      <c r="C627" t="s">
        <v>382</v>
      </c>
      <c r="D627" t="s">
        <v>383</v>
      </c>
      <c r="E627" t="s">
        <v>365</v>
      </c>
      <c r="F627" t="s">
        <v>736</v>
      </c>
      <c r="G627" t="s">
        <v>737</v>
      </c>
      <c r="H627" t="s">
        <v>738</v>
      </c>
      <c r="I627" t="s">
        <v>739</v>
      </c>
      <c r="J627" t="s">
        <v>739</v>
      </c>
      <c r="K627" s="2">
        <v>45015</v>
      </c>
      <c r="L627">
        <v>-27.369559781286899</v>
      </c>
      <c r="M627">
        <v>756.25353925353102</v>
      </c>
      <c r="N627">
        <v>-16.746460746468401</v>
      </c>
      <c r="O627">
        <v>0</v>
      </c>
      <c r="P627">
        <v>-756.25353925353102</v>
      </c>
      <c r="Q627">
        <v>5.1532839179838703</v>
      </c>
      <c r="R627">
        <v>0</v>
      </c>
      <c r="S627">
        <v>-1.9867996338602001</v>
      </c>
      <c r="T627">
        <v>0</v>
      </c>
      <c r="U627">
        <v>-6239.82559182564</v>
      </c>
      <c r="V627">
        <v>-19.914839973569201</v>
      </c>
    </row>
    <row r="628" spans="1:22" x14ac:dyDescent="0.3">
      <c r="A628" t="str">
        <f t="shared" si="18"/>
        <v>MAPTPrevisão</v>
      </c>
      <c r="B628" t="str">
        <f t="shared" si="19"/>
        <v>MAPTPrevisãoJun-2023</v>
      </c>
      <c r="C628" t="s">
        <v>382</v>
      </c>
      <c r="D628" t="s">
        <v>383</v>
      </c>
      <c r="E628" t="s">
        <v>365</v>
      </c>
      <c r="F628" t="s">
        <v>736</v>
      </c>
      <c r="G628" t="s">
        <v>737</v>
      </c>
      <c r="H628" t="s">
        <v>738</v>
      </c>
      <c r="I628" t="s">
        <v>739</v>
      </c>
      <c r="J628" t="s">
        <v>739</v>
      </c>
      <c r="K628" s="2">
        <v>45107</v>
      </c>
      <c r="L628">
        <v>-20.294185263177699</v>
      </c>
      <c r="M628">
        <v>750.51351351350195</v>
      </c>
      <c r="N628">
        <v>-22.486486486497899</v>
      </c>
      <c r="O628">
        <v>0</v>
      </c>
      <c r="P628">
        <v>-750.51351351350195</v>
      </c>
      <c r="Q628">
        <v>11.216270188401699</v>
      </c>
      <c r="R628">
        <v>0</v>
      </c>
      <c r="S628">
        <v>-2.8473796863927001</v>
      </c>
      <c r="T628">
        <v>0</v>
      </c>
      <c r="U628">
        <v>-6307.3076949733904</v>
      </c>
      <c r="V628">
        <v>-11.4596736577054</v>
      </c>
    </row>
    <row r="629" spans="1:22" x14ac:dyDescent="0.3">
      <c r="A629" t="str">
        <f t="shared" si="18"/>
        <v>MAPTPrevisão</v>
      </c>
      <c r="B629" t="str">
        <f t="shared" si="19"/>
        <v>MAPTPrevisãoSet-2023</v>
      </c>
      <c r="C629" t="s">
        <v>382</v>
      </c>
      <c r="D629" t="s">
        <v>383</v>
      </c>
      <c r="E629" t="s">
        <v>365</v>
      </c>
      <c r="F629" t="s">
        <v>736</v>
      </c>
      <c r="G629" t="s">
        <v>737</v>
      </c>
      <c r="H629" t="s">
        <v>738</v>
      </c>
      <c r="I629" t="s">
        <v>739</v>
      </c>
      <c r="J629" t="s">
        <v>739</v>
      </c>
      <c r="K629" s="2">
        <v>45199</v>
      </c>
      <c r="L629">
        <v>-12.158167384114501</v>
      </c>
      <c r="M629">
        <v>743.920940605135</v>
      </c>
      <c r="N629">
        <v>-29.079059394864199</v>
      </c>
      <c r="O629">
        <v>0</v>
      </c>
      <c r="P629">
        <v>-743.920940605135</v>
      </c>
      <c r="Q629">
        <v>17.899403082062399</v>
      </c>
      <c r="R629">
        <v>0</v>
      </c>
      <c r="S629">
        <v>-3.8601122192513899</v>
      </c>
      <c r="T629">
        <v>0</v>
      </c>
      <c r="U629">
        <v>-6376.2289899039897</v>
      </c>
      <c r="V629">
        <v>-1.80796474591679</v>
      </c>
    </row>
    <row r="630" spans="1:22" x14ac:dyDescent="0.3">
      <c r="A630" t="str">
        <f t="shared" si="18"/>
        <v>BRPRPrevisão</v>
      </c>
      <c r="B630" t="str">
        <f t="shared" si="19"/>
        <v>BRPRPrevisãoDez-2022</v>
      </c>
      <c r="C630" t="s">
        <v>366</v>
      </c>
      <c r="D630" t="s">
        <v>367</v>
      </c>
      <c r="E630" t="s">
        <v>365</v>
      </c>
      <c r="F630" t="s">
        <v>736</v>
      </c>
      <c r="G630" t="s">
        <v>737</v>
      </c>
      <c r="H630" t="s">
        <v>738</v>
      </c>
      <c r="I630" t="s">
        <v>739</v>
      </c>
      <c r="J630" t="s">
        <v>739</v>
      </c>
      <c r="K630" s="2">
        <v>44925</v>
      </c>
      <c r="L630">
        <v>-436438.67523976997</v>
      </c>
      <c r="M630">
        <v>11345577.803155299</v>
      </c>
      <c r="N630">
        <v>2168439.6009675702</v>
      </c>
      <c r="O630">
        <v>36545.533825647297</v>
      </c>
      <c r="P630">
        <v>-11345577.803155299</v>
      </c>
      <c r="Q630">
        <v>-1437342.9159665899</v>
      </c>
      <c r="R630">
        <v>6358.9490705375601</v>
      </c>
      <c r="S630">
        <v>236835.74840831099</v>
      </c>
      <c r="T630">
        <v>1530673.2285043199</v>
      </c>
      <c r="U630">
        <v>7527526.9447406204</v>
      </c>
      <c r="V630">
        <v>57495.218572286198</v>
      </c>
    </row>
    <row r="631" spans="1:22" x14ac:dyDescent="0.3">
      <c r="A631" t="str">
        <f t="shared" si="18"/>
        <v>BRPRPrevisão</v>
      </c>
      <c r="B631" t="str">
        <f t="shared" si="19"/>
        <v>BRPRPrevisãoMar-2023</v>
      </c>
      <c r="C631" t="s">
        <v>366</v>
      </c>
      <c r="D631" t="s">
        <v>367</v>
      </c>
      <c r="E631" t="s">
        <v>365</v>
      </c>
      <c r="F631" t="s">
        <v>736</v>
      </c>
      <c r="G631" t="s">
        <v>737</v>
      </c>
      <c r="H631" t="s">
        <v>738</v>
      </c>
      <c r="I631" t="s">
        <v>739</v>
      </c>
      <c r="J631" t="s">
        <v>739</v>
      </c>
      <c r="K631" s="2">
        <v>45015</v>
      </c>
      <c r="L631">
        <v>-510700.59845330502</v>
      </c>
      <c r="M631">
        <v>11912145.610917</v>
      </c>
      <c r="N631">
        <v>2358379.1469245302</v>
      </c>
      <c r="O631">
        <v>31865.930366573499</v>
      </c>
      <c r="P631">
        <v>-11912145.610917</v>
      </c>
      <c r="Q631">
        <v>-1665207.8282234301</v>
      </c>
      <c r="R631">
        <v>7068.9509494218901</v>
      </c>
      <c r="S631">
        <v>289178.41864691599</v>
      </c>
      <c r="T631">
        <v>1848361.2590827399</v>
      </c>
      <c r="U631">
        <v>7954653.0524150198</v>
      </c>
      <c r="V631">
        <v>46654.021612906603</v>
      </c>
    </row>
    <row r="632" spans="1:22" x14ac:dyDescent="0.3">
      <c r="A632" t="str">
        <f t="shared" si="18"/>
        <v>BRPRPrevisão</v>
      </c>
      <c r="B632" t="str">
        <f t="shared" si="19"/>
        <v>BRPRPrevisãoJun-2023</v>
      </c>
      <c r="C632" t="s">
        <v>366</v>
      </c>
      <c r="D632" t="s">
        <v>367</v>
      </c>
      <c r="E632" t="s">
        <v>365</v>
      </c>
      <c r="F632" t="s">
        <v>736</v>
      </c>
      <c r="G632" t="s">
        <v>737</v>
      </c>
      <c r="H632" t="s">
        <v>738</v>
      </c>
      <c r="I632" t="s">
        <v>739</v>
      </c>
      <c r="J632" t="s">
        <v>739</v>
      </c>
      <c r="K632" s="2">
        <v>45107</v>
      </c>
      <c r="L632">
        <v>-592339.20364929806</v>
      </c>
      <c r="M632">
        <v>12558961.3523595</v>
      </c>
      <c r="N632">
        <v>2565631.8619981101</v>
      </c>
      <c r="O632">
        <v>26603.514990078002</v>
      </c>
      <c r="P632">
        <v>-12558961.3523595</v>
      </c>
      <c r="Q632">
        <v>-1919738.12468802</v>
      </c>
      <c r="R632">
        <v>7845.9143598993396</v>
      </c>
      <c r="S632">
        <v>347575.80968774401</v>
      </c>
      <c r="T632">
        <v>2205365.7500461098</v>
      </c>
      <c r="U632">
        <v>8439098.7005310394</v>
      </c>
      <c r="V632">
        <v>34007.054500436599</v>
      </c>
    </row>
    <row r="633" spans="1:22" x14ac:dyDescent="0.3">
      <c r="A633" t="str">
        <f t="shared" si="18"/>
        <v>BRPRPrevisão</v>
      </c>
      <c r="B633" t="str">
        <f t="shared" si="19"/>
        <v>BRPRPrevisãoSet-2023</v>
      </c>
      <c r="C633" t="s">
        <v>366</v>
      </c>
      <c r="D633" t="s">
        <v>367</v>
      </c>
      <c r="E633" t="s">
        <v>365</v>
      </c>
      <c r="F633" t="s">
        <v>736</v>
      </c>
      <c r="G633" t="s">
        <v>737</v>
      </c>
      <c r="H633" t="s">
        <v>738</v>
      </c>
      <c r="I633" t="s">
        <v>739</v>
      </c>
      <c r="J633" t="s">
        <v>739</v>
      </c>
      <c r="K633" s="2">
        <v>45199</v>
      </c>
      <c r="L633">
        <v>-681703.716121695</v>
      </c>
      <c r="M633">
        <v>13290651.136593699</v>
      </c>
      <c r="N633">
        <v>2790971.8284328198</v>
      </c>
      <c r="O633">
        <v>20737.177068765501</v>
      </c>
      <c r="P633">
        <v>-13290651.136593699</v>
      </c>
      <c r="Q633">
        <v>-2202221.7999815498</v>
      </c>
      <c r="R633">
        <v>8692.3761391600092</v>
      </c>
      <c r="S633">
        <v>412316.192290437</v>
      </c>
      <c r="T633">
        <v>2603445.2246181001</v>
      </c>
      <c r="U633">
        <v>8983924.9170332309</v>
      </c>
      <c r="V633">
        <v>19454.8835870435</v>
      </c>
    </row>
    <row r="634" spans="1:22" x14ac:dyDescent="0.3">
      <c r="A634" t="str">
        <f t="shared" si="18"/>
        <v>ATOMPrevisão</v>
      </c>
      <c r="B634" t="str">
        <f t="shared" si="19"/>
        <v>ATOMPrevisãoDez-2022</v>
      </c>
      <c r="C634" t="s">
        <v>363</v>
      </c>
      <c r="D634" t="s">
        <v>364</v>
      </c>
      <c r="E634" t="s">
        <v>365</v>
      </c>
      <c r="F634" t="s">
        <v>736</v>
      </c>
      <c r="G634" t="s">
        <v>737</v>
      </c>
      <c r="H634" t="s">
        <v>738</v>
      </c>
      <c r="I634" t="s">
        <v>739</v>
      </c>
      <c r="J634" t="s">
        <v>739</v>
      </c>
      <c r="K634" s="2">
        <v>44925</v>
      </c>
      <c r="L634">
        <v>3261.2936083538402</v>
      </c>
      <c r="M634">
        <v>41946.510567862497</v>
      </c>
      <c r="N634">
        <v>854.70257193785199</v>
      </c>
      <c r="O634">
        <v>988.49477972983698</v>
      </c>
      <c r="P634">
        <v>-41946.510567862497</v>
      </c>
      <c r="Q634">
        <v>-3298.1898820177898</v>
      </c>
      <c r="R634">
        <v>6.5835667600313599</v>
      </c>
      <c r="S634">
        <v>-1166.5094643909199</v>
      </c>
      <c r="T634">
        <v>19802.900687550598</v>
      </c>
      <c r="U634">
        <v>31355.097445043401</v>
      </c>
      <c r="V634">
        <v>3350.95416348348</v>
      </c>
    </row>
    <row r="635" spans="1:22" x14ac:dyDescent="0.3">
      <c r="A635" t="str">
        <f t="shared" si="18"/>
        <v>ATOMPrevisão</v>
      </c>
      <c r="B635" t="str">
        <f t="shared" si="19"/>
        <v>ATOMPrevisãoMar-2023</v>
      </c>
      <c r="C635" t="s">
        <v>363</v>
      </c>
      <c r="D635" t="s">
        <v>364</v>
      </c>
      <c r="E635" t="s">
        <v>365</v>
      </c>
      <c r="F635" t="s">
        <v>736</v>
      </c>
      <c r="G635" t="s">
        <v>737</v>
      </c>
      <c r="H635" t="s">
        <v>738</v>
      </c>
      <c r="I635" t="s">
        <v>739</v>
      </c>
      <c r="J635" t="s">
        <v>739</v>
      </c>
      <c r="K635" s="2">
        <v>45015</v>
      </c>
      <c r="L635">
        <v>3312.60656301981</v>
      </c>
      <c r="M635">
        <v>45636.043785571797</v>
      </c>
      <c r="N635">
        <v>875.56855862736404</v>
      </c>
      <c r="O635">
        <v>1023.13620878297</v>
      </c>
      <c r="P635">
        <v>-45636.043785571797</v>
      </c>
      <c r="Q635">
        <v>-4378.0061780700198</v>
      </c>
      <c r="R635">
        <v>11.477654124710099</v>
      </c>
      <c r="S635">
        <v>-1657.53645700622</v>
      </c>
      <c r="T635">
        <v>22841.740005096301</v>
      </c>
      <c r="U635">
        <v>34581.187948076004</v>
      </c>
      <c r="V635">
        <v>3434.5348763582201</v>
      </c>
    </row>
    <row r="636" spans="1:22" x14ac:dyDescent="0.3">
      <c r="A636" t="str">
        <f t="shared" si="18"/>
        <v>ATOMPrevisão</v>
      </c>
      <c r="B636" t="str">
        <f t="shared" si="19"/>
        <v>ATOMPrevisãoJun-2023</v>
      </c>
      <c r="C636" t="s">
        <v>363</v>
      </c>
      <c r="D636" t="s">
        <v>364</v>
      </c>
      <c r="E636" t="s">
        <v>365</v>
      </c>
      <c r="F636" t="s">
        <v>736</v>
      </c>
      <c r="G636" t="s">
        <v>737</v>
      </c>
      <c r="H636" t="s">
        <v>738</v>
      </c>
      <c r="I636" t="s">
        <v>739</v>
      </c>
      <c r="J636" t="s">
        <v>739</v>
      </c>
      <c r="K636" s="2">
        <v>45107</v>
      </c>
      <c r="L636">
        <v>3342.8992426159598</v>
      </c>
      <c r="M636">
        <v>49513.428811584898</v>
      </c>
      <c r="N636">
        <v>897.24480843673598</v>
      </c>
      <c r="O636">
        <v>1053.4377702454501</v>
      </c>
      <c r="P636">
        <v>-49513.428811584898</v>
      </c>
      <c r="Q636">
        <v>-5617.6690007582902</v>
      </c>
      <c r="R636">
        <v>17.381850227052201</v>
      </c>
      <c r="S636">
        <v>-2228.9203767710301</v>
      </c>
      <c r="T636">
        <v>26151.760460556899</v>
      </c>
      <c r="U636">
        <v>37967.806964906602</v>
      </c>
      <c r="V636">
        <v>3501.1287425092501</v>
      </c>
    </row>
    <row r="637" spans="1:22" x14ac:dyDescent="0.3">
      <c r="A637" t="str">
        <f t="shared" si="18"/>
        <v>ATOMPrevisão</v>
      </c>
      <c r="B637" t="str">
        <f t="shared" si="19"/>
        <v>ATOMPrevisãoSet-2023</v>
      </c>
      <c r="C637" t="s">
        <v>363</v>
      </c>
      <c r="D637" t="s">
        <v>364</v>
      </c>
      <c r="E637" t="s">
        <v>365</v>
      </c>
      <c r="F637" t="s">
        <v>736</v>
      </c>
      <c r="G637" t="s">
        <v>737</v>
      </c>
      <c r="H637" t="s">
        <v>738</v>
      </c>
      <c r="I637" t="s">
        <v>739</v>
      </c>
      <c r="J637" t="s">
        <v>739</v>
      </c>
      <c r="K637" s="2">
        <v>45199</v>
      </c>
      <c r="L637">
        <v>3350.6506820671498</v>
      </c>
      <c r="M637">
        <v>53582.498086994201</v>
      </c>
      <c r="N637">
        <v>919.74961810562695</v>
      </c>
      <c r="O637">
        <v>1079.0027090301301</v>
      </c>
      <c r="P637">
        <v>-53582.498086994201</v>
      </c>
      <c r="Q637">
        <v>-7024.9038303963298</v>
      </c>
      <c r="R637">
        <v>24.352298135584999</v>
      </c>
      <c r="S637">
        <v>-2885.65722861016</v>
      </c>
      <c r="T637">
        <v>29743.866085721998</v>
      </c>
      <c r="U637">
        <v>41520.465830052701</v>
      </c>
      <c r="V637">
        <v>3549.3892075621602</v>
      </c>
    </row>
    <row r="638" spans="1:22" x14ac:dyDescent="0.3">
      <c r="A638" t="str">
        <f t="shared" si="18"/>
        <v>TGMAPrevisão</v>
      </c>
      <c r="B638" t="str">
        <f t="shared" si="19"/>
        <v>TGMAPrevisãoDez-2022</v>
      </c>
      <c r="C638" t="s">
        <v>644</v>
      </c>
      <c r="D638" t="s">
        <v>645</v>
      </c>
      <c r="E638" t="s">
        <v>629</v>
      </c>
      <c r="F638" t="s">
        <v>736</v>
      </c>
      <c r="G638" t="s">
        <v>737</v>
      </c>
      <c r="H638" t="s">
        <v>738</v>
      </c>
      <c r="I638" t="s">
        <v>739</v>
      </c>
      <c r="J638" t="s">
        <v>739</v>
      </c>
      <c r="K638" s="2">
        <v>44925</v>
      </c>
      <c r="L638">
        <v>30362.465749963401</v>
      </c>
      <c r="M638">
        <v>1200731.23155903</v>
      </c>
      <c r="N638">
        <v>517762.99618021201</v>
      </c>
      <c r="O638">
        <v>270380.78966133302</v>
      </c>
      <c r="P638">
        <v>-1200731.23155903</v>
      </c>
      <c r="Q638">
        <v>-201171.19200413901</v>
      </c>
      <c r="R638">
        <v>22158.953060018299</v>
      </c>
      <c r="S638">
        <v>23525.712842711699</v>
      </c>
      <c r="T638">
        <v>446088.81835157698</v>
      </c>
      <c r="U638">
        <v>792641.695951103</v>
      </c>
      <c r="V638">
        <v>281922.99397333898</v>
      </c>
    </row>
    <row r="639" spans="1:22" x14ac:dyDescent="0.3">
      <c r="A639" t="str">
        <f t="shared" si="18"/>
        <v>TGMAPrevisão</v>
      </c>
      <c r="B639" t="str">
        <f t="shared" si="19"/>
        <v>TGMAPrevisãoMar-2023</v>
      </c>
      <c r="C639" t="s">
        <v>644</v>
      </c>
      <c r="D639" t="s">
        <v>645</v>
      </c>
      <c r="E639" t="s">
        <v>629</v>
      </c>
      <c r="F639" t="s">
        <v>736</v>
      </c>
      <c r="G639" t="s">
        <v>737</v>
      </c>
      <c r="H639" t="s">
        <v>738</v>
      </c>
      <c r="I639" t="s">
        <v>739</v>
      </c>
      <c r="J639" t="s">
        <v>739</v>
      </c>
      <c r="K639" s="2">
        <v>45015</v>
      </c>
      <c r="L639">
        <v>28279.475385267899</v>
      </c>
      <c r="M639">
        <v>1279503.9457690199</v>
      </c>
      <c r="N639">
        <v>574433.00591874903</v>
      </c>
      <c r="O639">
        <v>300899.71122308302</v>
      </c>
      <c r="P639">
        <v>-1279503.9457690199</v>
      </c>
      <c r="Q639">
        <v>-211351.167819536</v>
      </c>
      <c r="R639">
        <v>23237.228849942101</v>
      </c>
      <c r="S639">
        <v>24131.456261454699</v>
      </c>
      <c r="T639">
        <v>482937.87451162603</v>
      </c>
      <c r="U639">
        <v>824678.19488777197</v>
      </c>
      <c r="V639">
        <v>299642.10868162999</v>
      </c>
    </row>
    <row r="640" spans="1:22" x14ac:dyDescent="0.3">
      <c r="A640" t="str">
        <f t="shared" si="18"/>
        <v>TGMAPrevisão</v>
      </c>
      <c r="B640" t="str">
        <f t="shared" si="19"/>
        <v>TGMAPrevisãoJun-2023</v>
      </c>
      <c r="C640" t="s">
        <v>644</v>
      </c>
      <c r="D640" t="s">
        <v>645</v>
      </c>
      <c r="E640" t="s">
        <v>629</v>
      </c>
      <c r="F640" t="s">
        <v>736</v>
      </c>
      <c r="G640" t="s">
        <v>737</v>
      </c>
      <c r="H640" t="s">
        <v>738</v>
      </c>
      <c r="I640" t="s">
        <v>739</v>
      </c>
      <c r="J640" t="s">
        <v>739</v>
      </c>
      <c r="K640" s="2">
        <v>45107</v>
      </c>
      <c r="L640">
        <v>25623.617303512499</v>
      </c>
      <c r="M640">
        <v>1367792.8348916499</v>
      </c>
      <c r="N640">
        <v>638338.75464741304</v>
      </c>
      <c r="O640">
        <v>335283.63757531799</v>
      </c>
      <c r="P640">
        <v>-1367792.8348916499</v>
      </c>
      <c r="Q640">
        <v>-223108.49547783</v>
      </c>
      <c r="R640">
        <v>24499.283539709799</v>
      </c>
      <c r="S640">
        <v>24746.8041028021</v>
      </c>
      <c r="T640">
        <v>521660.63298208301</v>
      </c>
      <c r="U640">
        <v>857770.91265704005</v>
      </c>
      <c r="V640">
        <v>319804.25616045902</v>
      </c>
    </row>
    <row r="641" spans="1:22" x14ac:dyDescent="0.3">
      <c r="A641" t="str">
        <f t="shared" si="18"/>
        <v>TGMAPrevisão</v>
      </c>
      <c r="B641" t="str">
        <f t="shared" si="19"/>
        <v>TGMAPrevisãoSet-2023</v>
      </c>
      <c r="C641" t="s">
        <v>644</v>
      </c>
      <c r="D641" t="s">
        <v>645</v>
      </c>
      <c r="E641" t="s">
        <v>629</v>
      </c>
      <c r="F641" t="s">
        <v>736</v>
      </c>
      <c r="G641" t="s">
        <v>737</v>
      </c>
      <c r="H641" t="s">
        <v>738</v>
      </c>
      <c r="I641" t="s">
        <v>739</v>
      </c>
      <c r="J641" t="s">
        <v>739</v>
      </c>
      <c r="K641" s="2">
        <v>45199</v>
      </c>
      <c r="L641">
        <v>22358.378760642801</v>
      </c>
      <c r="M641">
        <v>1466077.0607272</v>
      </c>
      <c r="N641">
        <v>709845.49513513502</v>
      </c>
      <c r="O641">
        <v>373720.98966222297</v>
      </c>
      <c r="P641">
        <v>-1466077.0607272</v>
      </c>
      <c r="Q641">
        <v>-236531.280304985</v>
      </c>
      <c r="R641">
        <v>25955.409483617001</v>
      </c>
      <c r="S641">
        <v>25371.228901489601</v>
      </c>
      <c r="T641">
        <v>562282.19417204405</v>
      </c>
      <c r="U641">
        <v>891906.81122695794</v>
      </c>
      <c r="V641">
        <v>342530.504127416</v>
      </c>
    </row>
    <row r="642" spans="1:22" x14ac:dyDescent="0.3">
      <c r="A642" t="str">
        <f t="shared" ref="A642:A705" si="20">_xlfn.CONCAT(D642,F642)</f>
        <v>SIMHPrevisão</v>
      </c>
      <c r="B642" t="str">
        <f t="shared" ref="B642:B705" si="21">_xlfn.CONCAT(D642,F642,PROPER(TEXT(K642,"mmm-aaaa")))</f>
        <v>SIMHPrevisãoDez-2022</v>
      </c>
      <c r="C642" t="s">
        <v>642</v>
      </c>
      <c r="D642" t="s">
        <v>643</v>
      </c>
      <c r="E642" t="s">
        <v>629</v>
      </c>
      <c r="F642" t="s">
        <v>736</v>
      </c>
      <c r="G642" t="s">
        <v>737</v>
      </c>
      <c r="H642" t="s">
        <v>738</v>
      </c>
      <c r="I642" t="s">
        <v>739</v>
      </c>
      <c r="J642" t="s">
        <v>739</v>
      </c>
      <c r="K642" s="2">
        <v>44925</v>
      </c>
      <c r="L642">
        <v>-210765.150793651</v>
      </c>
      <c r="M642">
        <v>10439285.2936508</v>
      </c>
      <c r="N642">
        <v>2630140.4047618601</v>
      </c>
      <c r="O642">
        <v>69658.095238095193</v>
      </c>
      <c r="P642">
        <v>-10439285.2936508</v>
      </c>
      <c r="Q642">
        <v>-271919.57142857497</v>
      </c>
      <c r="R642">
        <v>10641.0952380952</v>
      </c>
      <c r="S642">
        <v>15407.3095238077</v>
      </c>
      <c r="T642">
        <v>964818.39682541601</v>
      </c>
      <c r="U642">
        <v>1807295.84920635</v>
      </c>
      <c r="V642">
        <v>-12719.4999999996</v>
      </c>
    </row>
    <row r="643" spans="1:22" x14ac:dyDescent="0.3">
      <c r="A643" t="str">
        <f t="shared" si="20"/>
        <v>SIMHPrevisão</v>
      </c>
      <c r="B643" t="str">
        <f t="shared" si="21"/>
        <v>SIMHPrevisãoMar-2023</v>
      </c>
      <c r="C643" t="s">
        <v>642</v>
      </c>
      <c r="D643" t="s">
        <v>643</v>
      </c>
      <c r="E643" t="s">
        <v>629</v>
      </c>
      <c r="F643" t="s">
        <v>736</v>
      </c>
      <c r="G643" t="s">
        <v>737</v>
      </c>
      <c r="H643" t="s">
        <v>738</v>
      </c>
      <c r="I643" t="s">
        <v>739</v>
      </c>
      <c r="J643" t="s">
        <v>739</v>
      </c>
      <c r="K643" s="2">
        <v>45015</v>
      </c>
      <c r="L643">
        <v>-508822.50793650898</v>
      </c>
      <c r="M643">
        <v>10814654.2698413</v>
      </c>
      <c r="N643">
        <v>2653440.8809523098</v>
      </c>
      <c r="O643">
        <v>16317.785714285899</v>
      </c>
      <c r="P643">
        <v>-10814654.2698413</v>
      </c>
      <c r="Q643">
        <v>114783.952380944</v>
      </c>
      <c r="R643">
        <v>6781.4523809523198</v>
      </c>
      <c r="S643">
        <v>33740.761904758998</v>
      </c>
      <c r="T643">
        <v>1088133.4682539999</v>
      </c>
      <c r="U643">
        <v>644992.65873016801</v>
      </c>
      <c r="V643">
        <v>-268685.16666666599</v>
      </c>
    </row>
    <row r="644" spans="1:22" x14ac:dyDescent="0.3">
      <c r="A644" t="str">
        <f t="shared" si="20"/>
        <v>SIMHPrevisão</v>
      </c>
      <c r="B644" t="str">
        <f t="shared" si="21"/>
        <v>SIMHPrevisãoJun-2023</v>
      </c>
      <c r="C644" t="s">
        <v>642</v>
      </c>
      <c r="D644" t="s">
        <v>643</v>
      </c>
      <c r="E644" t="s">
        <v>629</v>
      </c>
      <c r="F644" t="s">
        <v>736</v>
      </c>
      <c r="G644" t="s">
        <v>737</v>
      </c>
      <c r="H644" t="s">
        <v>738</v>
      </c>
      <c r="I644" t="s">
        <v>739</v>
      </c>
      <c r="J644" t="s">
        <v>739</v>
      </c>
      <c r="K644" s="2">
        <v>45107</v>
      </c>
      <c r="L644">
        <v>-906110.18759018998</v>
      </c>
      <c r="M644">
        <v>11113009.226551199</v>
      </c>
      <c r="N644">
        <v>2613869.5497834501</v>
      </c>
      <c r="O644">
        <v>-65811.822510821905</v>
      </c>
      <c r="P644">
        <v>-11113009.226551199</v>
      </c>
      <c r="Q644">
        <v>704525.23809522495</v>
      </c>
      <c r="R644">
        <v>1517.60173160158</v>
      </c>
      <c r="S644">
        <v>64130.054112549602</v>
      </c>
      <c r="T644">
        <v>1156519.12842717</v>
      </c>
      <c r="U644">
        <v>-972338.53607502999</v>
      </c>
      <c r="V644">
        <v>-623877.12121212098</v>
      </c>
    </row>
    <row r="645" spans="1:22" x14ac:dyDescent="0.3">
      <c r="A645" t="str">
        <f t="shared" si="20"/>
        <v>SIMHPrevisão</v>
      </c>
      <c r="B645" t="str">
        <f t="shared" si="21"/>
        <v>SIMHPrevisãoSet-2023</v>
      </c>
      <c r="C645" t="s">
        <v>642</v>
      </c>
      <c r="D645" t="s">
        <v>643</v>
      </c>
      <c r="E645" t="s">
        <v>629</v>
      </c>
      <c r="F645" t="s">
        <v>736</v>
      </c>
      <c r="G645" t="s">
        <v>737</v>
      </c>
      <c r="H645" t="s">
        <v>738</v>
      </c>
      <c r="I645" t="s">
        <v>739</v>
      </c>
      <c r="J645" t="s">
        <v>739</v>
      </c>
      <c r="K645" s="2">
        <v>45199</v>
      </c>
      <c r="L645">
        <v>-1414433.74025974</v>
      </c>
      <c r="M645">
        <v>11353165.2597402</v>
      </c>
      <c r="N645">
        <v>2508325.38095224</v>
      </c>
      <c r="O645">
        <v>-181268.35064934901</v>
      </c>
      <c r="P645">
        <v>-11353165.2597402</v>
      </c>
      <c r="Q645">
        <v>1530534.1645021399</v>
      </c>
      <c r="R645">
        <v>-5249.9870129872997</v>
      </c>
      <c r="S645">
        <v>109000.12554111901</v>
      </c>
      <c r="T645">
        <v>1152974.4329005</v>
      </c>
      <c r="U645">
        <v>-3098764.6796536702</v>
      </c>
      <c r="V645">
        <v>-1091337.18181818</v>
      </c>
    </row>
    <row r="646" spans="1:22" x14ac:dyDescent="0.3">
      <c r="A646" t="str">
        <f t="shared" si="20"/>
        <v>SEQLPrevisão</v>
      </c>
      <c r="B646" t="str">
        <f t="shared" si="21"/>
        <v>SEQLPrevisãoDez-2022</v>
      </c>
      <c r="C646" t="s">
        <v>640</v>
      </c>
      <c r="D646" t="s">
        <v>641</v>
      </c>
      <c r="E646" t="s">
        <v>629</v>
      </c>
      <c r="F646" t="s">
        <v>736</v>
      </c>
      <c r="G646" t="s">
        <v>737</v>
      </c>
      <c r="H646" t="s">
        <v>738</v>
      </c>
      <c r="I646" t="s">
        <v>739</v>
      </c>
      <c r="J646" t="s">
        <v>739</v>
      </c>
      <c r="K646" s="2">
        <v>44925</v>
      </c>
      <c r="L646">
        <v>-4841.85714285621</v>
      </c>
      <c r="M646">
        <v>1247356.8730158701</v>
      </c>
      <c r="N646">
        <v>346817.59523809102</v>
      </c>
      <c r="O646">
        <v>355885.15079364798</v>
      </c>
      <c r="P646">
        <v>-1247356.8730158701</v>
      </c>
      <c r="Q646">
        <v>-505989.51587301597</v>
      </c>
      <c r="R646">
        <v>0</v>
      </c>
      <c r="S646">
        <v>0</v>
      </c>
      <c r="T646">
        <v>2327.7857142857101</v>
      </c>
      <c r="U646">
        <v>216230.66666666701</v>
      </c>
      <c r="V646">
        <v>362957.396825395</v>
      </c>
    </row>
    <row r="647" spans="1:22" x14ac:dyDescent="0.3">
      <c r="A647" t="str">
        <f t="shared" si="20"/>
        <v>SEQLPrevisão</v>
      </c>
      <c r="B647" t="str">
        <f t="shared" si="21"/>
        <v>SEQLPrevisãoMar-2023</v>
      </c>
      <c r="C647" t="s">
        <v>640</v>
      </c>
      <c r="D647" t="s">
        <v>641</v>
      </c>
      <c r="E647" t="s">
        <v>629</v>
      </c>
      <c r="F647" t="s">
        <v>736</v>
      </c>
      <c r="G647" t="s">
        <v>737</v>
      </c>
      <c r="H647" t="s">
        <v>738</v>
      </c>
      <c r="I647" t="s">
        <v>739</v>
      </c>
      <c r="J647" t="s">
        <v>739</v>
      </c>
      <c r="K647" s="2">
        <v>45015</v>
      </c>
      <c r="L647">
        <v>16225.9285714297</v>
      </c>
      <c r="M647">
        <v>813779.73015872401</v>
      </c>
      <c r="N647">
        <v>260410.785714278</v>
      </c>
      <c r="O647">
        <v>393992.34126983699</v>
      </c>
      <c r="P647">
        <v>-813779.73015872401</v>
      </c>
      <c r="Q647">
        <v>-572173.658730158</v>
      </c>
      <c r="R647">
        <v>0</v>
      </c>
      <c r="S647">
        <v>0</v>
      </c>
      <c r="T647">
        <v>-9780.6428571428005</v>
      </c>
      <c r="U647">
        <v>-210982.66666666401</v>
      </c>
      <c r="V647">
        <v>374485.134920632</v>
      </c>
    </row>
    <row r="648" spans="1:22" x14ac:dyDescent="0.3">
      <c r="A648" t="str">
        <f t="shared" si="20"/>
        <v>SEQLPrevisão</v>
      </c>
      <c r="B648" t="str">
        <f t="shared" si="21"/>
        <v>SEQLPrevisãoJun-2023</v>
      </c>
      <c r="C648" t="s">
        <v>640</v>
      </c>
      <c r="D648" t="s">
        <v>641</v>
      </c>
      <c r="E648" t="s">
        <v>629</v>
      </c>
      <c r="F648" t="s">
        <v>736</v>
      </c>
      <c r="G648" t="s">
        <v>737</v>
      </c>
      <c r="H648" t="s">
        <v>738</v>
      </c>
      <c r="I648" t="s">
        <v>739</v>
      </c>
      <c r="J648" t="s">
        <v>739</v>
      </c>
      <c r="K648" s="2">
        <v>45107</v>
      </c>
      <c r="L648">
        <v>49032.675324676697</v>
      </c>
      <c r="M648">
        <v>177940.500721491</v>
      </c>
      <c r="N648">
        <v>163751.844155831</v>
      </c>
      <c r="O648">
        <v>444744.44516593899</v>
      </c>
      <c r="P648">
        <v>-177940.500721491</v>
      </c>
      <c r="Q648">
        <v>-651725.29725829605</v>
      </c>
      <c r="R648">
        <v>0</v>
      </c>
      <c r="S648">
        <v>0</v>
      </c>
      <c r="T648">
        <v>-28169.5129870128</v>
      </c>
      <c r="U648">
        <v>-825167.74242424103</v>
      </c>
      <c r="V648">
        <v>377575.64357864001</v>
      </c>
    </row>
    <row r="649" spans="1:22" x14ac:dyDescent="0.3">
      <c r="A649" t="str">
        <f t="shared" si="20"/>
        <v>SEQLPrevisão</v>
      </c>
      <c r="B649" t="str">
        <f t="shared" si="21"/>
        <v>SEQLPrevisãoSet-2023</v>
      </c>
      <c r="C649" t="s">
        <v>640</v>
      </c>
      <c r="D649" t="s">
        <v>641</v>
      </c>
      <c r="E649" t="s">
        <v>629</v>
      </c>
      <c r="F649" t="s">
        <v>736</v>
      </c>
      <c r="G649" t="s">
        <v>737</v>
      </c>
      <c r="H649" t="s">
        <v>738</v>
      </c>
      <c r="I649" t="s">
        <v>739</v>
      </c>
      <c r="J649" t="s">
        <v>739</v>
      </c>
      <c r="K649" s="2">
        <v>45199</v>
      </c>
      <c r="L649">
        <v>95677.489177490599</v>
      </c>
      <c r="M649">
        <v>-687369.62337663898</v>
      </c>
      <c r="N649">
        <v>60051.558441538298</v>
      </c>
      <c r="O649">
        <v>511093.98268397403</v>
      </c>
      <c r="P649">
        <v>687369.62337663898</v>
      </c>
      <c r="Q649">
        <v>-746753.29004328803</v>
      </c>
      <c r="R649">
        <v>0</v>
      </c>
      <c r="S649">
        <v>0</v>
      </c>
      <c r="T649">
        <v>-53882.597402596999</v>
      </c>
      <c r="U649">
        <v>-1652895.9090909001</v>
      </c>
      <c r="V649">
        <v>370672.61471861001</v>
      </c>
    </row>
    <row r="650" spans="1:22" x14ac:dyDescent="0.3">
      <c r="A650" t="str">
        <f t="shared" si="20"/>
        <v>MOVIPrevisão</v>
      </c>
      <c r="B650" t="str">
        <f t="shared" si="21"/>
        <v>MOVIPrevisãoDez-2022</v>
      </c>
      <c r="C650" t="s">
        <v>638</v>
      </c>
      <c r="D650" t="s">
        <v>639</v>
      </c>
      <c r="E650" t="s">
        <v>629</v>
      </c>
      <c r="F650" t="s">
        <v>736</v>
      </c>
      <c r="G650" t="s">
        <v>737</v>
      </c>
      <c r="H650" t="s">
        <v>738</v>
      </c>
      <c r="I650" t="s">
        <v>739</v>
      </c>
      <c r="J650" t="s">
        <v>739</v>
      </c>
      <c r="K650" s="2">
        <v>44925</v>
      </c>
      <c r="L650">
        <v>243136.14756258501</v>
      </c>
      <c r="M650">
        <v>10119976.1818181</v>
      </c>
      <c r="N650">
        <v>1516650.4374177901</v>
      </c>
      <c r="O650">
        <v>166335.60737811899</v>
      </c>
      <c r="P650">
        <v>-10119976.1818181</v>
      </c>
      <c r="Q650">
        <v>-816230.80830038397</v>
      </c>
      <c r="R650">
        <v>2433.67391304286</v>
      </c>
      <c r="S650">
        <v>13673.4841897231</v>
      </c>
      <c r="T650">
        <v>1377939.93148873</v>
      </c>
      <c r="U650">
        <v>3066923.5553359501</v>
      </c>
      <c r="V650">
        <v>227950.10671936499</v>
      </c>
    </row>
    <row r="651" spans="1:22" x14ac:dyDescent="0.3">
      <c r="A651" t="str">
        <f t="shared" si="20"/>
        <v>MOVIPrevisão</v>
      </c>
      <c r="B651" t="str">
        <f t="shared" si="21"/>
        <v>MOVIPrevisãoMar-2023</v>
      </c>
      <c r="C651" t="s">
        <v>638</v>
      </c>
      <c r="D651" t="s">
        <v>639</v>
      </c>
      <c r="E651" t="s">
        <v>629</v>
      </c>
      <c r="F651" t="s">
        <v>736</v>
      </c>
      <c r="G651" t="s">
        <v>737</v>
      </c>
      <c r="H651" t="s">
        <v>738</v>
      </c>
      <c r="I651" t="s">
        <v>739</v>
      </c>
      <c r="J651" t="s">
        <v>739</v>
      </c>
      <c r="K651" s="2">
        <v>45015</v>
      </c>
      <c r="L651">
        <v>275620.67681159801</v>
      </c>
      <c r="M651">
        <v>10930264.818181699</v>
      </c>
      <c r="N651">
        <v>1647469.69117276</v>
      </c>
      <c r="O651">
        <v>170863.47773384899</v>
      </c>
      <c r="P651">
        <v>-10930264.818181699</v>
      </c>
      <c r="Q651">
        <v>-791528.25335967098</v>
      </c>
      <c r="R651">
        <v>-354.67351778726902</v>
      </c>
      <c r="S651">
        <v>14415.545454545199</v>
      </c>
      <c r="T651">
        <v>1631755.4196310199</v>
      </c>
      <c r="U651">
        <v>3102281.1549406899</v>
      </c>
      <c r="V651">
        <v>239803.39565217099</v>
      </c>
    </row>
    <row r="652" spans="1:22" x14ac:dyDescent="0.3">
      <c r="A652" t="str">
        <f t="shared" si="20"/>
        <v>MOVIPrevisão</v>
      </c>
      <c r="B652" t="str">
        <f t="shared" si="21"/>
        <v>MOVIPrevisãoJun-2023</v>
      </c>
      <c r="C652" t="s">
        <v>638</v>
      </c>
      <c r="D652" t="s">
        <v>639</v>
      </c>
      <c r="E652" t="s">
        <v>629</v>
      </c>
      <c r="F652" t="s">
        <v>736</v>
      </c>
      <c r="G652" t="s">
        <v>737</v>
      </c>
      <c r="H652" t="s">
        <v>738</v>
      </c>
      <c r="I652" t="s">
        <v>739</v>
      </c>
      <c r="J652" t="s">
        <v>739</v>
      </c>
      <c r="K652" s="2">
        <v>45107</v>
      </c>
      <c r="L652">
        <v>310717.65698794299</v>
      </c>
      <c r="M652">
        <v>11780942.055062201</v>
      </c>
      <c r="N652">
        <v>1790932.3829940101</v>
      </c>
      <c r="O652">
        <v>173997.05596431199</v>
      </c>
      <c r="P652">
        <v>-11780942.055062201</v>
      </c>
      <c r="Q652">
        <v>-752819.26497414103</v>
      </c>
      <c r="R652">
        <v>-3670.1091213142799</v>
      </c>
      <c r="S652">
        <v>15130.727181513899</v>
      </c>
      <c r="T652">
        <v>1915672.66919014</v>
      </c>
      <c r="U652">
        <v>3118428.5579811302</v>
      </c>
      <c r="V652">
        <v>251175.900486467</v>
      </c>
    </row>
    <row r="653" spans="1:22" x14ac:dyDescent="0.3">
      <c r="A653" t="str">
        <f t="shared" si="20"/>
        <v>MOVIPrevisão</v>
      </c>
      <c r="B653" t="str">
        <f t="shared" si="21"/>
        <v>MOVIPrevisãoSet-2023</v>
      </c>
      <c r="C653" t="s">
        <v>638</v>
      </c>
      <c r="D653" t="s">
        <v>639</v>
      </c>
      <c r="E653" t="s">
        <v>629</v>
      </c>
      <c r="F653" t="s">
        <v>736</v>
      </c>
      <c r="G653" t="s">
        <v>737</v>
      </c>
      <c r="H653" t="s">
        <v>738</v>
      </c>
      <c r="I653" t="s">
        <v>739</v>
      </c>
      <c r="J653" t="s">
        <v>739</v>
      </c>
      <c r="K653" s="2">
        <v>45199</v>
      </c>
      <c r="L653">
        <v>348511.88268865203</v>
      </c>
      <c r="M653">
        <v>12672889.4179182</v>
      </c>
      <c r="N653">
        <v>1947945.2246390299</v>
      </c>
      <c r="O653">
        <v>175597.02058487499</v>
      </c>
      <c r="P653">
        <v>-12672889.4179182</v>
      </c>
      <c r="Q653">
        <v>-699032.04217085603</v>
      </c>
      <c r="R653">
        <v>-7546.7270767888804</v>
      </c>
      <c r="S653">
        <v>15814.173612377699</v>
      </c>
      <c r="T653">
        <v>2231353.4390605199</v>
      </c>
      <c r="U653">
        <v>3113717.5954190502</v>
      </c>
      <c r="V653">
        <v>261985.44636329499</v>
      </c>
    </row>
    <row r="654" spans="1:22" x14ac:dyDescent="0.3">
      <c r="A654" t="str">
        <f t="shared" si="20"/>
        <v>MILSPrevisão</v>
      </c>
      <c r="B654" t="str">
        <f t="shared" si="21"/>
        <v>MILSPrevisãoDez-2022</v>
      </c>
      <c r="C654" t="s">
        <v>636</v>
      </c>
      <c r="D654" t="s">
        <v>637</v>
      </c>
      <c r="E654" t="s">
        <v>629</v>
      </c>
      <c r="F654" t="s">
        <v>736</v>
      </c>
      <c r="G654" t="s">
        <v>737</v>
      </c>
      <c r="H654" t="s">
        <v>738</v>
      </c>
      <c r="I654" t="s">
        <v>739</v>
      </c>
      <c r="J654" t="s">
        <v>739</v>
      </c>
      <c r="K654" s="2">
        <v>44925</v>
      </c>
      <c r="L654">
        <v>102132.702911464</v>
      </c>
      <c r="M654">
        <v>2228888.4104917501</v>
      </c>
      <c r="N654">
        <v>897945.64451224403</v>
      </c>
      <c r="O654">
        <v>275448.46405228903</v>
      </c>
      <c r="P654">
        <v>-2228888.4104917501</v>
      </c>
      <c r="Q654">
        <v>-245476.88770045299</v>
      </c>
      <c r="R654">
        <v>41424.743739916303</v>
      </c>
      <c r="S654">
        <v>19838.690603511099</v>
      </c>
      <c r="T654">
        <v>69274.7589334246</v>
      </c>
      <c r="U654">
        <v>1341228.8871917799</v>
      </c>
      <c r="V654">
        <v>341673.29267470603</v>
      </c>
    </row>
    <row r="655" spans="1:22" x14ac:dyDescent="0.3">
      <c r="A655" t="str">
        <f t="shared" si="20"/>
        <v>MILSPrevisão</v>
      </c>
      <c r="B655" t="str">
        <f t="shared" si="21"/>
        <v>MILSPrevisãoMar-2023</v>
      </c>
      <c r="C655" t="s">
        <v>636</v>
      </c>
      <c r="D655" t="s">
        <v>637</v>
      </c>
      <c r="E655" t="s">
        <v>629</v>
      </c>
      <c r="F655" t="s">
        <v>736</v>
      </c>
      <c r="G655" t="s">
        <v>737</v>
      </c>
      <c r="H655" t="s">
        <v>738</v>
      </c>
      <c r="I655" t="s">
        <v>739</v>
      </c>
      <c r="J655" t="s">
        <v>739</v>
      </c>
      <c r="K655" s="2">
        <v>45015</v>
      </c>
      <c r="L655">
        <v>125951.788101314</v>
      </c>
      <c r="M655">
        <v>2475227.5447597899</v>
      </c>
      <c r="N655">
        <v>1027190.30596209</v>
      </c>
      <c r="O655">
        <v>327838.09392586898</v>
      </c>
      <c r="P655">
        <v>-2475227.5447597899</v>
      </c>
      <c r="Q655">
        <v>-277773.79669500899</v>
      </c>
      <c r="R655">
        <v>46339.409890405499</v>
      </c>
      <c r="S655">
        <v>22942.628035977501</v>
      </c>
      <c r="T655">
        <v>106032.80861715801</v>
      </c>
      <c r="U655">
        <v>1421922.2731959</v>
      </c>
      <c r="V655">
        <v>398263.972349043</v>
      </c>
    </row>
    <row r="656" spans="1:22" x14ac:dyDescent="0.3">
      <c r="A656" t="str">
        <f t="shared" si="20"/>
        <v>MILSPrevisão</v>
      </c>
      <c r="B656" t="str">
        <f t="shared" si="21"/>
        <v>MILSPrevisãoJun-2023</v>
      </c>
      <c r="C656" t="s">
        <v>636</v>
      </c>
      <c r="D656" t="s">
        <v>637</v>
      </c>
      <c r="E656" t="s">
        <v>629</v>
      </c>
      <c r="F656" t="s">
        <v>736</v>
      </c>
      <c r="G656" t="s">
        <v>737</v>
      </c>
      <c r="H656" t="s">
        <v>738</v>
      </c>
      <c r="I656" t="s">
        <v>739</v>
      </c>
      <c r="J656" t="s">
        <v>739</v>
      </c>
      <c r="K656" s="2">
        <v>45107</v>
      </c>
      <c r="L656">
        <v>152231.59530359501</v>
      </c>
      <c r="M656">
        <v>2754519.2476886199</v>
      </c>
      <c r="N656">
        <v>1171577.19156424</v>
      </c>
      <c r="O656">
        <v>386937.93881234102</v>
      </c>
      <c r="P656">
        <v>-2754519.2476886199</v>
      </c>
      <c r="Q656">
        <v>-314793.24227456201</v>
      </c>
      <c r="R656">
        <v>51770.7005929527</v>
      </c>
      <c r="S656">
        <v>26375.165312105601</v>
      </c>
      <c r="T656">
        <v>151691.86219848401</v>
      </c>
      <c r="U656">
        <v>1512420.4526933599</v>
      </c>
      <c r="V656">
        <v>461356.76702688797</v>
      </c>
    </row>
    <row r="657" spans="1:22" x14ac:dyDescent="0.3">
      <c r="A657" t="str">
        <f t="shared" si="20"/>
        <v>MILSPrevisão</v>
      </c>
      <c r="B657" t="str">
        <f t="shared" si="21"/>
        <v>MILSPrevisãoSet-2023</v>
      </c>
      <c r="C657" t="s">
        <v>636</v>
      </c>
      <c r="D657" t="s">
        <v>637</v>
      </c>
      <c r="E657" t="s">
        <v>629</v>
      </c>
      <c r="F657" t="s">
        <v>736</v>
      </c>
      <c r="G657" t="s">
        <v>737</v>
      </c>
      <c r="H657" t="s">
        <v>738</v>
      </c>
      <c r="I657" t="s">
        <v>739</v>
      </c>
      <c r="J657" t="s">
        <v>739</v>
      </c>
      <c r="K657" s="2">
        <v>45199</v>
      </c>
      <c r="L657">
        <v>181073.459267614</v>
      </c>
      <c r="M657">
        <v>3068469.0537711498</v>
      </c>
      <c r="N657">
        <v>1331840.3391495401</v>
      </c>
      <c r="O657">
        <v>453075.55161755101</v>
      </c>
      <c r="P657">
        <v>-3068469.0537711498</v>
      </c>
      <c r="Q657">
        <v>-356783.46716196899</v>
      </c>
      <c r="R657">
        <v>57739.843927940601</v>
      </c>
      <c r="S657">
        <v>30150.073836654501</v>
      </c>
      <c r="T657">
        <v>206804.405022408</v>
      </c>
      <c r="U657">
        <v>1613238.9138213501</v>
      </c>
      <c r="V657">
        <v>531245.38969705603</v>
      </c>
    </row>
    <row r="658" spans="1:22" x14ac:dyDescent="0.3">
      <c r="A658" t="str">
        <f t="shared" si="20"/>
        <v>MSROPrevisão</v>
      </c>
      <c r="B658" t="str">
        <f t="shared" si="21"/>
        <v>MSROPrevisãoDez-2022</v>
      </c>
      <c r="C658" t="s">
        <v>654</v>
      </c>
      <c r="D658" t="s">
        <v>655</v>
      </c>
      <c r="E658" t="s">
        <v>629</v>
      </c>
      <c r="F658" t="s">
        <v>736</v>
      </c>
      <c r="G658" t="s">
        <v>737</v>
      </c>
      <c r="H658" t="s">
        <v>738</v>
      </c>
      <c r="I658" t="s">
        <v>739</v>
      </c>
      <c r="J658" t="s">
        <v>739</v>
      </c>
      <c r="K658" s="2">
        <v>44925</v>
      </c>
      <c r="L658">
        <v>3351.5606060607001</v>
      </c>
      <c r="M658">
        <v>241951.638998685</v>
      </c>
      <c r="N658">
        <v>32828.141633719497</v>
      </c>
      <c r="O658">
        <v>15913.2865612648</v>
      </c>
      <c r="P658">
        <v>-241951.638998685</v>
      </c>
      <c r="Q658">
        <v>-72525.564558624406</v>
      </c>
      <c r="R658">
        <v>1155.1027667984099</v>
      </c>
      <c r="S658">
        <v>796.73847167371298</v>
      </c>
      <c r="T658">
        <v>-670.17654809022997</v>
      </c>
      <c r="U658">
        <v>67136.203557312707</v>
      </c>
      <c r="V658">
        <v>25614.123847166898</v>
      </c>
    </row>
    <row r="659" spans="1:22" x14ac:dyDescent="0.3">
      <c r="A659" t="str">
        <f t="shared" si="20"/>
        <v>MSROPrevisão</v>
      </c>
      <c r="B659" t="str">
        <f t="shared" si="21"/>
        <v>MSROPrevisãoMar-2023</v>
      </c>
      <c r="C659" t="s">
        <v>654</v>
      </c>
      <c r="D659" t="s">
        <v>655</v>
      </c>
      <c r="E659" t="s">
        <v>629</v>
      </c>
      <c r="F659" t="s">
        <v>736</v>
      </c>
      <c r="G659" t="s">
        <v>737</v>
      </c>
      <c r="H659" t="s">
        <v>738</v>
      </c>
      <c r="I659" t="s">
        <v>739</v>
      </c>
      <c r="J659" t="s">
        <v>739</v>
      </c>
      <c r="K659" s="2">
        <v>45015</v>
      </c>
      <c r="L659">
        <v>3776.3499341239799</v>
      </c>
      <c r="M659">
        <v>226575.95243742099</v>
      </c>
      <c r="N659">
        <v>22750.6400526904</v>
      </c>
      <c r="O659">
        <v>14789.5588932806</v>
      </c>
      <c r="P659">
        <v>-226575.95243742099</v>
      </c>
      <c r="Q659">
        <v>-63366.445586291498</v>
      </c>
      <c r="R659">
        <v>1189.1177865612499</v>
      </c>
      <c r="S659">
        <v>99.0210803694508</v>
      </c>
      <c r="T659">
        <v>-1733.95678524449</v>
      </c>
      <c r="U659">
        <v>70057.688537549999</v>
      </c>
      <c r="V659">
        <v>24358.689459814999</v>
      </c>
    </row>
    <row r="660" spans="1:22" x14ac:dyDescent="0.3">
      <c r="A660" t="str">
        <f t="shared" si="20"/>
        <v>MSROPrevisão</v>
      </c>
      <c r="B660" t="str">
        <f t="shared" si="21"/>
        <v>MSROPrevisãoJun-2023</v>
      </c>
      <c r="C660" t="s">
        <v>654</v>
      </c>
      <c r="D660" t="s">
        <v>655</v>
      </c>
      <c r="E660" t="s">
        <v>629</v>
      </c>
      <c r="F660" t="s">
        <v>736</v>
      </c>
      <c r="G660" t="s">
        <v>737</v>
      </c>
      <c r="H660" t="s">
        <v>738</v>
      </c>
      <c r="I660" t="s">
        <v>739</v>
      </c>
      <c r="J660" t="s">
        <v>739</v>
      </c>
      <c r="K660" s="2">
        <v>45107</v>
      </c>
      <c r="L660">
        <v>4234.3916185265698</v>
      </c>
      <c r="M660">
        <v>206592.956025138</v>
      </c>
      <c r="N660">
        <v>10464.325124139001</v>
      </c>
      <c r="O660">
        <v>13424.017543326199</v>
      </c>
      <c r="P660">
        <v>-206592.956025138</v>
      </c>
      <c r="Q660">
        <v>-51905.936130529</v>
      </c>
      <c r="R660">
        <v>1221.15922772878</v>
      </c>
      <c r="S660">
        <v>-747.31239485089702</v>
      </c>
      <c r="T660">
        <v>-2999.8287220034899</v>
      </c>
      <c r="U660">
        <v>73262.027789602405</v>
      </c>
      <c r="V660">
        <v>22712.176629167399</v>
      </c>
    </row>
    <row r="661" spans="1:22" x14ac:dyDescent="0.3">
      <c r="A661" t="str">
        <f t="shared" si="20"/>
        <v>MSROPrevisão</v>
      </c>
      <c r="B661" t="str">
        <f t="shared" si="21"/>
        <v>MSROPrevisãoSet-2023</v>
      </c>
      <c r="C661" t="s">
        <v>654</v>
      </c>
      <c r="D661" t="s">
        <v>655</v>
      </c>
      <c r="E661" t="s">
        <v>629</v>
      </c>
      <c r="F661" t="s">
        <v>736</v>
      </c>
      <c r="G661" t="s">
        <v>737</v>
      </c>
      <c r="H661" t="s">
        <v>738</v>
      </c>
      <c r="I661" t="s">
        <v>739</v>
      </c>
      <c r="J661" t="s">
        <v>739</v>
      </c>
      <c r="K661" s="2">
        <v>45199</v>
      </c>
      <c r="L661">
        <v>4727.4457608416196</v>
      </c>
      <c r="M661">
        <v>181657.78797788799</v>
      </c>
      <c r="N661">
        <v>-4198.0428003695197</v>
      </c>
      <c r="O661">
        <v>11802.078443295801</v>
      </c>
      <c r="P661">
        <v>-181657.78797788799</v>
      </c>
      <c r="Q661">
        <v>-37980.520406960197</v>
      </c>
      <c r="R661">
        <v>1250.9540792540599</v>
      </c>
      <c r="S661">
        <v>-1753.02416922778</v>
      </c>
      <c r="T661">
        <v>-4481.7618503889198</v>
      </c>
      <c r="U661">
        <v>76765.3052734714</v>
      </c>
      <c r="V661">
        <v>20644.674263256202</v>
      </c>
    </row>
    <row r="662" spans="1:22" x14ac:dyDescent="0.3">
      <c r="A662" t="str">
        <f t="shared" si="20"/>
        <v>LOGNPrevisão</v>
      </c>
      <c r="B662" t="str">
        <f t="shared" si="21"/>
        <v>LOGNPrevisãoDez-2022</v>
      </c>
      <c r="C662" t="s">
        <v>652</v>
      </c>
      <c r="D662" t="s">
        <v>653</v>
      </c>
      <c r="E662" t="s">
        <v>629</v>
      </c>
      <c r="F662" t="s">
        <v>736</v>
      </c>
      <c r="G662" t="s">
        <v>737</v>
      </c>
      <c r="H662" t="s">
        <v>738</v>
      </c>
      <c r="I662" t="s">
        <v>739</v>
      </c>
      <c r="J662" t="s">
        <v>739</v>
      </c>
      <c r="K662" s="2">
        <v>44925</v>
      </c>
      <c r="L662">
        <v>94088.423818003794</v>
      </c>
      <c r="M662">
        <v>2852360.0521185002</v>
      </c>
      <c r="N662">
        <v>905822.17876253102</v>
      </c>
      <c r="O662">
        <v>272090.42475173099</v>
      </c>
      <c r="P662">
        <v>-2852360.0521185002</v>
      </c>
      <c r="Q662">
        <v>-466411.94083654898</v>
      </c>
      <c r="R662">
        <v>20567.878702996899</v>
      </c>
      <c r="S662">
        <v>17768.719039130701</v>
      </c>
      <c r="T662">
        <v>-49559.2853749727</v>
      </c>
      <c r="U662">
        <v>1108798.4312024601</v>
      </c>
      <c r="V662">
        <v>273841.64790767501</v>
      </c>
    </row>
    <row r="663" spans="1:22" x14ac:dyDescent="0.3">
      <c r="A663" t="str">
        <f t="shared" si="20"/>
        <v>LOGNPrevisão</v>
      </c>
      <c r="B663" t="str">
        <f t="shared" si="21"/>
        <v>LOGNPrevisãoMar-2023</v>
      </c>
      <c r="C663" t="s">
        <v>652</v>
      </c>
      <c r="D663" t="s">
        <v>653</v>
      </c>
      <c r="E663" t="s">
        <v>629</v>
      </c>
      <c r="F663" t="s">
        <v>736</v>
      </c>
      <c r="G663" t="s">
        <v>737</v>
      </c>
      <c r="H663" t="s">
        <v>738</v>
      </c>
      <c r="I663" t="s">
        <v>739</v>
      </c>
      <c r="J663" t="s">
        <v>739</v>
      </c>
      <c r="K663" s="2">
        <v>45015</v>
      </c>
      <c r="L663">
        <v>115832.081069598</v>
      </c>
      <c r="M663">
        <v>3206775.8496258501</v>
      </c>
      <c r="N663">
        <v>970396.21523905999</v>
      </c>
      <c r="O663">
        <v>286657.35242501501</v>
      </c>
      <c r="P663">
        <v>-3206775.8496258501</v>
      </c>
      <c r="Q663">
        <v>-514053.32016468397</v>
      </c>
      <c r="R663">
        <v>21422.457048339998</v>
      </c>
      <c r="S663">
        <v>18641.362340185999</v>
      </c>
      <c r="T663">
        <v>-79609.755928830898</v>
      </c>
      <c r="U663">
        <v>1362420.7150447201</v>
      </c>
      <c r="V663">
        <v>296408.19084328599</v>
      </c>
    </row>
    <row r="664" spans="1:22" x14ac:dyDescent="0.3">
      <c r="A664" t="str">
        <f t="shared" si="20"/>
        <v>LOGNPrevisão</v>
      </c>
      <c r="B664" t="str">
        <f t="shared" si="21"/>
        <v>LOGNPrevisãoJun-2023</v>
      </c>
      <c r="C664" t="s">
        <v>652</v>
      </c>
      <c r="D664" t="s">
        <v>653</v>
      </c>
      <c r="E664" t="s">
        <v>629</v>
      </c>
      <c r="F664" t="s">
        <v>736</v>
      </c>
      <c r="G664" t="s">
        <v>737</v>
      </c>
      <c r="H664" t="s">
        <v>738</v>
      </c>
      <c r="I664" t="s">
        <v>739</v>
      </c>
      <c r="J664" t="s">
        <v>739</v>
      </c>
      <c r="K664" s="2">
        <v>45107</v>
      </c>
      <c r="L664">
        <v>139309.33762585701</v>
      </c>
      <c r="M664">
        <v>3605955.0333658201</v>
      </c>
      <c r="N664">
        <v>1040125.30948141</v>
      </c>
      <c r="O664">
        <v>302416.39671771397</v>
      </c>
      <c r="P664">
        <v>-3605955.0333658201</v>
      </c>
      <c r="Q664">
        <v>-569753.72897974902</v>
      </c>
      <c r="R664">
        <v>22325.456131175099</v>
      </c>
      <c r="S664">
        <v>19586.398216116999</v>
      </c>
      <c r="T664">
        <v>-114191.03997653699</v>
      </c>
      <c r="U664">
        <v>1643929.9783076399</v>
      </c>
      <c r="V664">
        <v>321802.14470721799</v>
      </c>
    </row>
    <row r="665" spans="1:22" x14ac:dyDescent="0.3">
      <c r="A665" t="str">
        <f t="shared" si="20"/>
        <v>LOGNPrevisão</v>
      </c>
      <c r="B665" t="str">
        <f t="shared" si="21"/>
        <v>LOGNPrevisãoSet-2023</v>
      </c>
      <c r="C665" t="s">
        <v>652</v>
      </c>
      <c r="D665" t="s">
        <v>653</v>
      </c>
      <c r="E665" t="s">
        <v>629</v>
      </c>
      <c r="F665" t="s">
        <v>736</v>
      </c>
      <c r="G665" t="s">
        <v>737</v>
      </c>
      <c r="H665" t="s">
        <v>738</v>
      </c>
      <c r="I665" t="s">
        <v>739</v>
      </c>
      <c r="J665" t="s">
        <v>739</v>
      </c>
      <c r="K665" s="2">
        <v>45199</v>
      </c>
      <c r="L665">
        <v>164573.983085229</v>
      </c>
      <c r="M665">
        <v>4052134.54628128</v>
      </c>
      <c r="N665">
        <v>1115230.52253996</v>
      </c>
      <c r="O665">
        <v>319424.57490939897</v>
      </c>
      <c r="P665">
        <v>-4052134.54628128</v>
      </c>
      <c r="Q665">
        <v>-634007.92371010804</v>
      </c>
      <c r="R665">
        <v>23278.6770943064</v>
      </c>
      <c r="S665">
        <v>20607.837441364602</v>
      </c>
      <c r="T665">
        <v>-153553.37526010801</v>
      </c>
      <c r="U665">
        <v>1954511.8495535101</v>
      </c>
      <c r="V665">
        <v>350173.02347888303</v>
      </c>
    </row>
    <row r="666" spans="1:22" x14ac:dyDescent="0.3">
      <c r="A666" t="str">
        <f t="shared" si="20"/>
        <v>RENTPrevisão</v>
      </c>
      <c r="B666" t="str">
        <f t="shared" si="21"/>
        <v>RENTPrevisãoDez-2022</v>
      </c>
      <c r="C666" t="s">
        <v>634</v>
      </c>
      <c r="D666" t="s">
        <v>635</v>
      </c>
      <c r="E666" t="s">
        <v>629</v>
      </c>
      <c r="F666" t="s">
        <v>736</v>
      </c>
      <c r="G666" t="s">
        <v>737</v>
      </c>
      <c r="H666" t="s">
        <v>738</v>
      </c>
      <c r="I666" t="s">
        <v>739</v>
      </c>
      <c r="J666" t="s">
        <v>739</v>
      </c>
      <c r="K666" s="2">
        <v>44925</v>
      </c>
      <c r="L666">
        <v>622961.10644258698</v>
      </c>
      <c r="M666">
        <v>33886266.263475299</v>
      </c>
      <c r="N666">
        <v>6383995.2985313404</v>
      </c>
      <c r="O666">
        <v>1223988.6268567799</v>
      </c>
      <c r="P666">
        <v>-33886266.263475299</v>
      </c>
      <c r="Q666">
        <v>-5594478.3941943403</v>
      </c>
      <c r="R666">
        <v>273040.608861727</v>
      </c>
      <c r="S666">
        <v>26285.411085643998</v>
      </c>
      <c r="T666">
        <v>3968479.99762312</v>
      </c>
      <c r="U666">
        <v>14867754.824294901</v>
      </c>
      <c r="V666">
        <v>2741812.8393175099</v>
      </c>
    </row>
    <row r="667" spans="1:22" x14ac:dyDescent="0.3">
      <c r="A667" t="str">
        <f t="shared" si="20"/>
        <v>RENTPrevisão</v>
      </c>
      <c r="B667" t="str">
        <f t="shared" si="21"/>
        <v>RENTPrevisãoMar-2023</v>
      </c>
      <c r="C667" t="s">
        <v>634</v>
      </c>
      <c r="D667" t="s">
        <v>635</v>
      </c>
      <c r="E667" t="s">
        <v>629</v>
      </c>
      <c r="F667" t="s">
        <v>736</v>
      </c>
      <c r="G667" t="s">
        <v>737</v>
      </c>
      <c r="H667" t="s">
        <v>738</v>
      </c>
      <c r="I667" t="s">
        <v>739</v>
      </c>
      <c r="J667" t="s">
        <v>739</v>
      </c>
      <c r="K667" s="2">
        <v>45015</v>
      </c>
      <c r="L667">
        <v>680637.55916421802</v>
      </c>
      <c r="M667">
        <v>37045290.855778299</v>
      </c>
      <c r="N667">
        <v>6820175.6085403198</v>
      </c>
      <c r="O667">
        <v>1288096.94773304</v>
      </c>
      <c r="P667">
        <v>-37045290.855778299</v>
      </c>
      <c r="Q667">
        <v>-6058366.7037354102</v>
      </c>
      <c r="R667">
        <v>289191.62630162598</v>
      </c>
      <c r="S667">
        <v>27364.968894024802</v>
      </c>
      <c r="T667">
        <v>4375664.5656311698</v>
      </c>
      <c r="U667">
        <v>16574878.794260601</v>
      </c>
      <c r="V667">
        <v>2823794.1846605302</v>
      </c>
    </row>
    <row r="668" spans="1:22" x14ac:dyDescent="0.3">
      <c r="A668" t="str">
        <f t="shared" si="20"/>
        <v>RENTPrevisão</v>
      </c>
      <c r="B668" t="str">
        <f t="shared" si="21"/>
        <v>RENTPrevisãoJun-2023</v>
      </c>
      <c r="C668" t="s">
        <v>634</v>
      </c>
      <c r="D668" t="s">
        <v>635</v>
      </c>
      <c r="E668" t="s">
        <v>629</v>
      </c>
      <c r="F668" t="s">
        <v>736</v>
      </c>
      <c r="G668" t="s">
        <v>737</v>
      </c>
      <c r="H668" t="s">
        <v>738</v>
      </c>
      <c r="I668" t="s">
        <v>739</v>
      </c>
      <c r="J668" t="s">
        <v>739</v>
      </c>
      <c r="K668" s="2">
        <v>45107</v>
      </c>
      <c r="L668">
        <v>742378.29630118096</v>
      </c>
      <c r="M668">
        <v>40429789.400887698</v>
      </c>
      <c r="N668">
        <v>7279169.7424105098</v>
      </c>
      <c r="O668">
        <v>1354476.36197321</v>
      </c>
      <c r="P668">
        <v>-40429789.400887698</v>
      </c>
      <c r="Q668">
        <v>-6552414.8288321402</v>
      </c>
      <c r="R668">
        <v>305981.30025127798</v>
      </c>
      <c r="S668">
        <v>28479.2149959825</v>
      </c>
      <c r="T668">
        <v>4815174.4459922202</v>
      </c>
      <c r="U668">
        <v>18424724.334711298</v>
      </c>
      <c r="V668">
        <v>2902502.1300214501</v>
      </c>
    </row>
    <row r="669" spans="1:22" x14ac:dyDescent="0.3">
      <c r="A669" t="str">
        <f t="shared" si="20"/>
        <v>RENTPrevisão</v>
      </c>
      <c r="B669" t="str">
        <f t="shared" si="21"/>
        <v>RENTPrevisãoSet-2023</v>
      </c>
      <c r="C669" t="s">
        <v>634</v>
      </c>
      <c r="D669" t="s">
        <v>635</v>
      </c>
      <c r="E669" t="s">
        <v>629</v>
      </c>
      <c r="F669" t="s">
        <v>736</v>
      </c>
      <c r="G669" t="s">
        <v>737</v>
      </c>
      <c r="H669" t="s">
        <v>738</v>
      </c>
      <c r="I669" t="s">
        <v>739</v>
      </c>
      <c r="J669" t="s">
        <v>739</v>
      </c>
      <c r="K669" s="2">
        <v>45199</v>
      </c>
      <c r="L669">
        <v>808324.66055626201</v>
      </c>
      <c r="M669">
        <v>44047846.625954702</v>
      </c>
      <c r="N669">
        <v>7761585.0736130504</v>
      </c>
      <c r="O669">
        <v>1423145.04539865</v>
      </c>
      <c r="P669">
        <v>-44047846.625954702</v>
      </c>
      <c r="Q669">
        <v>-7077646.1493591098</v>
      </c>
      <c r="R669">
        <v>323416.87426541501</v>
      </c>
      <c r="S669">
        <v>29627.1960626008</v>
      </c>
      <c r="T669">
        <v>5288269.9990743101</v>
      </c>
      <c r="U669">
        <v>20423000.5855272</v>
      </c>
      <c r="V669">
        <v>2977579.60785054</v>
      </c>
    </row>
    <row r="670" spans="1:22" x14ac:dyDescent="0.3">
      <c r="A670" t="str">
        <f t="shared" si="20"/>
        <v>JSLGPrevisão</v>
      </c>
      <c r="B670" t="str">
        <f t="shared" si="21"/>
        <v>JSLGPrevisãoDez-2022</v>
      </c>
      <c r="C670" t="s">
        <v>632</v>
      </c>
      <c r="D670" t="s">
        <v>633</v>
      </c>
      <c r="E670" t="s">
        <v>629</v>
      </c>
      <c r="F670" t="s">
        <v>736</v>
      </c>
      <c r="G670" t="s">
        <v>737</v>
      </c>
      <c r="H670" t="s">
        <v>738</v>
      </c>
      <c r="I670" t="s">
        <v>739</v>
      </c>
      <c r="J670" t="s">
        <v>739</v>
      </c>
      <c r="K670" s="2">
        <v>44925</v>
      </c>
      <c r="L670">
        <v>58223.671250268097</v>
      </c>
      <c r="M670">
        <v>4819844.1017745901</v>
      </c>
      <c r="N670">
        <v>1478410.40590762</v>
      </c>
      <c r="O670">
        <v>938506.122824964</v>
      </c>
      <c r="P670">
        <v>-4819844.1017745901</v>
      </c>
      <c r="Q670">
        <v>-399757.19336205698</v>
      </c>
      <c r="R670">
        <v>249124.08734405099</v>
      </c>
      <c r="S670">
        <v>50853.186911128301</v>
      </c>
      <c r="T670">
        <v>810464.40938790701</v>
      </c>
      <c r="U670">
        <v>1715427.6021561101</v>
      </c>
      <c r="V670">
        <v>979924.56828808505</v>
      </c>
    </row>
    <row r="671" spans="1:22" x14ac:dyDescent="0.3">
      <c r="A671" t="str">
        <f t="shared" si="20"/>
        <v>JSLGPrevisão</v>
      </c>
      <c r="B671" t="str">
        <f t="shared" si="21"/>
        <v>JSLGPrevisãoMar-2023</v>
      </c>
      <c r="C671" t="s">
        <v>632</v>
      </c>
      <c r="D671" t="s">
        <v>633</v>
      </c>
      <c r="E671" t="s">
        <v>629</v>
      </c>
      <c r="F671" t="s">
        <v>736</v>
      </c>
      <c r="G671" t="s">
        <v>737</v>
      </c>
      <c r="H671" t="s">
        <v>738</v>
      </c>
      <c r="I671" t="s">
        <v>739</v>
      </c>
      <c r="J671" t="s">
        <v>739</v>
      </c>
      <c r="K671" s="2">
        <v>45015</v>
      </c>
      <c r="L671">
        <v>58910.742916273099</v>
      </c>
      <c r="M671">
        <v>4493213.9506656304</v>
      </c>
      <c r="N671">
        <v>1331318.6806376399</v>
      </c>
      <c r="O671">
        <v>977366.86952660896</v>
      </c>
      <c r="P671">
        <v>-4493213.9506656304</v>
      </c>
      <c r="Q671">
        <v>-268182.15583942598</v>
      </c>
      <c r="R671">
        <v>268938.004005561</v>
      </c>
      <c r="S671">
        <v>53688.326189444197</v>
      </c>
      <c r="T671">
        <v>983514.09882831795</v>
      </c>
      <c r="U671">
        <v>1853243.49515608</v>
      </c>
      <c r="V671">
        <v>1047461.5210889</v>
      </c>
    </row>
    <row r="672" spans="1:22" x14ac:dyDescent="0.3">
      <c r="A672" t="str">
        <f t="shared" si="20"/>
        <v>JSLGPrevisão</v>
      </c>
      <c r="B672" t="str">
        <f t="shared" si="21"/>
        <v>JSLGPrevisãoJun-2023</v>
      </c>
      <c r="C672" t="s">
        <v>632</v>
      </c>
      <c r="D672" t="s">
        <v>633</v>
      </c>
      <c r="E672" t="s">
        <v>629</v>
      </c>
      <c r="F672" t="s">
        <v>736</v>
      </c>
      <c r="G672" t="s">
        <v>737</v>
      </c>
      <c r="H672" t="s">
        <v>738</v>
      </c>
      <c r="I672" t="s">
        <v>739</v>
      </c>
      <c r="J672" t="s">
        <v>739</v>
      </c>
      <c r="K672" s="2">
        <v>45107</v>
      </c>
      <c r="L672">
        <v>59244.863895109898</v>
      </c>
      <c r="M672">
        <v>4139165.1765046301</v>
      </c>
      <c r="N672">
        <v>1166277.79411506</v>
      </c>
      <c r="O672">
        <v>1019515.0583688</v>
      </c>
      <c r="P672">
        <v>-4139165.1765046301</v>
      </c>
      <c r="Q672">
        <v>-124693.21161008099</v>
      </c>
      <c r="R672">
        <v>290809.85225062002</v>
      </c>
      <c r="S672">
        <v>56774.2631528239</v>
      </c>
      <c r="T672">
        <v>1177366.67216984</v>
      </c>
      <c r="U672">
        <v>2004257.2636440201</v>
      </c>
      <c r="V672">
        <v>1124197.5457919</v>
      </c>
    </row>
    <row r="673" spans="1:22" x14ac:dyDescent="0.3">
      <c r="A673" t="str">
        <f t="shared" si="20"/>
        <v>JSLGPrevisão</v>
      </c>
      <c r="B673" t="str">
        <f t="shared" si="21"/>
        <v>JSLGPrevisãoSet-2023</v>
      </c>
      <c r="C673" t="s">
        <v>632</v>
      </c>
      <c r="D673" t="s">
        <v>633</v>
      </c>
      <c r="E673" t="s">
        <v>629</v>
      </c>
      <c r="F673" t="s">
        <v>736</v>
      </c>
      <c r="G673" t="s">
        <v>737</v>
      </c>
      <c r="H673" t="s">
        <v>738</v>
      </c>
      <c r="I673" t="s">
        <v>739</v>
      </c>
      <c r="J673" t="s">
        <v>739</v>
      </c>
      <c r="K673" s="2">
        <v>45199</v>
      </c>
      <c r="L673">
        <v>59198.483827980497</v>
      </c>
      <c r="M673">
        <v>3757180.4046242302</v>
      </c>
      <c r="N673">
        <v>982597.09683185595</v>
      </c>
      <c r="O673">
        <v>1065113.13851344</v>
      </c>
      <c r="P673">
        <v>-3757180.4046242302</v>
      </c>
      <c r="Q673">
        <v>31098.127296053499</v>
      </c>
      <c r="R673">
        <v>314841.86032553</v>
      </c>
      <c r="S673">
        <v>60122.333581265899</v>
      </c>
      <c r="T673">
        <v>1393016.4925589501</v>
      </c>
      <c r="U673">
        <v>2169026.0091938502</v>
      </c>
      <c r="V673">
        <v>1210648.8343517201</v>
      </c>
    </row>
    <row r="674" spans="1:22" x14ac:dyDescent="0.3">
      <c r="A674" t="str">
        <f t="shared" si="20"/>
        <v>HBSAPrevisão</v>
      </c>
      <c r="B674" t="str">
        <f t="shared" si="21"/>
        <v>HBSAPrevisãoDez-2022</v>
      </c>
      <c r="C674" t="s">
        <v>650</v>
      </c>
      <c r="D674" t="s">
        <v>651</v>
      </c>
      <c r="E674" t="s">
        <v>629</v>
      </c>
      <c r="F674" t="s">
        <v>736</v>
      </c>
      <c r="G674" t="s">
        <v>737</v>
      </c>
      <c r="H674" t="s">
        <v>738</v>
      </c>
      <c r="I674" t="s">
        <v>739</v>
      </c>
      <c r="J674" t="s">
        <v>739</v>
      </c>
      <c r="K674" s="2">
        <v>44925</v>
      </c>
      <c r="L674">
        <v>29394.0005093213</v>
      </c>
      <c r="M674">
        <v>1999764.6217638501</v>
      </c>
      <c r="N674">
        <v>151231.42526103699</v>
      </c>
      <c r="O674">
        <v>-1006.78923690712</v>
      </c>
      <c r="P674">
        <v>-1999764.6217638501</v>
      </c>
      <c r="Q674">
        <v>-81014.727018071906</v>
      </c>
      <c r="R674">
        <v>18265.878872765701</v>
      </c>
      <c r="S674">
        <v>2286.1597487481299</v>
      </c>
      <c r="T674">
        <v>-17772.679908287999</v>
      </c>
      <c r="U674">
        <v>1263545.4677870399</v>
      </c>
      <c r="V674">
        <v>35346.353110943099</v>
      </c>
    </row>
    <row r="675" spans="1:22" x14ac:dyDescent="0.3">
      <c r="A675" t="str">
        <f t="shared" si="20"/>
        <v>HBSAPrevisão</v>
      </c>
      <c r="B675" t="str">
        <f t="shared" si="21"/>
        <v>HBSAPrevisãoMar-2023</v>
      </c>
      <c r="C675" t="s">
        <v>650</v>
      </c>
      <c r="D675" t="s">
        <v>651</v>
      </c>
      <c r="E675" t="s">
        <v>629</v>
      </c>
      <c r="F675" t="s">
        <v>736</v>
      </c>
      <c r="G675" t="s">
        <v>737</v>
      </c>
      <c r="H675" t="s">
        <v>738</v>
      </c>
      <c r="I675" t="s">
        <v>739</v>
      </c>
      <c r="J675" t="s">
        <v>739</v>
      </c>
      <c r="K675" s="2">
        <v>45015</v>
      </c>
      <c r="L675">
        <v>36860.212045537701</v>
      </c>
      <c r="M675">
        <v>2059138.8508982901</v>
      </c>
      <c r="N675">
        <v>175606.37914235701</v>
      </c>
      <c r="O675">
        <v>-1488.7165660698399</v>
      </c>
      <c r="P675">
        <v>-2059138.8508982901</v>
      </c>
      <c r="Q675">
        <v>-83466.210593321506</v>
      </c>
      <c r="R675">
        <v>19356.8477644999</v>
      </c>
      <c r="S675">
        <v>1276.42792678107</v>
      </c>
      <c r="T675">
        <v>-31612.9107908117</v>
      </c>
      <c r="U675">
        <v>1197371.03338626</v>
      </c>
      <c r="V675">
        <v>44134.575362990799</v>
      </c>
    </row>
    <row r="676" spans="1:22" x14ac:dyDescent="0.3">
      <c r="A676" t="str">
        <f t="shared" si="20"/>
        <v>HBSAPrevisão</v>
      </c>
      <c r="B676" t="str">
        <f t="shared" si="21"/>
        <v>HBSAPrevisãoJun-2023</v>
      </c>
      <c r="C676" t="s">
        <v>650</v>
      </c>
      <c r="D676" t="s">
        <v>651</v>
      </c>
      <c r="E676" t="s">
        <v>629</v>
      </c>
      <c r="F676" t="s">
        <v>736</v>
      </c>
      <c r="G676" t="s">
        <v>737</v>
      </c>
      <c r="H676" t="s">
        <v>738</v>
      </c>
      <c r="I676" t="s">
        <v>739</v>
      </c>
      <c r="J676" t="s">
        <v>739</v>
      </c>
      <c r="K676" s="2">
        <v>45107</v>
      </c>
      <c r="L676">
        <v>45203.013587988498</v>
      </c>
      <c r="M676">
        <v>2121542.7889078399</v>
      </c>
      <c r="N676">
        <v>203911.70638372999</v>
      </c>
      <c r="O676">
        <v>-2028.2698389761599</v>
      </c>
      <c r="P676">
        <v>-2121542.7889078399</v>
      </c>
      <c r="Q676">
        <v>-86074.829651808905</v>
      </c>
      <c r="R676">
        <v>20512.6771250823</v>
      </c>
      <c r="S676">
        <v>144.24945523736</v>
      </c>
      <c r="T676">
        <v>-47298.520226308698</v>
      </c>
      <c r="U676">
        <v>1121507.1345852199</v>
      </c>
      <c r="V676">
        <v>53888.565635320803</v>
      </c>
    </row>
    <row r="677" spans="1:22" x14ac:dyDescent="0.3">
      <c r="A677" t="str">
        <f t="shared" si="20"/>
        <v>HBSAPrevisão</v>
      </c>
      <c r="B677" t="str">
        <f t="shared" si="21"/>
        <v>HBSAPrevisãoSet-2023</v>
      </c>
      <c r="C677" t="s">
        <v>650</v>
      </c>
      <c r="D677" t="s">
        <v>651</v>
      </c>
      <c r="E677" t="s">
        <v>629</v>
      </c>
      <c r="F677" t="s">
        <v>736</v>
      </c>
      <c r="G677" t="s">
        <v>737</v>
      </c>
      <c r="H677" t="s">
        <v>738</v>
      </c>
      <c r="I677" t="s">
        <v>739</v>
      </c>
      <c r="J677" t="s">
        <v>739</v>
      </c>
      <c r="K677" s="2">
        <v>45199</v>
      </c>
      <c r="L677">
        <v>54464.933621771997</v>
      </c>
      <c r="M677">
        <v>2187219.2482306301</v>
      </c>
      <c r="N677">
        <v>236374.51101659599</v>
      </c>
      <c r="O677">
        <v>-2628.1002850667801</v>
      </c>
      <c r="P677">
        <v>-2187219.2482306301</v>
      </c>
      <c r="Q677">
        <v>-88853.705031556106</v>
      </c>
      <c r="R677">
        <v>21736.022889063399</v>
      </c>
      <c r="S677">
        <v>-1115.3821313538799</v>
      </c>
      <c r="T677">
        <v>-64920.3149305857</v>
      </c>
      <c r="U677">
        <v>1035628.60852231</v>
      </c>
      <c r="V677">
        <v>64652.922616231299</v>
      </c>
    </row>
    <row r="678" spans="1:22" x14ac:dyDescent="0.3">
      <c r="A678" t="str">
        <f t="shared" si="20"/>
        <v>VSPTPrevisão</v>
      </c>
      <c r="B678" t="str">
        <f t="shared" si="21"/>
        <v>VSPTPrevisãoDez-2022</v>
      </c>
      <c r="C678" t="s">
        <v>648</v>
      </c>
      <c r="D678" t="s">
        <v>649</v>
      </c>
      <c r="E678" t="s">
        <v>629</v>
      </c>
      <c r="F678" t="s">
        <v>736</v>
      </c>
      <c r="G678" t="s">
        <v>737</v>
      </c>
      <c r="H678" t="s">
        <v>738</v>
      </c>
      <c r="I678" t="s">
        <v>739</v>
      </c>
      <c r="J678" t="s">
        <v>739</v>
      </c>
      <c r="K678" s="2">
        <v>44925</v>
      </c>
      <c r="L678">
        <v>-118404.794584483</v>
      </c>
      <c r="M678">
        <v>9025039.3850265909</v>
      </c>
      <c r="N678">
        <v>830765.65019962902</v>
      </c>
      <c r="O678">
        <v>295052.37229403801</v>
      </c>
      <c r="P678">
        <v>-9025039.3850265909</v>
      </c>
      <c r="Q678">
        <v>-1090999.9494103401</v>
      </c>
      <c r="R678">
        <v>133025.72981920099</v>
      </c>
      <c r="S678">
        <v>16694.694592982702</v>
      </c>
      <c r="T678">
        <v>0</v>
      </c>
      <c r="U678">
        <v>3361306.4982586298</v>
      </c>
      <c r="V678">
        <v>912985.22943714994</v>
      </c>
    </row>
    <row r="679" spans="1:22" x14ac:dyDescent="0.3">
      <c r="A679" t="str">
        <f t="shared" si="20"/>
        <v>VSPTPrevisão</v>
      </c>
      <c r="B679" t="str">
        <f t="shared" si="21"/>
        <v>VSPTPrevisãoMar-2023</v>
      </c>
      <c r="C679" t="s">
        <v>648</v>
      </c>
      <c r="D679" t="s">
        <v>649</v>
      </c>
      <c r="E679" t="s">
        <v>629</v>
      </c>
      <c r="F679" t="s">
        <v>736</v>
      </c>
      <c r="G679" t="s">
        <v>737</v>
      </c>
      <c r="H679" t="s">
        <v>738</v>
      </c>
      <c r="I679" t="s">
        <v>739</v>
      </c>
      <c r="J679" t="s">
        <v>739</v>
      </c>
      <c r="K679" s="2">
        <v>45015</v>
      </c>
      <c r="L679">
        <v>-130707.698967852</v>
      </c>
      <c r="M679">
        <v>9038898.3322182</v>
      </c>
      <c r="N679">
        <v>855238.63191322505</v>
      </c>
      <c r="O679">
        <v>301967.94810664997</v>
      </c>
      <c r="P679">
        <v>-9038898.3322182</v>
      </c>
      <c r="Q679">
        <v>-1045409.00144099</v>
      </c>
      <c r="R679">
        <v>138889.445130387</v>
      </c>
      <c r="S679">
        <v>17348.659740712901</v>
      </c>
      <c r="T679">
        <v>0</v>
      </c>
      <c r="U679">
        <v>2853182.6734832502</v>
      </c>
      <c r="V679">
        <v>965443.37319588102</v>
      </c>
    </row>
    <row r="680" spans="1:22" x14ac:dyDescent="0.3">
      <c r="A680" t="str">
        <f t="shared" si="20"/>
        <v>VSPTPrevisão</v>
      </c>
      <c r="B680" t="str">
        <f t="shared" si="21"/>
        <v>VSPTPrevisãoJun-2023</v>
      </c>
      <c r="C680" t="s">
        <v>648</v>
      </c>
      <c r="D680" t="s">
        <v>649</v>
      </c>
      <c r="E680" t="s">
        <v>629</v>
      </c>
      <c r="F680" t="s">
        <v>736</v>
      </c>
      <c r="G680" t="s">
        <v>737</v>
      </c>
      <c r="H680" t="s">
        <v>738</v>
      </c>
      <c r="I680" t="s">
        <v>739</v>
      </c>
      <c r="J680" t="s">
        <v>739</v>
      </c>
      <c r="K680" s="2">
        <v>45107</v>
      </c>
      <c r="L680">
        <v>-143588.57100485399</v>
      </c>
      <c r="M680">
        <v>9025353.6911372002</v>
      </c>
      <c r="N680">
        <v>881560.844703865</v>
      </c>
      <c r="O680">
        <v>311251.25818048202</v>
      </c>
      <c r="P680">
        <v>-9025353.6911372002</v>
      </c>
      <c r="Q680">
        <v>-988570.26574788895</v>
      </c>
      <c r="R680">
        <v>145144.559501082</v>
      </c>
      <c r="S680">
        <v>18143.9225327563</v>
      </c>
      <c r="T680">
        <v>0</v>
      </c>
      <c r="U680">
        <v>2262640.8671496701</v>
      </c>
      <c r="V680">
        <v>1022056.33752461</v>
      </c>
    </row>
    <row r="681" spans="1:22" x14ac:dyDescent="0.3">
      <c r="A681" t="str">
        <f t="shared" si="20"/>
        <v>VSPTPrevisão</v>
      </c>
      <c r="B681" t="str">
        <f t="shared" si="21"/>
        <v>VSPTPrevisãoSet-2023</v>
      </c>
      <c r="C681" t="s">
        <v>648</v>
      </c>
      <c r="D681" t="s">
        <v>649</v>
      </c>
      <c r="E681" t="s">
        <v>629</v>
      </c>
      <c r="F681" t="s">
        <v>736</v>
      </c>
      <c r="G681" t="s">
        <v>737</v>
      </c>
      <c r="H681" t="s">
        <v>738</v>
      </c>
      <c r="I681" t="s">
        <v>739</v>
      </c>
      <c r="J681" t="s">
        <v>739</v>
      </c>
      <c r="K681" s="2">
        <v>45199</v>
      </c>
      <c r="L681">
        <v>-157045.273012199</v>
      </c>
      <c r="M681">
        <v>8982941.35132128</v>
      </c>
      <c r="N681">
        <v>909848.52140703995</v>
      </c>
      <c r="O681">
        <v>323089.18781953101</v>
      </c>
      <c r="P681">
        <v>-8982941.35132128</v>
      </c>
      <c r="Q681">
        <v>-919875.39308650605</v>
      </c>
      <c r="R681">
        <v>151809.20010715001</v>
      </c>
      <c r="S681">
        <v>19090.495602933599</v>
      </c>
      <c r="T681">
        <v>0</v>
      </c>
      <c r="U681">
        <v>1585494.53419234</v>
      </c>
      <c r="V681">
        <v>1083014.6803842699</v>
      </c>
    </row>
    <row r="682" spans="1:22" x14ac:dyDescent="0.3">
      <c r="A682" t="str">
        <f t="shared" si="20"/>
        <v>ECORPrevisão</v>
      </c>
      <c r="B682" t="str">
        <f t="shared" si="21"/>
        <v>ECORPrevisãoDez-2022</v>
      </c>
      <c r="C682" t="s">
        <v>630</v>
      </c>
      <c r="D682" t="s">
        <v>631</v>
      </c>
      <c r="E682" t="s">
        <v>629</v>
      </c>
      <c r="F682" t="s">
        <v>736</v>
      </c>
      <c r="G682" t="s">
        <v>737</v>
      </c>
      <c r="H682" t="s">
        <v>738</v>
      </c>
      <c r="I682" t="s">
        <v>739</v>
      </c>
      <c r="J682" t="s">
        <v>739</v>
      </c>
      <c r="K682" s="2">
        <v>44925</v>
      </c>
      <c r="L682">
        <v>134807.06875474699</v>
      </c>
      <c r="M682">
        <v>4103162.0257195001</v>
      </c>
      <c r="N682">
        <v>443683.287327144</v>
      </c>
      <c r="O682">
        <v>1174.0049231826399</v>
      </c>
      <c r="P682">
        <v>-4103162.0257195001</v>
      </c>
      <c r="Q682">
        <v>-429492.97164910898</v>
      </c>
      <c r="R682">
        <v>2108.93345216954</v>
      </c>
      <c r="S682">
        <v>254.88727612264401</v>
      </c>
      <c r="T682">
        <v>78041.756472277004</v>
      </c>
      <c r="U682">
        <v>3170675.90238446</v>
      </c>
      <c r="V682">
        <v>156675.41804598601</v>
      </c>
    </row>
    <row r="683" spans="1:22" x14ac:dyDescent="0.3">
      <c r="A683" t="str">
        <f t="shared" si="20"/>
        <v>ECORPrevisão</v>
      </c>
      <c r="B683" t="str">
        <f t="shared" si="21"/>
        <v>ECORPrevisãoMar-2023</v>
      </c>
      <c r="C683" t="s">
        <v>630</v>
      </c>
      <c r="D683" t="s">
        <v>631</v>
      </c>
      <c r="E683" t="s">
        <v>629</v>
      </c>
      <c r="F683" t="s">
        <v>736</v>
      </c>
      <c r="G683" t="s">
        <v>737</v>
      </c>
      <c r="H683" t="s">
        <v>738</v>
      </c>
      <c r="I683" t="s">
        <v>739</v>
      </c>
      <c r="J683" t="s">
        <v>739</v>
      </c>
      <c r="K683" s="2">
        <v>45015</v>
      </c>
      <c r="L683">
        <v>154771.54445656599</v>
      </c>
      <c r="M683">
        <v>4499088.73010155</v>
      </c>
      <c r="N683">
        <v>464322.70695839298</v>
      </c>
      <c r="O683">
        <v>-1863.6599953652301</v>
      </c>
      <c r="P683">
        <v>-4499088.73010155</v>
      </c>
      <c r="Q683">
        <v>-381733.18313710199</v>
      </c>
      <c r="R683">
        <v>585.37844490893997</v>
      </c>
      <c r="S683">
        <v>241.663193369178</v>
      </c>
      <c r="T683">
        <v>89023.607765121997</v>
      </c>
      <c r="U683">
        <v>3722486.6744200201</v>
      </c>
      <c r="V683">
        <v>177681.42909217</v>
      </c>
    </row>
    <row r="684" spans="1:22" x14ac:dyDescent="0.3">
      <c r="A684" t="str">
        <f t="shared" si="20"/>
        <v>ECORPrevisão</v>
      </c>
      <c r="B684" t="str">
        <f t="shared" si="21"/>
        <v>ECORPrevisãoJun-2023</v>
      </c>
      <c r="C684" t="s">
        <v>630</v>
      </c>
      <c r="D684" t="s">
        <v>631</v>
      </c>
      <c r="E684" t="s">
        <v>629</v>
      </c>
      <c r="F684" t="s">
        <v>736</v>
      </c>
      <c r="G684" t="s">
        <v>737</v>
      </c>
      <c r="H684" t="s">
        <v>738</v>
      </c>
      <c r="I684" t="s">
        <v>739</v>
      </c>
      <c r="J684" t="s">
        <v>739</v>
      </c>
      <c r="K684" s="2">
        <v>45107</v>
      </c>
      <c r="L684">
        <v>176122.00434127101</v>
      </c>
      <c r="M684">
        <v>4937581.5825224398</v>
      </c>
      <c r="N684">
        <v>485028.76586379198</v>
      </c>
      <c r="O684">
        <v>-5339.9191988016501</v>
      </c>
      <c r="P684">
        <v>-4937581.5825224398</v>
      </c>
      <c r="Q684">
        <v>-326387.18328738102</v>
      </c>
      <c r="R684">
        <v>-1081.3893109451799</v>
      </c>
      <c r="S684">
        <v>231.92418549397999</v>
      </c>
      <c r="T684">
        <v>102538.962199039</v>
      </c>
      <c r="U684">
        <v>4337921.9728651904</v>
      </c>
      <c r="V684">
        <v>200876.37316756</v>
      </c>
    </row>
    <row r="685" spans="1:22" x14ac:dyDescent="0.3">
      <c r="A685" t="str">
        <f t="shared" si="20"/>
        <v>ECORPrevisão</v>
      </c>
      <c r="B685" t="str">
        <f t="shared" si="21"/>
        <v>ECORPrevisãoSet-2023</v>
      </c>
      <c r="C685" t="s">
        <v>630</v>
      </c>
      <c r="D685" t="s">
        <v>631</v>
      </c>
      <c r="E685" t="s">
        <v>629</v>
      </c>
      <c r="F685" t="s">
        <v>736</v>
      </c>
      <c r="G685" t="s">
        <v>737</v>
      </c>
      <c r="H685" t="s">
        <v>738</v>
      </c>
      <c r="I685" t="s">
        <v>739</v>
      </c>
      <c r="J685" t="s">
        <v>739</v>
      </c>
      <c r="K685" s="2">
        <v>45199</v>
      </c>
      <c r="L685">
        <v>198881.245617707</v>
      </c>
      <c r="M685">
        <v>5420575.3522817902</v>
      </c>
      <c r="N685">
        <v>505725.003012912</v>
      </c>
      <c r="O685">
        <v>-9276.7601082439996</v>
      </c>
      <c r="P685">
        <v>-5420575.3522817902</v>
      </c>
      <c r="Q685">
        <v>-263079.18064796802</v>
      </c>
      <c r="R685">
        <v>-2896.4139182976</v>
      </c>
      <c r="S685">
        <v>226.024476430221</v>
      </c>
      <c r="T685">
        <v>118693.222976056</v>
      </c>
      <c r="U685">
        <v>5019818.4316344699</v>
      </c>
      <c r="V685">
        <v>226350.051134482</v>
      </c>
    </row>
    <row r="686" spans="1:22" x14ac:dyDescent="0.3">
      <c r="A686" t="str">
        <f t="shared" si="20"/>
        <v>BBMLPrevisão</v>
      </c>
      <c r="B686" t="str">
        <f t="shared" si="21"/>
        <v>BBMLPrevisãoDez-2022</v>
      </c>
      <c r="C686" t="s">
        <v>627</v>
      </c>
      <c r="D686" t="s">
        <v>628</v>
      </c>
      <c r="E686" t="s">
        <v>629</v>
      </c>
      <c r="F686" t="s">
        <v>736</v>
      </c>
      <c r="G686" t="s">
        <v>737</v>
      </c>
      <c r="H686" t="s">
        <v>738</v>
      </c>
      <c r="I686" t="s">
        <v>739</v>
      </c>
      <c r="J686" t="s">
        <v>739</v>
      </c>
      <c r="K686" s="2">
        <v>44925</v>
      </c>
      <c r="L686">
        <v>-31492.496703296001</v>
      </c>
      <c r="M686">
        <v>934096.02857143001</v>
      </c>
      <c r="N686">
        <v>241213.19194138999</v>
      </c>
      <c r="O686">
        <v>202873.78168497901</v>
      </c>
      <c r="P686">
        <v>-934096.02857143001</v>
      </c>
      <c r="Q686">
        <v>-374285.49157509301</v>
      </c>
      <c r="R686">
        <v>64548.252014651203</v>
      </c>
      <c r="S686">
        <v>6390.3069597068097</v>
      </c>
      <c r="T686">
        <v>46120.777289377002</v>
      </c>
      <c r="U686">
        <v>59022.957509158303</v>
      </c>
      <c r="V686">
        <v>220973.27912087599</v>
      </c>
    </row>
    <row r="687" spans="1:22" x14ac:dyDescent="0.3">
      <c r="A687" t="str">
        <f t="shared" si="20"/>
        <v>BBMLPrevisão</v>
      </c>
      <c r="B687" t="str">
        <f t="shared" si="21"/>
        <v>BBMLPrevisãoMar-2023</v>
      </c>
      <c r="C687" t="s">
        <v>627</v>
      </c>
      <c r="D687" t="s">
        <v>628</v>
      </c>
      <c r="E687" t="s">
        <v>629</v>
      </c>
      <c r="F687" t="s">
        <v>736</v>
      </c>
      <c r="G687" t="s">
        <v>737</v>
      </c>
      <c r="H687" t="s">
        <v>738</v>
      </c>
      <c r="I687" t="s">
        <v>739</v>
      </c>
      <c r="J687" t="s">
        <v>739</v>
      </c>
      <c r="K687" s="2">
        <v>45015</v>
      </c>
      <c r="L687">
        <v>-45761.851098900101</v>
      </c>
      <c r="M687">
        <v>921544.46813187003</v>
      </c>
      <c r="N687">
        <v>228596.04084248701</v>
      </c>
      <c r="O687">
        <v>225293.55641025401</v>
      </c>
      <c r="P687">
        <v>-921544.46813187003</v>
      </c>
      <c r="Q687">
        <v>-358426.92838828202</v>
      </c>
      <c r="R687">
        <v>69812.647619046897</v>
      </c>
      <c r="S687">
        <v>1456.32619047617</v>
      </c>
      <c r="T687">
        <v>47967.799267398797</v>
      </c>
      <c r="U687">
        <v>21316.056410257599</v>
      </c>
      <c r="V687">
        <v>241222.07032966599</v>
      </c>
    </row>
    <row r="688" spans="1:22" x14ac:dyDescent="0.3">
      <c r="A688" t="str">
        <f t="shared" si="20"/>
        <v>BBMLPrevisão</v>
      </c>
      <c r="B688" t="str">
        <f t="shared" si="21"/>
        <v>BBMLPrevisãoJun-2023</v>
      </c>
      <c r="C688" t="s">
        <v>627</v>
      </c>
      <c r="D688" t="s">
        <v>628</v>
      </c>
      <c r="E688" t="s">
        <v>629</v>
      </c>
      <c r="F688" t="s">
        <v>736</v>
      </c>
      <c r="G688" t="s">
        <v>737</v>
      </c>
      <c r="H688" t="s">
        <v>738</v>
      </c>
      <c r="I688" t="s">
        <v>739</v>
      </c>
      <c r="J688" t="s">
        <v>739</v>
      </c>
      <c r="K688" s="2">
        <v>45107</v>
      </c>
      <c r="L688">
        <v>-63084.887621200898</v>
      </c>
      <c r="M688">
        <v>887865.396056887</v>
      </c>
      <c r="N688">
        <v>209632.63441068301</v>
      </c>
      <c r="O688">
        <v>250675.57628743499</v>
      </c>
      <c r="P688">
        <v>-887865.396056887</v>
      </c>
      <c r="Q688">
        <v>-328419.163682402</v>
      </c>
      <c r="R688">
        <v>74728.897295840696</v>
      </c>
      <c r="S688">
        <v>-5047.0983408745997</v>
      </c>
      <c r="T688">
        <v>49371.493837534297</v>
      </c>
      <c r="U688">
        <v>-25483.629918119299</v>
      </c>
      <c r="V688">
        <v>264042.69104718301</v>
      </c>
    </row>
    <row r="689" spans="1:22" x14ac:dyDescent="0.3">
      <c r="A689" t="str">
        <f t="shared" si="20"/>
        <v>BBMLPrevisão</v>
      </c>
      <c r="B689" t="str">
        <f t="shared" si="21"/>
        <v>BBMLPrevisãoSet-2023</v>
      </c>
      <c r="C689" t="s">
        <v>627</v>
      </c>
      <c r="D689" t="s">
        <v>628</v>
      </c>
      <c r="E689" t="s">
        <v>629</v>
      </c>
      <c r="F689" t="s">
        <v>736</v>
      </c>
      <c r="G689" t="s">
        <v>737</v>
      </c>
      <c r="H689" t="s">
        <v>738</v>
      </c>
      <c r="I689" t="s">
        <v>739</v>
      </c>
      <c r="J689" t="s">
        <v>739</v>
      </c>
      <c r="K689" s="2">
        <v>45199</v>
      </c>
      <c r="L689">
        <v>-83735.088547724794</v>
      </c>
      <c r="M689">
        <v>830626.48089851602</v>
      </c>
      <c r="N689">
        <v>183722.81100695999</v>
      </c>
      <c r="O689">
        <v>279256.74277454201</v>
      </c>
      <c r="P689">
        <v>-830626.48089851602</v>
      </c>
      <c r="Q689">
        <v>-282515.52651728399</v>
      </c>
      <c r="R689">
        <v>79195.144207425998</v>
      </c>
      <c r="S689">
        <v>-13292.1066544561</v>
      </c>
      <c r="T689">
        <v>50277.0245241675</v>
      </c>
      <c r="U689">
        <v>-82172.878750985299</v>
      </c>
      <c r="V689">
        <v>289650.450851103</v>
      </c>
    </row>
    <row r="690" spans="1:22" x14ac:dyDescent="0.3">
      <c r="A690" t="str">
        <f t="shared" si="20"/>
        <v>ALPKPrevisão</v>
      </c>
      <c r="B690" t="str">
        <f t="shared" si="21"/>
        <v>ALPKPrevisãoDez-2022</v>
      </c>
      <c r="C690" t="s">
        <v>646</v>
      </c>
      <c r="D690" t="s">
        <v>647</v>
      </c>
      <c r="E690" t="s">
        <v>629</v>
      </c>
      <c r="F690" t="s">
        <v>736</v>
      </c>
      <c r="G690" t="s">
        <v>737</v>
      </c>
      <c r="H690" t="s">
        <v>738</v>
      </c>
      <c r="I690" t="s">
        <v>739</v>
      </c>
      <c r="J690" t="s">
        <v>739</v>
      </c>
      <c r="K690" s="2">
        <v>44925</v>
      </c>
      <c r="L690">
        <v>-51546.492063492398</v>
      </c>
      <c r="M690">
        <v>1814537.2142857099</v>
      </c>
      <c r="N690">
        <v>336073.05555555999</v>
      </c>
      <c r="O690">
        <v>36244.619047619599</v>
      </c>
      <c r="P690">
        <v>-1814537.2142857099</v>
      </c>
      <c r="Q690">
        <v>-306510.93650793697</v>
      </c>
      <c r="R690">
        <v>48585.6825396821</v>
      </c>
      <c r="S690">
        <v>14050.9126984126</v>
      </c>
      <c r="T690">
        <v>-940.44444444443195</v>
      </c>
      <c r="U690">
        <v>606226.142857144</v>
      </c>
      <c r="V690">
        <v>149654.02380951701</v>
      </c>
    </row>
    <row r="691" spans="1:22" x14ac:dyDescent="0.3">
      <c r="A691" t="str">
        <f t="shared" si="20"/>
        <v>ALPKPrevisão</v>
      </c>
      <c r="B691" t="str">
        <f t="shared" si="21"/>
        <v>ALPKPrevisãoMar-2023</v>
      </c>
      <c r="C691" t="s">
        <v>646</v>
      </c>
      <c r="D691" t="s">
        <v>647</v>
      </c>
      <c r="E691" t="s">
        <v>629</v>
      </c>
      <c r="F691" t="s">
        <v>736</v>
      </c>
      <c r="G691" t="s">
        <v>737</v>
      </c>
      <c r="H691" t="s">
        <v>738</v>
      </c>
      <c r="I691" t="s">
        <v>739</v>
      </c>
      <c r="J691" t="s">
        <v>739</v>
      </c>
      <c r="K691" s="2">
        <v>45015</v>
      </c>
      <c r="L691">
        <v>-82423.587301587293</v>
      </c>
      <c r="M691">
        <v>2489161.8095237999</v>
      </c>
      <c r="N691">
        <v>542624.55555556202</v>
      </c>
      <c r="O691">
        <v>22047.023809524399</v>
      </c>
      <c r="P691">
        <v>-2489161.8095237999</v>
      </c>
      <c r="Q691">
        <v>-257402.365079365</v>
      </c>
      <c r="R691">
        <v>65437.158730158102</v>
      </c>
      <c r="S691">
        <v>15797.293650793499</v>
      </c>
      <c r="T691">
        <v>-1645.7777777777501</v>
      </c>
      <c r="U691">
        <v>816954.26190476399</v>
      </c>
      <c r="V691">
        <v>78165.071428562893</v>
      </c>
    </row>
    <row r="692" spans="1:22" x14ac:dyDescent="0.3">
      <c r="A692" t="str">
        <f t="shared" si="20"/>
        <v>ALPKPrevisão</v>
      </c>
      <c r="B692" t="str">
        <f t="shared" si="21"/>
        <v>ALPKPrevisãoJun-2023</v>
      </c>
      <c r="C692" t="s">
        <v>646</v>
      </c>
      <c r="D692" t="s">
        <v>647</v>
      </c>
      <c r="E692" t="s">
        <v>629</v>
      </c>
      <c r="F692" t="s">
        <v>736</v>
      </c>
      <c r="G692" t="s">
        <v>737</v>
      </c>
      <c r="H692" t="s">
        <v>738</v>
      </c>
      <c r="I692" t="s">
        <v>739</v>
      </c>
      <c r="J692" t="s">
        <v>739</v>
      </c>
      <c r="K692" s="2">
        <v>45107</v>
      </c>
      <c r="L692">
        <v>-133662.048340548</v>
      </c>
      <c r="M692">
        <v>3478921.92207791</v>
      </c>
      <c r="N692">
        <v>841811.37373738305</v>
      </c>
      <c r="O692">
        <v>4411.8658008664697</v>
      </c>
      <c r="P692">
        <v>-3478921.92207791</v>
      </c>
      <c r="Q692">
        <v>-196917.432178933</v>
      </c>
      <c r="R692">
        <v>88906.812409811493</v>
      </c>
      <c r="S692">
        <v>18015.4256854255</v>
      </c>
      <c r="T692">
        <v>-2607.5959595959298</v>
      </c>
      <c r="U692">
        <v>1144814.94805195</v>
      </c>
      <c r="V692">
        <v>-39412.826839837799</v>
      </c>
    </row>
    <row r="693" spans="1:22" x14ac:dyDescent="0.3">
      <c r="A693" t="str">
        <f t="shared" si="20"/>
        <v>ALPKPrevisão</v>
      </c>
      <c r="B693" t="str">
        <f t="shared" si="21"/>
        <v>ALPKPrevisãoSet-2023</v>
      </c>
      <c r="C693" t="s">
        <v>646</v>
      </c>
      <c r="D693" t="s">
        <v>647</v>
      </c>
      <c r="E693" t="s">
        <v>629</v>
      </c>
      <c r="F693" t="s">
        <v>736</v>
      </c>
      <c r="G693" t="s">
        <v>737</v>
      </c>
      <c r="H693" t="s">
        <v>738</v>
      </c>
      <c r="I693" t="s">
        <v>739</v>
      </c>
      <c r="J693" t="s">
        <v>739</v>
      </c>
      <c r="K693" s="2">
        <v>45199</v>
      </c>
      <c r="L693">
        <v>-209279.65800865699</v>
      </c>
      <c r="M693">
        <v>4833354.4155844003</v>
      </c>
      <c r="N693">
        <v>1248354.9393939499</v>
      </c>
      <c r="O693">
        <v>-16796.415584414899</v>
      </c>
      <c r="P693">
        <v>-4833354.4155844003</v>
      </c>
      <c r="Q693">
        <v>-124179.900432902</v>
      </c>
      <c r="R693">
        <v>120009.956709955</v>
      </c>
      <c r="S693">
        <v>20785.450216449899</v>
      </c>
      <c r="T693">
        <v>-3863.30303030298</v>
      </c>
      <c r="U693">
        <v>1610325.8528138499</v>
      </c>
      <c r="V693">
        <v>-211839.12554113899</v>
      </c>
    </row>
    <row r="694" spans="1:22" x14ac:dyDescent="0.3">
      <c r="A694" t="str">
        <f t="shared" si="20"/>
        <v>VULCPrevisão</v>
      </c>
      <c r="B694" t="str">
        <f t="shared" si="21"/>
        <v>VULCPrevisãoDez-2022</v>
      </c>
      <c r="C694" t="s">
        <v>686</v>
      </c>
      <c r="D694" t="s">
        <v>687</v>
      </c>
      <c r="E694" t="s">
        <v>667</v>
      </c>
      <c r="F694" t="s">
        <v>736</v>
      </c>
      <c r="G694" t="s">
        <v>737</v>
      </c>
      <c r="H694" t="s">
        <v>738</v>
      </c>
      <c r="I694" t="s">
        <v>739</v>
      </c>
      <c r="J694" t="s">
        <v>739</v>
      </c>
      <c r="K694" s="2">
        <v>44925</v>
      </c>
      <c r="L694">
        <v>95956.069094328705</v>
      </c>
      <c r="M694">
        <v>1908685.4247516501</v>
      </c>
      <c r="N694">
        <v>78729.336813512695</v>
      </c>
      <c r="O694">
        <v>1.8394024276374601</v>
      </c>
      <c r="P694">
        <v>-1908685.4247516501</v>
      </c>
      <c r="Q694">
        <v>-22055.851795265298</v>
      </c>
      <c r="R694">
        <v>-426.74042950438502</v>
      </c>
      <c r="S694">
        <v>25.075290722369601</v>
      </c>
      <c r="T694">
        <v>168668.215686204</v>
      </c>
      <c r="U694">
        <v>1528150.9742815599</v>
      </c>
      <c r="V694">
        <v>98654.295051396301</v>
      </c>
    </row>
    <row r="695" spans="1:22" x14ac:dyDescent="0.3">
      <c r="A695" t="str">
        <f t="shared" si="20"/>
        <v>VULCPrevisão</v>
      </c>
      <c r="B695" t="str">
        <f t="shared" si="21"/>
        <v>VULCPrevisãoMar-2023</v>
      </c>
      <c r="C695" t="s">
        <v>686</v>
      </c>
      <c r="D695" t="s">
        <v>687</v>
      </c>
      <c r="E695" t="s">
        <v>667</v>
      </c>
      <c r="F695" t="s">
        <v>736</v>
      </c>
      <c r="G695" t="s">
        <v>737</v>
      </c>
      <c r="H695" t="s">
        <v>738</v>
      </c>
      <c r="I695" t="s">
        <v>739</v>
      </c>
      <c r="J695" t="s">
        <v>739</v>
      </c>
      <c r="K695" s="2">
        <v>45015</v>
      </c>
      <c r="L695">
        <v>104482.872031729</v>
      </c>
      <c r="M695">
        <v>1997781.2913301999</v>
      </c>
      <c r="N695">
        <v>88257.134747428194</v>
      </c>
      <c r="O695">
        <v>2.6415070532717602</v>
      </c>
      <c r="P695">
        <v>-1997781.2913301999</v>
      </c>
      <c r="Q695">
        <v>-25544.700163113899</v>
      </c>
      <c r="R695">
        <v>-592.37045448731305</v>
      </c>
      <c r="S695">
        <v>-61.101517101519498</v>
      </c>
      <c r="T695">
        <v>185328.630176312</v>
      </c>
      <c r="U695">
        <v>1540965.3332655099</v>
      </c>
      <c r="V695">
        <v>107598.752921042</v>
      </c>
    </row>
    <row r="696" spans="1:22" x14ac:dyDescent="0.3">
      <c r="A696" t="str">
        <f t="shared" si="20"/>
        <v>VULCPrevisão</v>
      </c>
      <c r="B696" t="str">
        <f t="shared" si="21"/>
        <v>VULCPrevisãoJun-2023</v>
      </c>
      <c r="C696" t="s">
        <v>686</v>
      </c>
      <c r="D696" t="s">
        <v>687</v>
      </c>
      <c r="E696" t="s">
        <v>667</v>
      </c>
      <c r="F696" t="s">
        <v>736</v>
      </c>
      <c r="G696" t="s">
        <v>737</v>
      </c>
      <c r="H696" t="s">
        <v>738</v>
      </c>
      <c r="I696" t="s">
        <v>739</v>
      </c>
      <c r="J696" t="s">
        <v>739</v>
      </c>
      <c r="K696" s="2">
        <v>45107</v>
      </c>
      <c r="L696">
        <v>113627.344847325</v>
      </c>
      <c r="M696">
        <v>2085264.5269915899</v>
      </c>
      <c r="N696">
        <v>98478.8900520069</v>
      </c>
      <c r="O696">
        <v>3.5718137420927198</v>
      </c>
      <c r="P696">
        <v>-2085264.5269915899</v>
      </c>
      <c r="Q696">
        <v>-29355.1521175415</v>
      </c>
      <c r="R696">
        <v>-780.97495859332605</v>
      </c>
      <c r="S696">
        <v>-159.45938423650099</v>
      </c>
      <c r="T696">
        <v>201993.25381807401</v>
      </c>
      <c r="U696">
        <v>1542282.0861696601</v>
      </c>
      <c r="V696">
        <v>117196.35016137399</v>
      </c>
    </row>
    <row r="697" spans="1:22" x14ac:dyDescent="0.3">
      <c r="A697" t="str">
        <f t="shared" si="20"/>
        <v>VULCPrevisão</v>
      </c>
      <c r="B697" t="str">
        <f t="shared" si="21"/>
        <v>VULCPrevisãoSet-2023</v>
      </c>
      <c r="C697" t="s">
        <v>686</v>
      </c>
      <c r="D697" t="s">
        <v>687</v>
      </c>
      <c r="E697" t="s">
        <v>667</v>
      </c>
      <c r="F697" t="s">
        <v>736</v>
      </c>
      <c r="G697" t="s">
        <v>737</v>
      </c>
      <c r="H697" t="s">
        <v>738</v>
      </c>
      <c r="I697" t="s">
        <v>739</v>
      </c>
      <c r="J697" t="s">
        <v>739</v>
      </c>
      <c r="K697" s="2">
        <v>45199</v>
      </c>
      <c r="L697">
        <v>123422.21054537701</v>
      </c>
      <c r="M697">
        <v>2170789.5789611801</v>
      </c>
      <c r="N697">
        <v>109417.469830143</v>
      </c>
      <c r="O697">
        <v>4.6373926745450902</v>
      </c>
      <c r="P697">
        <v>-2170789.5789611801</v>
      </c>
      <c r="Q697">
        <v>-33497.178716748102</v>
      </c>
      <c r="R697">
        <v>-993.858640424344</v>
      </c>
      <c r="S697">
        <v>-270.61200476376501</v>
      </c>
      <c r="T697">
        <v>218582.17723795999</v>
      </c>
      <c r="U697">
        <v>1531251.7934018101</v>
      </c>
      <c r="V697">
        <v>127481.03355008199</v>
      </c>
    </row>
    <row r="698" spans="1:22" x14ac:dyDescent="0.3">
      <c r="A698" t="str">
        <f t="shared" si="20"/>
        <v>TFCOPrevisão</v>
      </c>
      <c r="B698" t="str">
        <f t="shared" si="21"/>
        <v>TFCOPrevisãoDez-2022</v>
      </c>
      <c r="C698" t="s">
        <v>684</v>
      </c>
      <c r="D698" t="s">
        <v>685</v>
      </c>
      <c r="E698" t="s">
        <v>667</v>
      </c>
      <c r="F698" t="s">
        <v>736</v>
      </c>
      <c r="G698" t="s">
        <v>737</v>
      </c>
      <c r="H698" t="s">
        <v>738</v>
      </c>
      <c r="I698" t="s">
        <v>739</v>
      </c>
      <c r="J698" t="s">
        <v>739</v>
      </c>
      <c r="K698" s="2">
        <v>44925</v>
      </c>
      <c r="L698">
        <v>20352.214285714501</v>
      </c>
      <c r="M698">
        <v>492386.13492063602</v>
      </c>
      <c r="N698">
        <v>316630.94444444397</v>
      </c>
      <c r="O698">
        <v>81670.047619046803</v>
      </c>
      <c r="P698">
        <v>-492386.13492063602</v>
      </c>
      <c r="Q698">
        <v>-140596.26190476099</v>
      </c>
      <c r="R698">
        <v>22072.690476190401</v>
      </c>
      <c r="S698">
        <v>9830.1111111111804</v>
      </c>
      <c r="T698">
        <v>85908.261904762199</v>
      </c>
      <c r="U698">
        <v>260206.579365079</v>
      </c>
      <c r="V698">
        <v>82294.5555555553</v>
      </c>
    </row>
    <row r="699" spans="1:22" x14ac:dyDescent="0.3">
      <c r="A699" t="str">
        <f t="shared" si="20"/>
        <v>TFCOPrevisão</v>
      </c>
      <c r="B699" t="str">
        <f t="shared" si="21"/>
        <v>TFCOPrevisãoMar-2023</v>
      </c>
      <c r="C699" t="s">
        <v>684</v>
      </c>
      <c r="D699" t="s">
        <v>685</v>
      </c>
      <c r="E699" t="s">
        <v>667</v>
      </c>
      <c r="F699" t="s">
        <v>736</v>
      </c>
      <c r="G699" t="s">
        <v>737</v>
      </c>
      <c r="H699" t="s">
        <v>738</v>
      </c>
      <c r="I699" t="s">
        <v>739</v>
      </c>
      <c r="J699" t="s">
        <v>739</v>
      </c>
      <c r="K699" s="2">
        <v>45015</v>
      </c>
      <c r="L699">
        <v>16145.4761904765</v>
      </c>
      <c r="M699">
        <v>466528.84920635098</v>
      </c>
      <c r="N699">
        <v>295570.94444444397</v>
      </c>
      <c r="O699">
        <v>72907.809523808202</v>
      </c>
      <c r="P699">
        <v>-466528.84920635098</v>
      </c>
      <c r="Q699">
        <v>-201054.61904761801</v>
      </c>
      <c r="R699">
        <v>24596.238095238099</v>
      </c>
      <c r="S699">
        <v>11159.1111111112</v>
      </c>
      <c r="T699">
        <v>69968.119047619504</v>
      </c>
      <c r="U699">
        <v>170974.12698412701</v>
      </c>
      <c r="V699">
        <v>46204.0555555553</v>
      </c>
    </row>
    <row r="700" spans="1:22" x14ac:dyDescent="0.3">
      <c r="A700" t="str">
        <f t="shared" si="20"/>
        <v>TFCOPrevisão</v>
      </c>
      <c r="B700" t="str">
        <f t="shared" si="21"/>
        <v>TFCOPrevisãoJun-2023</v>
      </c>
      <c r="C700" t="s">
        <v>684</v>
      </c>
      <c r="D700" t="s">
        <v>685</v>
      </c>
      <c r="E700" t="s">
        <v>667</v>
      </c>
      <c r="F700" t="s">
        <v>736</v>
      </c>
      <c r="G700" t="s">
        <v>737</v>
      </c>
      <c r="H700" t="s">
        <v>738</v>
      </c>
      <c r="I700" t="s">
        <v>739</v>
      </c>
      <c r="J700" t="s">
        <v>739</v>
      </c>
      <c r="K700" s="2">
        <v>45107</v>
      </c>
      <c r="L700">
        <v>9151.3614718618792</v>
      </c>
      <c r="M700">
        <v>415188.46608946897</v>
      </c>
      <c r="N700">
        <v>255272.444444444</v>
      </c>
      <c r="O700">
        <v>59297.437229435302</v>
      </c>
      <c r="P700">
        <v>-415188.46608946897</v>
      </c>
      <c r="Q700">
        <v>-286424.329004328</v>
      </c>
      <c r="R700">
        <v>27104.461038961101</v>
      </c>
      <c r="S700">
        <v>12367.2929292931</v>
      </c>
      <c r="T700">
        <v>38381.82900433</v>
      </c>
      <c r="U700">
        <v>31512.440836940499</v>
      </c>
      <c r="V700">
        <v>-9835.6565656569092</v>
      </c>
    </row>
    <row r="701" spans="1:22" x14ac:dyDescent="0.3">
      <c r="A701" t="str">
        <f t="shared" si="20"/>
        <v>TFCOPrevisão</v>
      </c>
      <c r="B701" t="str">
        <f t="shared" si="21"/>
        <v>TFCOPrevisãoSet-2023</v>
      </c>
      <c r="C701" t="s">
        <v>684</v>
      </c>
      <c r="D701" t="s">
        <v>685</v>
      </c>
      <c r="E701" t="s">
        <v>667</v>
      </c>
      <c r="F701" t="s">
        <v>736</v>
      </c>
      <c r="G701" t="s">
        <v>737</v>
      </c>
      <c r="H701" t="s">
        <v>738</v>
      </c>
      <c r="I701" t="s">
        <v>739</v>
      </c>
      <c r="J701" t="s">
        <v>739</v>
      </c>
      <c r="K701" s="2">
        <v>45199</v>
      </c>
      <c r="L701">
        <v>-1026.43290043241</v>
      </c>
      <c r="M701">
        <v>334469.84415584698</v>
      </c>
      <c r="N701">
        <v>192704.787878787</v>
      </c>
      <c r="O701">
        <v>40407.142857140003</v>
      </c>
      <c r="P701">
        <v>-334469.84415584698</v>
      </c>
      <c r="Q701">
        <v>-399994.37662337598</v>
      </c>
      <c r="R701">
        <v>29533.722943723002</v>
      </c>
      <c r="S701">
        <v>13388.181818182</v>
      </c>
      <c r="T701">
        <v>-11799.1082251066</v>
      </c>
      <c r="U701">
        <v>-165405.731601732</v>
      </c>
      <c r="V701">
        <v>-89030.757575758005</v>
      </c>
    </row>
    <row r="702" spans="1:22" x14ac:dyDescent="0.3">
      <c r="A702" t="str">
        <f t="shared" si="20"/>
        <v>TXRXPrevisão</v>
      </c>
      <c r="B702" t="str">
        <f t="shared" si="21"/>
        <v>TXRXPrevisãoDez-2022</v>
      </c>
      <c r="C702" t="s">
        <v>694</v>
      </c>
      <c r="D702" t="s">
        <v>695</v>
      </c>
      <c r="E702" t="s">
        <v>667</v>
      </c>
      <c r="F702" t="s">
        <v>736</v>
      </c>
      <c r="G702" t="s">
        <v>737</v>
      </c>
      <c r="H702" t="s">
        <v>738</v>
      </c>
      <c r="I702" t="s">
        <v>739</v>
      </c>
      <c r="J702" t="s">
        <v>739</v>
      </c>
      <c r="K702" s="2">
        <v>44925</v>
      </c>
      <c r="L702">
        <v>-7840.7195484253898</v>
      </c>
      <c r="M702">
        <v>223091.965113329</v>
      </c>
      <c r="N702">
        <v>140559.17188693699</v>
      </c>
      <c r="O702">
        <v>51352.138528141397</v>
      </c>
      <c r="P702">
        <v>-223091.965113329</v>
      </c>
      <c r="Q702">
        <v>-268872.78193702397</v>
      </c>
      <c r="R702">
        <v>9630.6425600555594</v>
      </c>
      <c r="S702">
        <v>42588.472116118799</v>
      </c>
      <c r="T702">
        <v>571</v>
      </c>
      <c r="U702">
        <v>-281696.42152623</v>
      </c>
      <c r="V702">
        <v>59237.136915378404</v>
      </c>
    </row>
    <row r="703" spans="1:22" x14ac:dyDescent="0.3">
      <c r="A703" t="str">
        <f t="shared" si="20"/>
        <v>TXRXPrevisão</v>
      </c>
      <c r="B703" t="str">
        <f t="shared" si="21"/>
        <v>TXRXPrevisãoMar-2023</v>
      </c>
      <c r="C703" t="s">
        <v>694</v>
      </c>
      <c r="D703" t="s">
        <v>695</v>
      </c>
      <c r="E703" t="s">
        <v>667</v>
      </c>
      <c r="F703" t="s">
        <v>736</v>
      </c>
      <c r="G703" t="s">
        <v>737</v>
      </c>
      <c r="H703" t="s">
        <v>738</v>
      </c>
      <c r="I703" t="s">
        <v>739</v>
      </c>
      <c r="J703" t="s">
        <v>739</v>
      </c>
      <c r="K703" s="2">
        <v>45015</v>
      </c>
      <c r="L703">
        <v>-10638.069275539599</v>
      </c>
      <c r="M703">
        <v>220444.73190456</v>
      </c>
      <c r="N703">
        <v>153692.92428027801</v>
      </c>
      <c r="O703">
        <v>55986.815979466599</v>
      </c>
      <c r="P703">
        <v>-220444.73190456</v>
      </c>
      <c r="Q703">
        <v>-249827.105793355</v>
      </c>
      <c r="R703">
        <v>10532.873366875599</v>
      </c>
      <c r="S703">
        <v>39254.071294365101</v>
      </c>
      <c r="T703">
        <v>571</v>
      </c>
      <c r="U703">
        <v>-270708.503729149</v>
      </c>
      <c r="V703">
        <v>64235.144754387104</v>
      </c>
    </row>
    <row r="704" spans="1:22" x14ac:dyDescent="0.3">
      <c r="A704" t="str">
        <f t="shared" si="20"/>
        <v>TXRXPrevisão</v>
      </c>
      <c r="B704" t="str">
        <f t="shared" si="21"/>
        <v>TXRXPrevisãoJun-2023</v>
      </c>
      <c r="C704" t="s">
        <v>694</v>
      </c>
      <c r="D704" t="s">
        <v>695</v>
      </c>
      <c r="E704" t="s">
        <v>667</v>
      </c>
      <c r="F704" t="s">
        <v>736</v>
      </c>
      <c r="G704" t="s">
        <v>737</v>
      </c>
      <c r="H704" t="s">
        <v>738</v>
      </c>
      <c r="I704" t="s">
        <v>739</v>
      </c>
      <c r="J704" t="s">
        <v>739</v>
      </c>
      <c r="K704" s="2">
        <v>45107</v>
      </c>
      <c r="L704">
        <v>-13733.823118522199</v>
      </c>
      <c r="M704">
        <v>216391.90148481299</v>
      </c>
      <c r="N704">
        <v>167908.01301888999</v>
      </c>
      <c r="O704">
        <v>61008.394342197498</v>
      </c>
      <c r="P704">
        <v>-216391.90148481299</v>
      </c>
      <c r="Q704">
        <v>-229110.332648621</v>
      </c>
      <c r="R704">
        <v>11818.279507970199</v>
      </c>
      <c r="S704">
        <v>35535.280022573999</v>
      </c>
      <c r="T704">
        <v>571</v>
      </c>
      <c r="U704">
        <v>-258929.533784792</v>
      </c>
      <c r="V704">
        <v>69566.264332854407</v>
      </c>
    </row>
    <row r="705" spans="1:22" x14ac:dyDescent="0.3">
      <c r="A705" t="str">
        <f t="shared" si="20"/>
        <v>TXRXPrevisão</v>
      </c>
      <c r="B705" t="str">
        <f t="shared" si="21"/>
        <v>TXRXPrevisãoSet-2023</v>
      </c>
      <c r="C705" t="s">
        <v>694</v>
      </c>
      <c r="D705" t="s">
        <v>695</v>
      </c>
      <c r="E705" t="s">
        <v>667</v>
      </c>
      <c r="F705" t="s">
        <v>736</v>
      </c>
      <c r="G705" t="s">
        <v>737</v>
      </c>
      <c r="H705" t="s">
        <v>738</v>
      </c>
      <c r="I705" t="s">
        <v>739</v>
      </c>
      <c r="J705" t="s">
        <v>739</v>
      </c>
      <c r="K705" s="2">
        <v>45199</v>
      </c>
      <c r="L705">
        <v>-17139.290363667202</v>
      </c>
      <c r="M705">
        <v>210828.87319256601</v>
      </c>
      <c r="N705">
        <v>183241.65117620301</v>
      </c>
      <c r="O705">
        <v>66429.999254843598</v>
      </c>
      <c r="P705">
        <v>-210828.87319256601</v>
      </c>
      <c r="Q705">
        <v>-206688.49195122399</v>
      </c>
      <c r="R705">
        <v>13511.758766159701</v>
      </c>
      <c r="S705">
        <v>31417.115566273402</v>
      </c>
      <c r="T705">
        <v>571</v>
      </c>
      <c r="U705">
        <v>-246369.16941784701</v>
      </c>
      <c r="V705">
        <v>75238.412385436895</v>
      </c>
    </row>
    <row r="706" spans="1:22" x14ac:dyDescent="0.3">
      <c r="A706" t="str">
        <f t="shared" ref="A706:A769" si="22">_xlfn.CONCAT(D706,F706)</f>
        <v>TEKAPrevisão</v>
      </c>
      <c r="B706" t="str">
        <f t="shared" ref="B706:B769" si="23">_xlfn.CONCAT(D706,F706,PROPER(TEXT(K706,"mmm-aaaa")))</f>
        <v>TEKAPrevisãoDez-2022</v>
      </c>
      <c r="C706" t="s">
        <v>692</v>
      </c>
      <c r="D706" t="s">
        <v>693</v>
      </c>
      <c r="E706" t="s">
        <v>667</v>
      </c>
      <c r="F706" t="s">
        <v>736</v>
      </c>
      <c r="G706" t="s">
        <v>737</v>
      </c>
      <c r="H706" t="s">
        <v>738</v>
      </c>
      <c r="I706" t="s">
        <v>739</v>
      </c>
      <c r="J706" t="s">
        <v>739</v>
      </c>
      <c r="K706" s="2">
        <v>44925</v>
      </c>
      <c r="L706">
        <v>-27979.696460408999</v>
      </c>
      <c r="M706">
        <v>1127637.59867578</v>
      </c>
      <c r="N706">
        <v>286011.49299721501</v>
      </c>
      <c r="O706">
        <v>51453.428316760699</v>
      </c>
      <c r="P706">
        <v>-1127637.59867578</v>
      </c>
      <c r="Q706">
        <v>-2505286.2839313499</v>
      </c>
      <c r="R706">
        <v>746997.65274593595</v>
      </c>
      <c r="S706">
        <v>414206.25125205697</v>
      </c>
      <c r="T706">
        <v>4594.98098633055</v>
      </c>
      <c r="U706">
        <v>-1822179.56463801</v>
      </c>
      <c r="V706">
        <v>69540.2144979281</v>
      </c>
    </row>
    <row r="707" spans="1:22" x14ac:dyDescent="0.3">
      <c r="A707" t="str">
        <f t="shared" si="22"/>
        <v>TEKAPrevisão</v>
      </c>
      <c r="B707" t="str">
        <f t="shared" si="23"/>
        <v>TEKAPrevisãoMar-2023</v>
      </c>
      <c r="C707" t="s">
        <v>692</v>
      </c>
      <c r="D707" t="s">
        <v>693</v>
      </c>
      <c r="E707" t="s">
        <v>667</v>
      </c>
      <c r="F707" t="s">
        <v>736</v>
      </c>
      <c r="G707" t="s">
        <v>737</v>
      </c>
      <c r="H707" t="s">
        <v>738</v>
      </c>
      <c r="I707" t="s">
        <v>739</v>
      </c>
      <c r="J707" t="s">
        <v>739</v>
      </c>
      <c r="K707" s="2">
        <v>45015</v>
      </c>
      <c r="L707">
        <v>-25125.391186459699</v>
      </c>
      <c r="M707">
        <v>1160885.12019348</v>
      </c>
      <c r="N707">
        <v>364716.69339089701</v>
      </c>
      <c r="O707">
        <v>53215.0314592422</v>
      </c>
      <c r="P707">
        <v>-1160885.12019348</v>
      </c>
      <c r="Q707">
        <v>-2526273.51122814</v>
      </c>
      <c r="R707">
        <v>700534.14781472401</v>
      </c>
      <c r="S707">
        <v>427106.65486805898</v>
      </c>
      <c r="T707">
        <v>4730.1438711403498</v>
      </c>
      <c r="U707">
        <v>-1824354.4211683499</v>
      </c>
      <c r="V707">
        <v>73964.592339481998</v>
      </c>
    </row>
    <row r="708" spans="1:22" x14ac:dyDescent="0.3">
      <c r="A708" t="str">
        <f t="shared" si="22"/>
        <v>TEKAPrevisão</v>
      </c>
      <c r="B708" t="str">
        <f t="shared" si="23"/>
        <v>TEKAPrevisãoJun-2023</v>
      </c>
      <c r="C708" t="s">
        <v>692</v>
      </c>
      <c r="D708" t="s">
        <v>693</v>
      </c>
      <c r="E708" t="s">
        <v>667</v>
      </c>
      <c r="F708" t="s">
        <v>736</v>
      </c>
      <c r="G708" t="s">
        <v>737</v>
      </c>
      <c r="H708" t="s">
        <v>738</v>
      </c>
      <c r="I708" t="s">
        <v>739</v>
      </c>
      <c r="J708" t="s">
        <v>739</v>
      </c>
      <c r="K708" s="2">
        <v>45107</v>
      </c>
      <c r="L708">
        <v>-21966.8394820106</v>
      </c>
      <c r="M708">
        <v>1197761.03489534</v>
      </c>
      <c r="N708">
        <v>454454.40482370299</v>
      </c>
      <c r="O708">
        <v>54951.020950236598</v>
      </c>
      <c r="P708">
        <v>-1197761.03489534</v>
      </c>
      <c r="Q708">
        <v>-2545690.7880482199</v>
      </c>
      <c r="R708">
        <v>645891.59905338497</v>
      </c>
      <c r="S708">
        <v>440847.32214762899</v>
      </c>
      <c r="T708">
        <v>4896.13337880156</v>
      </c>
      <c r="U708">
        <v>-1822533.0909251999</v>
      </c>
      <c r="V708">
        <v>78610.795098148505</v>
      </c>
    </row>
    <row r="709" spans="1:22" x14ac:dyDescent="0.3">
      <c r="A709" t="str">
        <f t="shared" si="22"/>
        <v>TEKAPrevisão</v>
      </c>
      <c r="B709" t="str">
        <f t="shared" si="23"/>
        <v>TEKAPrevisãoSet-2023</v>
      </c>
      <c r="C709" t="s">
        <v>692</v>
      </c>
      <c r="D709" t="s">
        <v>693</v>
      </c>
      <c r="E709" t="s">
        <v>667</v>
      </c>
      <c r="F709" t="s">
        <v>736</v>
      </c>
      <c r="G709" t="s">
        <v>737</v>
      </c>
      <c r="H709" t="s">
        <v>738</v>
      </c>
      <c r="I709" t="s">
        <v>739</v>
      </c>
      <c r="J709" t="s">
        <v>739</v>
      </c>
      <c r="K709" s="2">
        <v>45199</v>
      </c>
      <c r="L709">
        <v>-18493.270736337501</v>
      </c>
      <c r="M709">
        <v>1238487.16338076</v>
      </c>
      <c r="N709">
        <v>555775.47871886101</v>
      </c>
      <c r="O709">
        <v>56649.816395129499</v>
      </c>
      <c r="P709">
        <v>-1238487.16338076</v>
      </c>
      <c r="Q709">
        <v>-2563539.7010546098</v>
      </c>
      <c r="R709">
        <v>582706.03887528903</v>
      </c>
      <c r="S709">
        <v>455483.747899373</v>
      </c>
      <c r="T709">
        <v>5095.4499922821597</v>
      </c>
      <c r="U709">
        <v>-1816521.4149470599</v>
      </c>
      <c r="V709">
        <v>83478.264787766006</v>
      </c>
    </row>
    <row r="710" spans="1:22" x14ac:dyDescent="0.3">
      <c r="A710" t="str">
        <f t="shared" si="22"/>
        <v>PTNTPrevisão</v>
      </c>
      <c r="B710" t="str">
        <f t="shared" si="23"/>
        <v>PTNTPrevisãoMar-2023</v>
      </c>
      <c r="C710" t="s">
        <v>682</v>
      </c>
      <c r="D710" t="s">
        <v>683</v>
      </c>
      <c r="E710" t="s">
        <v>667</v>
      </c>
      <c r="F710" t="s">
        <v>736</v>
      </c>
      <c r="G710" t="s">
        <v>737</v>
      </c>
      <c r="H710" t="s">
        <v>738</v>
      </c>
      <c r="I710" t="s">
        <v>739</v>
      </c>
      <c r="J710" t="s">
        <v>739</v>
      </c>
      <c r="K710" s="2">
        <v>45016</v>
      </c>
      <c r="L710">
        <v>21992388.857276</v>
      </c>
      <c r="M710">
        <v>571891390.063223</v>
      </c>
      <c r="N710">
        <v>256398763.676983</v>
      </c>
      <c r="O710">
        <v>63998633.246275701</v>
      </c>
      <c r="P710">
        <v>-571891390.063223</v>
      </c>
      <c r="Q710">
        <v>-140508594.64956599</v>
      </c>
      <c r="R710">
        <v>11808441.6876425</v>
      </c>
      <c r="S710">
        <v>9062235.5170946904</v>
      </c>
      <c r="T710">
        <v>170399119.09179899</v>
      </c>
      <c r="U710">
        <v>392448566.593256</v>
      </c>
      <c r="V710">
        <v>106943710.01712599</v>
      </c>
    </row>
    <row r="711" spans="1:22" x14ac:dyDescent="0.3">
      <c r="A711" t="str">
        <f t="shared" si="22"/>
        <v>PTNTPrevisão</v>
      </c>
      <c r="B711" t="str">
        <f t="shared" si="23"/>
        <v>PTNTPrevisãoJun-2023</v>
      </c>
      <c r="C711" t="s">
        <v>682</v>
      </c>
      <c r="D711" t="s">
        <v>683</v>
      </c>
      <c r="E711" t="s">
        <v>667</v>
      </c>
      <c r="F711" t="s">
        <v>736</v>
      </c>
      <c r="G711" t="s">
        <v>737</v>
      </c>
      <c r="H711" t="s">
        <v>738</v>
      </c>
      <c r="I711" t="s">
        <v>739</v>
      </c>
      <c r="J711" t="s">
        <v>739</v>
      </c>
      <c r="K711" s="2">
        <v>45107</v>
      </c>
      <c r="L711">
        <v>24413480.706110898</v>
      </c>
      <c r="M711">
        <v>607520672.84314501</v>
      </c>
      <c r="N711">
        <v>280361095.63582498</v>
      </c>
      <c r="O711">
        <v>67480282.244843304</v>
      </c>
      <c r="P711">
        <v>-607520672.84314501</v>
      </c>
      <c r="Q711">
        <v>-155146758.36121401</v>
      </c>
      <c r="R711">
        <v>12603372.7521</v>
      </c>
      <c r="S711">
        <v>10074952.3902486</v>
      </c>
      <c r="T711">
        <v>183414731.13442001</v>
      </c>
      <c r="U711">
        <v>414021883.37359101</v>
      </c>
      <c r="V711">
        <v>118454143.79752301</v>
      </c>
    </row>
    <row r="712" spans="1:22" x14ac:dyDescent="0.3">
      <c r="A712" t="str">
        <f t="shared" si="22"/>
        <v>PTNTPrevisão</v>
      </c>
      <c r="B712" t="str">
        <f t="shared" si="23"/>
        <v>PTNTPrevisãoSet-2023</v>
      </c>
      <c r="C712" t="s">
        <v>682</v>
      </c>
      <c r="D712" t="s">
        <v>683</v>
      </c>
      <c r="E712" t="s">
        <v>667</v>
      </c>
      <c r="F712" t="s">
        <v>736</v>
      </c>
      <c r="G712" t="s">
        <v>737</v>
      </c>
      <c r="H712" t="s">
        <v>738</v>
      </c>
      <c r="I712" t="s">
        <v>739</v>
      </c>
      <c r="J712" t="s">
        <v>739</v>
      </c>
      <c r="K712" s="2">
        <v>45199</v>
      </c>
      <c r="L712">
        <v>27038365.7148083</v>
      </c>
      <c r="M712">
        <v>645848850.64425504</v>
      </c>
      <c r="N712">
        <v>306712608.46635801</v>
      </c>
      <c r="O712">
        <v>71274308.187993199</v>
      </c>
      <c r="P712">
        <v>-645848850.64425504</v>
      </c>
      <c r="Q712">
        <v>-171517022.65620601</v>
      </c>
      <c r="R712">
        <v>13492722.1462269</v>
      </c>
      <c r="S712">
        <v>11207742.186949</v>
      </c>
      <c r="T712">
        <v>197298846.23634499</v>
      </c>
      <c r="U712">
        <v>436700687.350416</v>
      </c>
      <c r="V712">
        <v>131192845.509415</v>
      </c>
    </row>
    <row r="713" spans="1:22" x14ac:dyDescent="0.3">
      <c r="A713" t="str">
        <f t="shared" si="22"/>
        <v>PTNTPrevisão</v>
      </c>
      <c r="B713" t="str">
        <f t="shared" si="23"/>
        <v>PTNTPrevisãoDez-2023</v>
      </c>
      <c r="C713" t="s">
        <v>682</v>
      </c>
      <c r="D713" t="s">
        <v>683</v>
      </c>
      <c r="E713" t="s">
        <v>667</v>
      </c>
      <c r="F713" t="s">
        <v>736</v>
      </c>
      <c r="G713" t="s">
        <v>737</v>
      </c>
      <c r="H713" t="s">
        <v>738</v>
      </c>
      <c r="I713" t="s">
        <v>739</v>
      </c>
      <c r="J713" t="s">
        <v>739</v>
      </c>
      <c r="K713" s="2">
        <v>45291</v>
      </c>
      <c r="L713">
        <v>29875709.793486599</v>
      </c>
      <c r="M713">
        <v>686979200.86898696</v>
      </c>
      <c r="N713">
        <v>335557969.24195099</v>
      </c>
      <c r="O713">
        <v>75393018.492767096</v>
      </c>
      <c r="P713">
        <v>-686979200.86898696</v>
      </c>
      <c r="Q713">
        <v>-189706599.930029</v>
      </c>
      <c r="R713">
        <v>14481008.7478255</v>
      </c>
      <c r="S713">
        <v>12466856.219381301</v>
      </c>
      <c r="T713">
        <v>212082062.305996</v>
      </c>
      <c r="U713">
        <v>460512933.591169</v>
      </c>
      <c r="V713">
        <v>145214858.66732499</v>
      </c>
    </row>
    <row r="714" spans="1:22" x14ac:dyDescent="0.3">
      <c r="A714" t="str">
        <f t="shared" si="22"/>
        <v>MNDLPrevisão</v>
      </c>
      <c r="B714" t="str">
        <f t="shared" si="23"/>
        <v>MNDLPrevisãoDez-2022</v>
      </c>
      <c r="C714" t="s">
        <v>698</v>
      </c>
      <c r="D714" t="s">
        <v>699</v>
      </c>
      <c r="E714" t="s">
        <v>667</v>
      </c>
      <c r="F714" t="s">
        <v>736</v>
      </c>
      <c r="G714" t="s">
        <v>737</v>
      </c>
      <c r="H714" t="s">
        <v>738</v>
      </c>
      <c r="I714" t="s">
        <v>739</v>
      </c>
      <c r="J714" t="s">
        <v>739</v>
      </c>
      <c r="K714" s="2">
        <v>44925</v>
      </c>
      <c r="L714">
        <v>-5622.4184704202398</v>
      </c>
      <c r="M714">
        <v>1214466.0402342801</v>
      </c>
      <c r="N714">
        <v>177773.01841944401</v>
      </c>
      <c r="O714">
        <v>99612.467532503797</v>
      </c>
      <c r="P714">
        <v>-1214466.0402342801</v>
      </c>
      <c r="Q714">
        <v>-1307483.9276801499</v>
      </c>
      <c r="R714">
        <v>244332.62032085101</v>
      </c>
      <c r="S714">
        <v>868751.22714533005</v>
      </c>
      <c r="T714">
        <v>-3016.03972498233</v>
      </c>
      <c r="U714">
        <v>-762425.20898059895</v>
      </c>
      <c r="V714">
        <v>90035.691367456704</v>
      </c>
    </row>
    <row r="715" spans="1:22" x14ac:dyDescent="0.3">
      <c r="A715" t="str">
        <f t="shared" si="22"/>
        <v>MNDLPrevisão</v>
      </c>
      <c r="B715" t="str">
        <f t="shared" si="23"/>
        <v>MNDLPrevisãoMar-2023</v>
      </c>
      <c r="C715" t="s">
        <v>698</v>
      </c>
      <c r="D715" t="s">
        <v>699</v>
      </c>
      <c r="E715" t="s">
        <v>667</v>
      </c>
      <c r="F715" t="s">
        <v>736</v>
      </c>
      <c r="G715" t="s">
        <v>737</v>
      </c>
      <c r="H715" t="s">
        <v>738</v>
      </c>
      <c r="I715" t="s">
        <v>739</v>
      </c>
      <c r="J715" t="s">
        <v>739</v>
      </c>
      <c r="K715" s="2">
        <v>45015</v>
      </c>
      <c r="L715">
        <v>-7496.4820427790901</v>
      </c>
      <c r="M715">
        <v>1244445.5446149099</v>
      </c>
      <c r="N715">
        <v>180488.690681462</v>
      </c>
      <c r="O715">
        <v>97390.519308499701</v>
      </c>
      <c r="P715">
        <v>-1244445.5446149099</v>
      </c>
      <c r="Q715">
        <v>-1409299.78233847</v>
      </c>
      <c r="R715">
        <v>234413.94589087801</v>
      </c>
      <c r="S715">
        <v>975436.64209656604</v>
      </c>
      <c r="T715">
        <v>-4534.49003778734</v>
      </c>
      <c r="U715">
        <v>-872010.61978179298</v>
      </c>
      <c r="V715">
        <v>93463.374978493594</v>
      </c>
    </row>
    <row r="716" spans="1:22" x14ac:dyDescent="0.3">
      <c r="A716" t="str">
        <f t="shared" si="22"/>
        <v>MNDLPrevisão</v>
      </c>
      <c r="B716" t="str">
        <f t="shared" si="23"/>
        <v>MNDLPrevisãoJun-2023</v>
      </c>
      <c r="C716" t="s">
        <v>698</v>
      </c>
      <c r="D716" t="s">
        <v>699</v>
      </c>
      <c r="E716" t="s">
        <v>667</v>
      </c>
      <c r="F716" t="s">
        <v>736</v>
      </c>
      <c r="G716" t="s">
        <v>737</v>
      </c>
      <c r="H716" t="s">
        <v>738</v>
      </c>
      <c r="I716" t="s">
        <v>739</v>
      </c>
      <c r="J716" t="s">
        <v>739</v>
      </c>
      <c r="K716" s="2">
        <v>45107</v>
      </c>
      <c r="L716">
        <v>-9710.1755955668705</v>
      </c>
      <c r="M716">
        <v>1276366.1342360899</v>
      </c>
      <c r="N716">
        <v>182886.27803037199</v>
      </c>
      <c r="O716">
        <v>94481.816101938995</v>
      </c>
      <c r="P716">
        <v>-1276366.1342360899</v>
      </c>
      <c r="Q716">
        <v>-1517917.4018559</v>
      </c>
      <c r="R716">
        <v>222057.074508413</v>
      </c>
      <c r="S716">
        <v>1091028.6908490199</v>
      </c>
      <c r="T716">
        <v>-6344.7516732336298</v>
      </c>
      <c r="U716">
        <v>-991940.64074185898</v>
      </c>
      <c r="V716">
        <v>97161.491450480404</v>
      </c>
    </row>
    <row r="717" spans="1:22" x14ac:dyDescent="0.3">
      <c r="A717" t="str">
        <f t="shared" si="22"/>
        <v>MNDLPrevisão</v>
      </c>
      <c r="B717" t="str">
        <f t="shared" si="23"/>
        <v>MNDLPrevisãoSet-2023</v>
      </c>
      <c r="C717" t="s">
        <v>698</v>
      </c>
      <c r="D717" t="s">
        <v>699</v>
      </c>
      <c r="E717" t="s">
        <v>667</v>
      </c>
      <c r="F717" t="s">
        <v>736</v>
      </c>
      <c r="G717" t="s">
        <v>737</v>
      </c>
      <c r="H717" t="s">
        <v>738</v>
      </c>
      <c r="I717" t="s">
        <v>739</v>
      </c>
      <c r="J717" t="s">
        <v>739</v>
      </c>
      <c r="K717" s="2">
        <v>45199</v>
      </c>
      <c r="L717">
        <v>-12283.5123595119</v>
      </c>
      <c r="M717">
        <v>1310295.72004872</v>
      </c>
      <c r="N717">
        <v>184931.541266769</v>
      </c>
      <c r="O717">
        <v>90842.549087585401</v>
      </c>
      <c r="P717">
        <v>-1310295.72004872</v>
      </c>
      <c r="Q717">
        <v>-1633562.1313898801</v>
      </c>
      <c r="R717">
        <v>207133.381172066</v>
      </c>
      <c r="S717">
        <v>1215878.13909026</v>
      </c>
      <c r="T717">
        <v>-8467.7384419688806</v>
      </c>
      <c r="U717">
        <v>-1122677.83290236</v>
      </c>
      <c r="V717">
        <v>101139.53826331699</v>
      </c>
    </row>
    <row r="718" spans="1:22" x14ac:dyDescent="0.3">
      <c r="A718" t="str">
        <f t="shared" si="22"/>
        <v>CTKAPrevisão</v>
      </c>
      <c r="B718" t="str">
        <f t="shared" si="23"/>
        <v>CTKAPrevisãoDez-2022</v>
      </c>
      <c r="C718" t="s">
        <v>696</v>
      </c>
      <c r="D718" t="s">
        <v>697</v>
      </c>
      <c r="E718" t="s">
        <v>667</v>
      </c>
      <c r="F718" t="s">
        <v>736</v>
      </c>
      <c r="G718" t="s">
        <v>737</v>
      </c>
      <c r="H718" t="s">
        <v>738</v>
      </c>
      <c r="I718" t="s">
        <v>739</v>
      </c>
      <c r="J718" t="s">
        <v>739</v>
      </c>
      <c r="K718" s="2">
        <v>44925</v>
      </c>
      <c r="L718">
        <v>7841.7199728400401</v>
      </c>
      <c r="M718">
        <v>755329.17248105304</v>
      </c>
      <c r="N718">
        <v>531288.71403107396</v>
      </c>
      <c r="O718">
        <v>209686.064850194</v>
      </c>
      <c r="P718">
        <v>-755329.17248105304</v>
      </c>
      <c r="Q718">
        <v>-22873.779135905999</v>
      </c>
      <c r="R718">
        <v>44497.768865122001</v>
      </c>
      <c r="S718">
        <v>3823.97546898664</v>
      </c>
      <c r="T718">
        <v>-3075.0756302579798</v>
      </c>
      <c r="U718">
        <v>-65038.147695435197</v>
      </c>
      <c r="V718">
        <v>171394.94576012099</v>
      </c>
    </row>
    <row r="719" spans="1:22" x14ac:dyDescent="0.3">
      <c r="A719" t="str">
        <f t="shared" si="22"/>
        <v>CTKAPrevisão</v>
      </c>
      <c r="B719" t="str">
        <f t="shared" si="23"/>
        <v>CTKAPrevisãoMar-2023</v>
      </c>
      <c r="C719" t="s">
        <v>696</v>
      </c>
      <c r="D719" t="s">
        <v>697</v>
      </c>
      <c r="E719" t="s">
        <v>667</v>
      </c>
      <c r="F719" t="s">
        <v>736</v>
      </c>
      <c r="G719" t="s">
        <v>737</v>
      </c>
      <c r="H719" t="s">
        <v>738</v>
      </c>
      <c r="I719" t="s">
        <v>739</v>
      </c>
      <c r="J719" t="s">
        <v>739</v>
      </c>
      <c r="K719" s="2">
        <v>45015</v>
      </c>
      <c r="L719">
        <v>8845.4323177285096</v>
      </c>
      <c r="M719">
        <v>800301.51845038799</v>
      </c>
      <c r="N719">
        <v>570699.813577528</v>
      </c>
      <c r="O719">
        <v>214302.51422699599</v>
      </c>
      <c r="P719">
        <v>-800301.51845038799</v>
      </c>
      <c r="Q719">
        <v>60042.6453611619</v>
      </c>
      <c r="R719">
        <v>46937.839257898602</v>
      </c>
      <c r="S719">
        <v>3515.5230433015099</v>
      </c>
      <c r="T719">
        <v>-4374.4033613515203</v>
      </c>
      <c r="U719">
        <v>-20305.1195121698</v>
      </c>
      <c r="V719">
        <v>186946.94172017701</v>
      </c>
    </row>
    <row r="720" spans="1:22" x14ac:dyDescent="0.3">
      <c r="A720" t="str">
        <f t="shared" si="22"/>
        <v>CTKAPrevisão</v>
      </c>
      <c r="B720" t="str">
        <f t="shared" si="23"/>
        <v>CTKAPrevisãoJun-2023</v>
      </c>
      <c r="C720" t="s">
        <v>696</v>
      </c>
      <c r="D720" t="s">
        <v>697</v>
      </c>
      <c r="E720" t="s">
        <v>667</v>
      </c>
      <c r="F720" t="s">
        <v>736</v>
      </c>
      <c r="G720" t="s">
        <v>737</v>
      </c>
      <c r="H720" t="s">
        <v>738</v>
      </c>
      <c r="I720" t="s">
        <v>739</v>
      </c>
      <c r="J720" t="s">
        <v>739</v>
      </c>
      <c r="K720" s="2">
        <v>45107</v>
      </c>
      <c r="L720">
        <v>9796.7869316801898</v>
      </c>
      <c r="M720">
        <v>847964.98553838802</v>
      </c>
      <c r="N720">
        <v>612761.74489846197</v>
      </c>
      <c r="O720">
        <v>218453.80917378599</v>
      </c>
      <c r="P720">
        <v>-847964.98553838802</v>
      </c>
      <c r="Q720">
        <v>151483.58580012899</v>
      </c>
      <c r="R720">
        <v>49533.429880285301</v>
      </c>
      <c r="S720">
        <v>3336.8255545326501</v>
      </c>
      <c r="T720">
        <v>-5887.3901048409998</v>
      </c>
      <c r="U720">
        <v>29916.597584085201</v>
      </c>
      <c r="V720">
        <v>203893.352226499</v>
      </c>
    </row>
    <row r="721" spans="1:22" x14ac:dyDescent="0.3">
      <c r="A721" t="str">
        <f t="shared" si="22"/>
        <v>CTKAPrevisão</v>
      </c>
      <c r="B721" t="str">
        <f t="shared" si="23"/>
        <v>CTKAPrevisãoSet-2023</v>
      </c>
      <c r="C721" t="s">
        <v>696</v>
      </c>
      <c r="D721" t="s">
        <v>697</v>
      </c>
      <c r="E721" t="s">
        <v>667</v>
      </c>
      <c r="F721" t="s">
        <v>736</v>
      </c>
      <c r="G721" t="s">
        <v>737</v>
      </c>
      <c r="H721" t="s">
        <v>738</v>
      </c>
      <c r="I721" t="s">
        <v>739</v>
      </c>
      <c r="J721" t="s">
        <v>739</v>
      </c>
      <c r="K721" s="2">
        <v>45199</v>
      </c>
      <c r="L721">
        <v>10688.822497253899</v>
      </c>
      <c r="M721">
        <v>898380.75412645703</v>
      </c>
      <c r="N721">
        <v>657562.662864413</v>
      </c>
      <c r="O721">
        <v>222098.13031180901</v>
      </c>
      <c r="P721">
        <v>-898380.75412645703</v>
      </c>
      <c r="Q721">
        <v>251780.52220825301</v>
      </c>
      <c r="R721">
        <v>52290.181374396401</v>
      </c>
      <c r="S721">
        <v>3300.5983384231799</v>
      </c>
      <c r="T721">
        <v>-7627.3386033357201</v>
      </c>
      <c r="U721">
        <v>85852.083648075204</v>
      </c>
      <c r="V721">
        <v>222290.83432702901</v>
      </c>
    </row>
    <row r="722" spans="1:22" x14ac:dyDescent="0.3">
      <c r="A722" t="str">
        <f t="shared" si="22"/>
        <v>GUARPrevisão</v>
      </c>
      <c r="B722" t="str">
        <f t="shared" si="23"/>
        <v>GUARPrevisãoDez-2022</v>
      </c>
      <c r="C722" t="s">
        <v>680</v>
      </c>
      <c r="D722" t="s">
        <v>681</v>
      </c>
      <c r="E722" t="s">
        <v>667</v>
      </c>
      <c r="F722" t="s">
        <v>736</v>
      </c>
      <c r="G722" t="s">
        <v>737</v>
      </c>
      <c r="H722" t="s">
        <v>738</v>
      </c>
      <c r="I722" t="s">
        <v>739</v>
      </c>
      <c r="J722" t="s">
        <v>739</v>
      </c>
      <c r="K722" s="2">
        <v>44925</v>
      </c>
      <c r="L722">
        <v>9229.2338511175694</v>
      </c>
      <c r="M722">
        <v>7742005.7507850397</v>
      </c>
      <c r="N722">
        <v>1676071.8731003599</v>
      </c>
      <c r="O722">
        <v>1152243.91562689</v>
      </c>
      <c r="P722">
        <v>-7742005.7507850397</v>
      </c>
      <c r="Q722">
        <v>-970112.03692387603</v>
      </c>
      <c r="R722">
        <v>41823.677701396897</v>
      </c>
      <c r="S722">
        <v>20913.194465664401</v>
      </c>
      <c r="T722">
        <v>2116945.59969394</v>
      </c>
      <c r="U722">
        <v>5243583.3078684304</v>
      </c>
      <c r="V722">
        <v>403252.61904759897</v>
      </c>
    </row>
    <row r="723" spans="1:22" x14ac:dyDescent="0.3">
      <c r="A723" t="str">
        <f t="shared" si="22"/>
        <v>GUARPrevisão</v>
      </c>
      <c r="B723" t="str">
        <f t="shared" si="23"/>
        <v>GUARPrevisãoMar-2023</v>
      </c>
      <c r="C723" t="s">
        <v>680</v>
      </c>
      <c r="D723" t="s">
        <v>681</v>
      </c>
      <c r="E723" t="s">
        <v>667</v>
      </c>
      <c r="F723" t="s">
        <v>736</v>
      </c>
      <c r="G723" t="s">
        <v>737</v>
      </c>
      <c r="H723" t="s">
        <v>738</v>
      </c>
      <c r="I723" t="s">
        <v>739</v>
      </c>
      <c r="J723" t="s">
        <v>739</v>
      </c>
      <c r="K723" s="2">
        <v>45015</v>
      </c>
      <c r="L723">
        <v>16849.180843185801</v>
      </c>
      <c r="M723">
        <v>7794823.3764465498</v>
      </c>
      <c r="N723">
        <v>1634082.0582288699</v>
      </c>
      <c r="O723">
        <v>1192883.08888341</v>
      </c>
      <c r="P723">
        <v>-7794823.3764465498</v>
      </c>
      <c r="Q723">
        <v>-1031167.72404491</v>
      </c>
      <c r="R723">
        <v>44331.837613029202</v>
      </c>
      <c r="S723">
        <v>22306.5419628944</v>
      </c>
      <c r="T723">
        <v>2133283.7508855201</v>
      </c>
      <c r="U723">
        <v>5239352.9665033603</v>
      </c>
      <c r="V723">
        <v>435892.38829584199</v>
      </c>
    </row>
    <row r="724" spans="1:22" x14ac:dyDescent="0.3">
      <c r="A724" t="str">
        <f t="shared" si="22"/>
        <v>GUARPrevisão</v>
      </c>
      <c r="B724" t="str">
        <f t="shared" si="23"/>
        <v>GUARPrevisãoJun-2023</v>
      </c>
      <c r="C724" t="s">
        <v>680</v>
      </c>
      <c r="D724" t="s">
        <v>681</v>
      </c>
      <c r="E724" t="s">
        <v>667</v>
      </c>
      <c r="F724" t="s">
        <v>736</v>
      </c>
      <c r="G724" t="s">
        <v>737</v>
      </c>
      <c r="H724" t="s">
        <v>738</v>
      </c>
      <c r="I724" t="s">
        <v>739</v>
      </c>
      <c r="J724" t="s">
        <v>739</v>
      </c>
      <c r="K724" s="2">
        <v>45107</v>
      </c>
      <c r="L724">
        <v>26113.1375795895</v>
      </c>
      <c r="M724">
        <v>7826162.1995448498</v>
      </c>
      <c r="N724">
        <v>1578121.7946238799</v>
      </c>
      <c r="O724">
        <v>1233875.85736952</v>
      </c>
      <c r="P724">
        <v>-7826162.1995448498</v>
      </c>
      <c r="Q724">
        <v>-1094793.5884751</v>
      </c>
      <c r="R724">
        <v>47218.613377416899</v>
      </c>
      <c r="S724">
        <v>23855.210974272501</v>
      </c>
      <c r="T724">
        <v>2136779.8327970901</v>
      </c>
      <c r="U724">
        <v>5221591.4998699101</v>
      </c>
      <c r="V724">
        <v>472143.00810450898</v>
      </c>
    </row>
    <row r="725" spans="1:22" x14ac:dyDescent="0.3">
      <c r="A725" t="str">
        <f t="shared" si="22"/>
        <v>GUARPrevisão</v>
      </c>
      <c r="B725" t="str">
        <f t="shared" si="23"/>
        <v>GUARPrevisãoSet-2023</v>
      </c>
      <c r="C725" t="s">
        <v>680</v>
      </c>
      <c r="D725" t="s">
        <v>681</v>
      </c>
      <c r="E725" t="s">
        <v>667</v>
      </c>
      <c r="F725" t="s">
        <v>736</v>
      </c>
      <c r="G725" t="s">
        <v>737</v>
      </c>
      <c r="H725" t="s">
        <v>738</v>
      </c>
      <c r="I725" t="s">
        <v>739</v>
      </c>
      <c r="J725" t="s">
        <v>739</v>
      </c>
      <c r="K725" s="2">
        <v>45199</v>
      </c>
      <c r="L725">
        <v>37113.918821548701</v>
      </c>
      <c r="M725">
        <v>7834710.6163293896</v>
      </c>
      <c r="N725">
        <v>1507363.93416101</v>
      </c>
      <c r="O725">
        <v>1275162.38549573</v>
      </c>
      <c r="P725">
        <v>-7834710.6163293896</v>
      </c>
      <c r="Q725">
        <v>-1161031.60529665</v>
      </c>
      <c r="R725">
        <v>50504.076680374499</v>
      </c>
      <c r="S725">
        <v>25566.648665924</v>
      </c>
      <c r="T725">
        <v>2126545.1172362599</v>
      </c>
      <c r="U725">
        <v>5189615.3651135303</v>
      </c>
      <c r="V725">
        <v>512176.442428982</v>
      </c>
    </row>
    <row r="726" spans="1:22" x14ac:dyDescent="0.3">
      <c r="A726" t="str">
        <f t="shared" si="22"/>
        <v>SOMAPrevisão</v>
      </c>
      <c r="B726" t="str">
        <f t="shared" si="23"/>
        <v>SOMAPrevisãoDez-2022</v>
      </c>
      <c r="C726" t="s">
        <v>678</v>
      </c>
      <c r="D726" t="s">
        <v>679</v>
      </c>
      <c r="E726" t="s">
        <v>667</v>
      </c>
      <c r="F726" t="s">
        <v>736</v>
      </c>
      <c r="G726" t="s">
        <v>737</v>
      </c>
      <c r="H726" t="s">
        <v>738</v>
      </c>
      <c r="I726" t="s">
        <v>739</v>
      </c>
      <c r="J726" t="s">
        <v>739</v>
      </c>
      <c r="K726" s="2">
        <v>44925</v>
      </c>
      <c r="L726">
        <v>30875.261904762101</v>
      </c>
      <c r="M726">
        <v>6686575.6587302797</v>
      </c>
      <c r="N726">
        <v>1129706.2063491901</v>
      </c>
      <c r="O726">
        <v>400354.86507936101</v>
      </c>
      <c r="P726">
        <v>-6686575.6587302797</v>
      </c>
      <c r="Q726">
        <v>-286583.23809523199</v>
      </c>
      <c r="R726">
        <v>54552.746031745897</v>
      </c>
      <c r="S726">
        <v>12225.0793650794</v>
      </c>
      <c r="T726">
        <v>25895.634920627399</v>
      </c>
      <c r="U726">
        <v>5581480.0396825299</v>
      </c>
      <c r="V726">
        <v>422499.23015873099</v>
      </c>
    </row>
    <row r="727" spans="1:22" x14ac:dyDescent="0.3">
      <c r="A727" t="str">
        <f t="shared" si="22"/>
        <v>SOMAPrevisão</v>
      </c>
      <c r="B727" t="str">
        <f t="shared" si="23"/>
        <v>SOMAPrevisãoMar-2023</v>
      </c>
      <c r="C727" t="s">
        <v>678</v>
      </c>
      <c r="D727" t="s">
        <v>679</v>
      </c>
      <c r="E727" t="s">
        <v>667</v>
      </c>
      <c r="F727" t="s">
        <v>736</v>
      </c>
      <c r="G727" t="s">
        <v>737</v>
      </c>
      <c r="H727" t="s">
        <v>738</v>
      </c>
      <c r="I727" t="s">
        <v>739</v>
      </c>
      <c r="J727" t="s">
        <v>739</v>
      </c>
      <c r="K727" s="2">
        <v>45015</v>
      </c>
      <c r="L727">
        <v>-70460.547619047298</v>
      </c>
      <c r="M727">
        <v>3360808.2539684498</v>
      </c>
      <c r="N727">
        <v>1622944.8968253799</v>
      </c>
      <c r="O727">
        <v>397832.81746031198</v>
      </c>
      <c r="P727">
        <v>-3360808.2539684498</v>
      </c>
      <c r="Q727">
        <v>-316227.04761904001</v>
      </c>
      <c r="R727">
        <v>65252.9603174601</v>
      </c>
      <c r="S727">
        <v>14018.293650793699</v>
      </c>
      <c r="T727">
        <v>-299452.484126992</v>
      </c>
      <c r="U727">
        <v>1958302.8968253999</v>
      </c>
      <c r="V727">
        <v>426886.80158730398</v>
      </c>
    </row>
    <row r="728" spans="1:22" x14ac:dyDescent="0.3">
      <c r="A728" t="str">
        <f t="shared" si="22"/>
        <v>SOMAPrevisão</v>
      </c>
      <c r="B728" t="str">
        <f t="shared" si="23"/>
        <v>SOMAPrevisãoJun-2023</v>
      </c>
      <c r="C728" t="s">
        <v>678</v>
      </c>
      <c r="D728" t="s">
        <v>679</v>
      </c>
      <c r="E728" t="s">
        <v>667</v>
      </c>
      <c r="F728" t="s">
        <v>736</v>
      </c>
      <c r="G728" t="s">
        <v>737</v>
      </c>
      <c r="H728" t="s">
        <v>738</v>
      </c>
      <c r="I728" t="s">
        <v>739</v>
      </c>
      <c r="J728" t="s">
        <v>739</v>
      </c>
      <c r="K728" s="2">
        <v>45107</v>
      </c>
      <c r="L728">
        <v>-220377.064935064</v>
      </c>
      <c r="M728">
        <v>-2077732.86075004</v>
      </c>
      <c r="N728">
        <v>2380221.4098123698</v>
      </c>
      <c r="O728">
        <v>382848.44300143397</v>
      </c>
      <c r="P728">
        <v>2077732.86075004</v>
      </c>
      <c r="Q728">
        <v>-349904.12554111698</v>
      </c>
      <c r="R728">
        <v>79165.637806637402</v>
      </c>
      <c r="S728">
        <v>16057.592352092501</v>
      </c>
      <c r="T728">
        <v>-802424.07936508802</v>
      </c>
      <c r="U728">
        <v>-3866842.0901875398</v>
      </c>
      <c r="V728">
        <v>408334.88600288902</v>
      </c>
    </row>
    <row r="729" spans="1:22" x14ac:dyDescent="0.3">
      <c r="A729" t="str">
        <f t="shared" si="22"/>
        <v>SOMAPrevisão</v>
      </c>
      <c r="B729" t="str">
        <f t="shared" si="23"/>
        <v>SOMAPrevisãoSet-2023</v>
      </c>
      <c r="C729" t="s">
        <v>678</v>
      </c>
      <c r="D729" t="s">
        <v>679</v>
      </c>
      <c r="E729" t="s">
        <v>667</v>
      </c>
      <c r="F729" t="s">
        <v>736</v>
      </c>
      <c r="G729" t="s">
        <v>737</v>
      </c>
      <c r="H729" t="s">
        <v>738</v>
      </c>
      <c r="I729" t="s">
        <v>739</v>
      </c>
      <c r="J729" t="s">
        <v>739</v>
      </c>
      <c r="K729" s="2">
        <v>45199</v>
      </c>
      <c r="L729">
        <v>-426118.25974025798</v>
      </c>
      <c r="M729">
        <v>-9993557.0389605798</v>
      </c>
      <c r="N729">
        <v>3451734.1948051401</v>
      </c>
      <c r="O729">
        <v>354307.155844144</v>
      </c>
      <c r="P729">
        <v>9993557.0389605798</v>
      </c>
      <c r="Q729">
        <v>-386462.77489176602</v>
      </c>
      <c r="R729">
        <v>96781.662337661794</v>
      </c>
      <c r="S729">
        <v>18322.510822511002</v>
      </c>
      <c r="T729">
        <v>-1514657.2770562801</v>
      </c>
      <c r="U729">
        <v>-12267261.108224999</v>
      </c>
      <c r="V729">
        <v>361930.857142861</v>
      </c>
    </row>
    <row r="730" spans="1:22" x14ac:dyDescent="0.3">
      <c r="A730" t="str">
        <f t="shared" si="22"/>
        <v>GRNDPrevisão</v>
      </c>
      <c r="B730" t="str">
        <f t="shared" si="23"/>
        <v>GRNDPrevisãoDez-2022</v>
      </c>
      <c r="C730" t="s">
        <v>676</v>
      </c>
      <c r="D730" t="s">
        <v>677</v>
      </c>
      <c r="E730" t="s">
        <v>667</v>
      </c>
      <c r="F730" t="s">
        <v>736</v>
      </c>
      <c r="G730" t="s">
        <v>737</v>
      </c>
      <c r="H730" t="s">
        <v>738</v>
      </c>
      <c r="I730" t="s">
        <v>739</v>
      </c>
      <c r="J730" t="s">
        <v>739</v>
      </c>
      <c r="K730" s="2">
        <v>44925</v>
      </c>
      <c r="L730">
        <v>144520.36448503</v>
      </c>
      <c r="M730">
        <v>4546218.4563279804</v>
      </c>
      <c r="N730">
        <v>2550594.6039386098</v>
      </c>
      <c r="O730">
        <v>982567.29157116497</v>
      </c>
      <c r="P730">
        <v>-4546218.4563279804</v>
      </c>
      <c r="Q730">
        <v>-286541.745777064</v>
      </c>
      <c r="R730">
        <v>89433.612087252404</v>
      </c>
      <c r="S730">
        <v>30191.835328049001</v>
      </c>
      <c r="T730">
        <v>3011517.3924963698</v>
      </c>
      <c r="U730">
        <v>4245013.9797979603</v>
      </c>
      <c r="V730">
        <v>645489.169594871</v>
      </c>
    </row>
    <row r="731" spans="1:22" x14ac:dyDescent="0.3">
      <c r="A731" t="str">
        <f t="shared" si="22"/>
        <v>GRNDPrevisão</v>
      </c>
      <c r="B731" t="str">
        <f t="shared" si="23"/>
        <v>GRNDPrevisãoMar-2023</v>
      </c>
      <c r="C731" t="s">
        <v>676</v>
      </c>
      <c r="D731" t="s">
        <v>677</v>
      </c>
      <c r="E731" t="s">
        <v>667</v>
      </c>
      <c r="F731" t="s">
        <v>736</v>
      </c>
      <c r="G731" t="s">
        <v>737</v>
      </c>
      <c r="H731" t="s">
        <v>738</v>
      </c>
      <c r="I731" t="s">
        <v>739</v>
      </c>
      <c r="J731" t="s">
        <v>739</v>
      </c>
      <c r="K731" s="2">
        <v>45015</v>
      </c>
      <c r="L731">
        <v>158654.986670994</v>
      </c>
      <c r="M731">
        <v>4537607.6996400403</v>
      </c>
      <c r="N731">
        <v>2420621.6823906</v>
      </c>
      <c r="O731">
        <v>1028928.46608029</v>
      </c>
      <c r="P731">
        <v>-4537607.6996400403</v>
      </c>
      <c r="Q731">
        <v>-258525.845702035</v>
      </c>
      <c r="R731">
        <v>95393.809315038699</v>
      </c>
      <c r="S731">
        <v>22805.919857187801</v>
      </c>
      <c r="T731">
        <v>3041927.9613096402</v>
      </c>
      <c r="U731">
        <v>4264665.0768117001</v>
      </c>
      <c r="V731">
        <v>693270.97022666002</v>
      </c>
    </row>
    <row r="732" spans="1:22" x14ac:dyDescent="0.3">
      <c r="A732" t="str">
        <f t="shared" si="22"/>
        <v>GRNDPrevisão</v>
      </c>
      <c r="B732" t="str">
        <f t="shared" si="23"/>
        <v>GRNDPrevisãoJun-2023</v>
      </c>
      <c r="C732" t="s">
        <v>676</v>
      </c>
      <c r="D732" t="s">
        <v>677</v>
      </c>
      <c r="E732" t="s">
        <v>667</v>
      </c>
      <c r="F732" t="s">
        <v>736</v>
      </c>
      <c r="G732" t="s">
        <v>737</v>
      </c>
      <c r="H732" t="s">
        <v>738</v>
      </c>
      <c r="I732" t="s">
        <v>739</v>
      </c>
      <c r="J732" t="s">
        <v>739</v>
      </c>
      <c r="K732" s="2">
        <v>45107</v>
      </c>
      <c r="L732">
        <v>174829.40313851301</v>
      </c>
      <c r="M732">
        <v>4515815.5686868401</v>
      </c>
      <c r="N732">
        <v>2267765.7849935102</v>
      </c>
      <c r="O732">
        <v>1080666.38279361</v>
      </c>
      <c r="P732">
        <v>-4515815.5686868401</v>
      </c>
      <c r="Q732">
        <v>-226438.97486653001</v>
      </c>
      <c r="R732">
        <v>102116.14415814501</v>
      </c>
      <c r="S732">
        <v>14306.2793956442</v>
      </c>
      <c r="T732">
        <v>3063788.8172263498</v>
      </c>
      <c r="U732">
        <v>4274788.3152706102</v>
      </c>
      <c r="V732">
        <v>747358.44221635</v>
      </c>
    </row>
    <row r="733" spans="1:22" x14ac:dyDescent="0.3">
      <c r="A733" t="str">
        <f t="shared" si="22"/>
        <v>GRNDPrevisão</v>
      </c>
      <c r="B733" t="str">
        <f t="shared" si="23"/>
        <v>GRNDPrevisãoSet-2023</v>
      </c>
      <c r="C733" t="s">
        <v>676</v>
      </c>
      <c r="D733" t="s">
        <v>677</v>
      </c>
      <c r="E733" t="s">
        <v>667</v>
      </c>
      <c r="F733" t="s">
        <v>736</v>
      </c>
      <c r="G733" t="s">
        <v>737</v>
      </c>
      <c r="H733" t="s">
        <v>738</v>
      </c>
      <c r="I733" t="s">
        <v>739</v>
      </c>
      <c r="J733" t="s">
        <v>739</v>
      </c>
      <c r="K733" s="2">
        <v>45199</v>
      </c>
      <c r="L733">
        <v>193157.41371135699</v>
      </c>
      <c r="M733">
        <v>4480137.1898507904</v>
      </c>
      <c r="N733">
        <v>2090850.3913066201</v>
      </c>
      <c r="O733">
        <v>1138072.96312858</v>
      </c>
      <c r="P733">
        <v>-4480137.1898507904</v>
      </c>
      <c r="Q733">
        <v>-190076.708193194</v>
      </c>
      <c r="R733">
        <v>109641.256871454</v>
      </c>
      <c r="S733">
        <v>4636.7816502429696</v>
      </c>
      <c r="T733">
        <v>3076599.6635607998</v>
      </c>
      <c r="U733">
        <v>4274846.9128485601</v>
      </c>
      <c r="V733">
        <v>808091.85836864705</v>
      </c>
    </row>
    <row r="734" spans="1:22" x14ac:dyDescent="0.3">
      <c r="A734" t="str">
        <f t="shared" si="22"/>
        <v>DOHLPrevisão</v>
      </c>
      <c r="B734" t="str">
        <f t="shared" si="23"/>
        <v>DOHLPrevisãoDez-2022</v>
      </c>
      <c r="C734" t="s">
        <v>674</v>
      </c>
      <c r="D734" t="s">
        <v>675</v>
      </c>
      <c r="E734" t="s">
        <v>667</v>
      </c>
      <c r="F734" t="s">
        <v>736</v>
      </c>
      <c r="G734" t="s">
        <v>737</v>
      </c>
      <c r="H734" t="s">
        <v>738</v>
      </c>
      <c r="I734" t="s">
        <v>739</v>
      </c>
      <c r="J734" t="s">
        <v>739</v>
      </c>
      <c r="K734" s="2">
        <v>44925</v>
      </c>
      <c r="L734">
        <v>7809.0218996681797</v>
      </c>
      <c r="M734">
        <v>1038107.0802139</v>
      </c>
      <c r="N734">
        <v>572643.73253544304</v>
      </c>
      <c r="O734">
        <v>155203.32306255199</v>
      </c>
      <c r="P734">
        <v>-1038107.0802139</v>
      </c>
      <c r="Q734">
        <v>-120012.195654022</v>
      </c>
      <c r="R734">
        <v>24446.3097360192</v>
      </c>
      <c r="S734">
        <v>7731.4036159920997</v>
      </c>
      <c r="T734">
        <v>401227.42967489298</v>
      </c>
      <c r="U734">
        <v>750229.53976742795</v>
      </c>
      <c r="V734">
        <v>186615.995586131</v>
      </c>
    </row>
    <row r="735" spans="1:22" x14ac:dyDescent="0.3">
      <c r="A735" t="str">
        <f t="shared" si="22"/>
        <v>DOHLPrevisão</v>
      </c>
      <c r="B735" t="str">
        <f t="shared" si="23"/>
        <v>DOHLPrevisãoMar-2023</v>
      </c>
      <c r="C735" t="s">
        <v>674</v>
      </c>
      <c r="D735" t="s">
        <v>675</v>
      </c>
      <c r="E735" t="s">
        <v>667</v>
      </c>
      <c r="F735" t="s">
        <v>736</v>
      </c>
      <c r="G735" t="s">
        <v>737</v>
      </c>
      <c r="H735" t="s">
        <v>738</v>
      </c>
      <c r="I735" t="s">
        <v>739</v>
      </c>
      <c r="J735" t="s">
        <v>739</v>
      </c>
      <c r="K735" s="2">
        <v>45015</v>
      </c>
      <c r="L735">
        <v>7942.0791196077598</v>
      </c>
      <c r="M735">
        <v>1083447.33062169</v>
      </c>
      <c r="N735">
        <v>606624.93468412105</v>
      </c>
      <c r="O735">
        <v>156698.724909777</v>
      </c>
      <c r="P735">
        <v>-1083447.33062169</v>
      </c>
      <c r="Q735">
        <v>-130546.595925189</v>
      </c>
      <c r="R735">
        <v>26221.811053991602</v>
      </c>
      <c r="S735">
        <v>8294.9088087326309</v>
      </c>
      <c r="T735">
        <v>414129.305117946</v>
      </c>
      <c r="U735">
        <v>771256.62080033496</v>
      </c>
      <c r="V735">
        <v>195840.037004176</v>
      </c>
    </row>
    <row r="736" spans="1:22" x14ac:dyDescent="0.3">
      <c r="A736" t="str">
        <f t="shared" si="22"/>
        <v>DOHLPrevisão</v>
      </c>
      <c r="B736" t="str">
        <f t="shared" si="23"/>
        <v>DOHLPrevisãoJun-2023</v>
      </c>
      <c r="C736" t="s">
        <v>674</v>
      </c>
      <c r="D736" t="s">
        <v>675</v>
      </c>
      <c r="E736" t="s">
        <v>667</v>
      </c>
      <c r="F736" t="s">
        <v>736</v>
      </c>
      <c r="G736" t="s">
        <v>737</v>
      </c>
      <c r="H736" t="s">
        <v>738</v>
      </c>
      <c r="I736" t="s">
        <v>739</v>
      </c>
      <c r="J736" t="s">
        <v>739</v>
      </c>
      <c r="K736" s="2">
        <v>45107</v>
      </c>
      <c r="L736">
        <v>8104.90790098455</v>
      </c>
      <c r="M736">
        <v>1132407.71284188</v>
      </c>
      <c r="N736">
        <v>643457.28100266203</v>
      </c>
      <c r="O736">
        <v>158173.26574118799</v>
      </c>
      <c r="P736">
        <v>-1132407.71284188</v>
      </c>
      <c r="Q736">
        <v>-142169.660362553</v>
      </c>
      <c r="R736">
        <v>28157.297538667499</v>
      </c>
      <c r="S736">
        <v>8905.2232253566999</v>
      </c>
      <c r="T736">
        <v>427368.89386181103</v>
      </c>
      <c r="U736">
        <v>793408.83140163601</v>
      </c>
      <c r="V736">
        <v>205782.08095529099</v>
      </c>
    </row>
    <row r="737" spans="1:22" x14ac:dyDescent="0.3">
      <c r="A737" t="str">
        <f t="shared" si="22"/>
        <v>DOHLPrevisão</v>
      </c>
      <c r="B737" t="str">
        <f t="shared" si="23"/>
        <v>DOHLPrevisãoSet-2023</v>
      </c>
      <c r="C737" t="s">
        <v>674</v>
      </c>
      <c r="D737" t="s">
        <v>675</v>
      </c>
      <c r="E737" t="s">
        <v>667</v>
      </c>
      <c r="F737" t="s">
        <v>736</v>
      </c>
      <c r="G737" t="s">
        <v>737</v>
      </c>
      <c r="H737" t="s">
        <v>738</v>
      </c>
      <c r="I737" t="s">
        <v>739</v>
      </c>
      <c r="J737" t="s">
        <v>739</v>
      </c>
      <c r="K737" s="2">
        <v>45199</v>
      </c>
      <c r="L737">
        <v>8299.6429603636007</v>
      </c>
      <c r="M737">
        <v>1185146.8973962399</v>
      </c>
      <c r="N737">
        <v>683266.072143425</v>
      </c>
      <c r="O737">
        <v>159627.94928282601</v>
      </c>
      <c r="P737">
        <v>-1185146.8973962399</v>
      </c>
      <c r="Q737">
        <v>-154931.244631929</v>
      </c>
      <c r="R737">
        <v>30259.616768058499</v>
      </c>
      <c r="S737">
        <v>9564.2400912900303</v>
      </c>
      <c r="T737">
        <v>440953.62032477901</v>
      </c>
      <c r="U737">
        <v>816728.97957977594</v>
      </c>
      <c r="V737">
        <v>216473.72748842099</v>
      </c>
    </row>
    <row r="738" spans="1:22" x14ac:dyDescent="0.3">
      <c r="A738" t="str">
        <f t="shared" si="22"/>
        <v>CTSAPrevisão</v>
      </c>
      <c r="B738" t="str">
        <f t="shared" si="23"/>
        <v>CTSAPrevisãoDez-2022</v>
      </c>
      <c r="C738" t="s">
        <v>672</v>
      </c>
      <c r="D738" t="s">
        <v>673</v>
      </c>
      <c r="E738" t="s">
        <v>667</v>
      </c>
      <c r="F738" t="s">
        <v>736</v>
      </c>
      <c r="G738" t="s">
        <v>737</v>
      </c>
      <c r="H738" t="s">
        <v>738</v>
      </c>
      <c r="I738" t="s">
        <v>739</v>
      </c>
      <c r="J738" t="s">
        <v>739</v>
      </c>
      <c r="K738" s="2">
        <v>44925</v>
      </c>
      <c r="L738">
        <v>-5559.1190051682997</v>
      </c>
      <c r="M738">
        <v>681823.34920634294</v>
      </c>
      <c r="N738">
        <v>219590.641965888</v>
      </c>
      <c r="O738">
        <v>118078.72659367</v>
      </c>
      <c r="P738">
        <v>-681823.34920634294</v>
      </c>
      <c r="Q738">
        <v>-225548.88447496999</v>
      </c>
      <c r="R738">
        <v>1314.58840505943</v>
      </c>
      <c r="S738">
        <v>34725.883201764198</v>
      </c>
      <c r="T738">
        <v>105024.811136611</v>
      </c>
      <c r="U738">
        <v>327093.467956807</v>
      </c>
      <c r="V738">
        <v>135099.305916304</v>
      </c>
    </row>
    <row r="739" spans="1:22" x14ac:dyDescent="0.3">
      <c r="A739" t="str">
        <f t="shared" si="22"/>
        <v>CTSAPrevisão</v>
      </c>
      <c r="B739" t="str">
        <f t="shared" si="23"/>
        <v>CTSAPrevisãoMar-2023</v>
      </c>
      <c r="C739" t="s">
        <v>672</v>
      </c>
      <c r="D739" t="s">
        <v>673</v>
      </c>
      <c r="E739" t="s">
        <v>667</v>
      </c>
      <c r="F739" t="s">
        <v>736</v>
      </c>
      <c r="G739" t="s">
        <v>737</v>
      </c>
      <c r="H739" t="s">
        <v>738</v>
      </c>
      <c r="I739" t="s">
        <v>739</v>
      </c>
      <c r="J739" t="s">
        <v>739</v>
      </c>
      <c r="K739" s="2">
        <v>45015</v>
      </c>
      <c r="L739">
        <v>-7700.4620908050902</v>
      </c>
      <c r="M739">
        <v>683012.05243898497</v>
      </c>
      <c r="N739">
        <v>204834.06873413699</v>
      </c>
      <c r="O739">
        <v>114994.217601866</v>
      </c>
      <c r="P739">
        <v>-683012.05243898497</v>
      </c>
      <c r="Q739">
        <v>-211423.388077879</v>
      </c>
      <c r="R739">
        <v>1833.89514495455</v>
      </c>
      <c r="S739">
        <v>38008.073196189398</v>
      </c>
      <c r="T739">
        <v>113802.754577385</v>
      </c>
      <c r="U739">
        <v>339140.82776657201</v>
      </c>
      <c r="V739">
        <v>135455.15651403501</v>
      </c>
    </row>
    <row r="740" spans="1:22" x14ac:dyDescent="0.3">
      <c r="A740" t="str">
        <f t="shared" si="22"/>
        <v>CTSAPrevisão</v>
      </c>
      <c r="B740" t="str">
        <f t="shared" si="23"/>
        <v>CTSAPrevisãoJun-2023</v>
      </c>
      <c r="C740" t="s">
        <v>672</v>
      </c>
      <c r="D740" t="s">
        <v>673</v>
      </c>
      <c r="E740" t="s">
        <v>667</v>
      </c>
      <c r="F740" t="s">
        <v>736</v>
      </c>
      <c r="G740" t="s">
        <v>737</v>
      </c>
      <c r="H740" t="s">
        <v>738</v>
      </c>
      <c r="I740" t="s">
        <v>739</v>
      </c>
      <c r="J740" t="s">
        <v>739</v>
      </c>
      <c r="K740" s="2">
        <v>45107</v>
      </c>
      <c r="L740">
        <v>-10119.427971687001</v>
      </c>
      <c r="M740">
        <v>682663.82921000395</v>
      </c>
      <c r="N740">
        <v>187996.48532373799</v>
      </c>
      <c r="O740">
        <v>111469.478263999</v>
      </c>
      <c r="P740">
        <v>-682663.82921000395</v>
      </c>
      <c r="Q740">
        <v>-194605.17440559299</v>
      </c>
      <c r="R740">
        <v>2429.56068255215</v>
      </c>
      <c r="S740">
        <v>41572.716597944098</v>
      </c>
      <c r="T740">
        <v>123948.998743234</v>
      </c>
      <c r="U740">
        <v>352508.224452383</v>
      </c>
      <c r="V740">
        <v>135538.342139972</v>
      </c>
    </row>
    <row r="741" spans="1:22" x14ac:dyDescent="0.3">
      <c r="A741" t="str">
        <f t="shared" si="22"/>
        <v>CTSAPrevisão</v>
      </c>
      <c r="B741" t="str">
        <f t="shared" si="23"/>
        <v>CTSAPrevisãoSet-2023</v>
      </c>
      <c r="C741" t="s">
        <v>672</v>
      </c>
      <c r="D741" t="s">
        <v>673</v>
      </c>
      <c r="E741" t="s">
        <v>667</v>
      </c>
      <c r="F741" t="s">
        <v>736</v>
      </c>
      <c r="G741" t="s">
        <v>737</v>
      </c>
      <c r="H741" t="s">
        <v>738</v>
      </c>
      <c r="I741" t="s">
        <v>739</v>
      </c>
      <c r="J741" t="s">
        <v>739</v>
      </c>
      <c r="K741" s="2">
        <v>45199</v>
      </c>
      <c r="L741">
        <v>-12830.9882310147</v>
      </c>
      <c r="M741">
        <v>680692.83092896501</v>
      </c>
      <c r="N741">
        <v>168978.831553247</v>
      </c>
      <c r="O741">
        <v>107484.061995182</v>
      </c>
      <c r="P741">
        <v>-680692.83092896501</v>
      </c>
      <c r="Q741">
        <v>-174957.69752563699</v>
      </c>
      <c r="R741">
        <v>3105.54935520044</v>
      </c>
      <c r="S741">
        <v>45430.887378204599</v>
      </c>
      <c r="T741">
        <v>135535.82349441599</v>
      </c>
      <c r="U741">
        <v>367261.79842954798</v>
      </c>
      <c r="V741">
        <v>135329.72537101599</v>
      </c>
    </row>
    <row r="742" spans="1:22" x14ac:dyDescent="0.3">
      <c r="A742" t="str">
        <f t="shared" si="22"/>
        <v>CTNMPrevisão</v>
      </c>
      <c r="B742" t="str">
        <f t="shared" si="23"/>
        <v>CTNMPrevisãoDez-2022</v>
      </c>
      <c r="C742" t="s">
        <v>690</v>
      </c>
      <c r="D742" t="s">
        <v>691</v>
      </c>
      <c r="E742" t="s">
        <v>667</v>
      </c>
      <c r="F742" t="s">
        <v>736</v>
      </c>
      <c r="G742" t="s">
        <v>737</v>
      </c>
      <c r="H742" t="s">
        <v>738</v>
      </c>
      <c r="I742" t="s">
        <v>739</v>
      </c>
      <c r="J742" t="s">
        <v>739</v>
      </c>
      <c r="K742" s="2">
        <v>44925</v>
      </c>
      <c r="L742">
        <v>-100685.08530684</v>
      </c>
      <c r="M742">
        <v>1265913.78855783</v>
      </c>
      <c r="N742">
        <v>75854.701977737393</v>
      </c>
      <c r="O742">
        <v>1966.68534080223</v>
      </c>
      <c r="P742">
        <v>-1265913.78855783</v>
      </c>
      <c r="Q742">
        <v>-150603.352007471</v>
      </c>
      <c r="R742">
        <v>1218.2908921144101</v>
      </c>
      <c r="S742">
        <v>1318.5810202867799</v>
      </c>
      <c r="T742">
        <v>104854.810033231</v>
      </c>
      <c r="U742">
        <v>512484.47364395001</v>
      </c>
      <c r="V742">
        <v>-79453.940582283598</v>
      </c>
    </row>
    <row r="743" spans="1:22" x14ac:dyDescent="0.3">
      <c r="A743" t="str">
        <f t="shared" si="22"/>
        <v>CTNMPrevisão</v>
      </c>
      <c r="B743" t="str">
        <f t="shared" si="23"/>
        <v>CTNMPrevisãoMar-2023</v>
      </c>
      <c r="C743" t="s">
        <v>690</v>
      </c>
      <c r="D743" t="s">
        <v>691</v>
      </c>
      <c r="E743" t="s">
        <v>667</v>
      </c>
      <c r="F743" t="s">
        <v>736</v>
      </c>
      <c r="G743" t="s">
        <v>737</v>
      </c>
      <c r="H743" t="s">
        <v>738</v>
      </c>
      <c r="I743" t="s">
        <v>739</v>
      </c>
      <c r="J743" t="s">
        <v>739</v>
      </c>
      <c r="K743" s="2">
        <v>45015</v>
      </c>
      <c r="L743">
        <v>-114171.312913357</v>
      </c>
      <c r="M743">
        <v>1202058.37052326</v>
      </c>
      <c r="N743">
        <v>80140.642796319196</v>
      </c>
      <c r="O743">
        <v>2813.8831604707898</v>
      </c>
      <c r="P743">
        <v>-1202058.37052326</v>
      </c>
      <c r="Q743">
        <v>-144393.00905948199</v>
      </c>
      <c r="R743">
        <v>1229.4591245179399</v>
      </c>
      <c r="S743">
        <v>1265.50728956593</v>
      </c>
      <c r="T743">
        <v>134622.73100997499</v>
      </c>
      <c r="U743">
        <v>429345.13153557701</v>
      </c>
      <c r="V743">
        <v>-87508.399091973406</v>
      </c>
    </row>
    <row r="744" spans="1:22" x14ac:dyDescent="0.3">
      <c r="A744" t="str">
        <f t="shared" si="22"/>
        <v>CTNMPrevisão</v>
      </c>
      <c r="B744" t="str">
        <f t="shared" si="23"/>
        <v>CTNMPrevisãoJun-2023</v>
      </c>
      <c r="C744" t="s">
        <v>690</v>
      </c>
      <c r="D744" t="s">
        <v>691</v>
      </c>
      <c r="E744" t="s">
        <v>667</v>
      </c>
      <c r="F744" t="s">
        <v>736</v>
      </c>
      <c r="G744" t="s">
        <v>737</v>
      </c>
      <c r="H744" t="s">
        <v>738</v>
      </c>
      <c r="I744" t="s">
        <v>739</v>
      </c>
      <c r="J744" t="s">
        <v>739</v>
      </c>
      <c r="K744" s="2">
        <v>45107</v>
      </c>
      <c r="L744">
        <v>-128798.401263293</v>
      </c>
      <c r="M744">
        <v>1125967.71897747</v>
      </c>
      <c r="N744">
        <v>84230.403415521898</v>
      </c>
      <c r="O744">
        <v>3805.6303782770201</v>
      </c>
      <c r="P744">
        <v>-1125967.71897747</v>
      </c>
      <c r="Q744">
        <v>-137063.18362546799</v>
      </c>
      <c r="R744">
        <v>1239.6304666614201</v>
      </c>
      <c r="S744">
        <v>1194.8534070636899</v>
      </c>
      <c r="T744">
        <v>167657.28005711001</v>
      </c>
      <c r="U744">
        <v>335499.59276594198</v>
      </c>
      <c r="V744">
        <v>-96118.004896116399</v>
      </c>
    </row>
    <row r="745" spans="1:22" x14ac:dyDescent="0.3">
      <c r="A745" t="str">
        <f t="shared" si="22"/>
        <v>CTNMPrevisão</v>
      </c>
      <c r="B745" t="str">
        <f t="shared" si="23"/>
        <v>CTNMPrevisãoSet-2023</v>
      </c>
      <c r="C745" t="s">
        <v>690</v>
      </c>
      <c r="D745" t="s">
        <v>691</v>
      </c>
      <c r="E745" t="s">
        <v>667</v>
      </c>
      <c r="F745" t="s">
        <v>736</v>
      </c>
      <c r="G745" t="s">
        <v>737</v>
      </c>
      <c r="H745" t="s">
        <v>738</v>
      </c>
      <c r="I745" t="s">
        <v>739</v>
      </c>
      <c r="J745" t="s">
        <v>739</v>
      </c>
      <c r="K745" s="2">
        <v>45199</v>
      </c>
      <c r="L745">
        <v>-144606.79791006801</v>
      </c>
      <c r="M745">
        <v>1036905.52712658</v>
      </c>
      <c r="N745">
        <v>88088.593414853196</v>
      </c>
      <c r="O745">
        <v>4949.9543695362199</v>
      </c>
      <c r="P745">
        <v>-1036905.52712658</v>
      </c>
      <c r="Q745">
        <v>-128566.98022481101</v>
      </c>
      <c r="R745">
        <v>1248.74541365252</v>
      </c>
      <c r="S745">
        <v>1105.5806724720001</v>
      </c>
      <c r="T745">
        <v>204038.10053693599</v>
      </c>
      <c r="U745">
        <v>230338.74676934601</v>
      </c>
      <c r="V745">
        <v>-105297.705838137</v>
      </c>
    </row>
    <row r="746" spans="1:22" x14ac:dyDescent="0.3">
      <c r="A746" t="str">
        <f t="shared" si="22"/>
        <v>CEDOPrevisão</v>
      </c>
      <c r="B746" t="str">
        <f t="shared" si="23"/>
        <v>CEDOPrevisãoDez-2022</v>
      </c>
      <c r="C746" t="s">
        <v>688</v>
      </c>
      <c r="D746" t="s">
        <v>689</v>
      </c>
      <c r="E746" t="s">
        <v>667</v>
      </c>
      <c r="F746" t="s">
        <v>736</v>
      </c>
      <c r="G746" t="s">
        <v>737</v>
      </c>
      <c r="H746" t="s">
        <v>738</v>
      </c>
      <c r="I746" t="s">
        <v>739</v>
      </c>
      <c r="J746" t="s">
        <v>739</v>
      </c>
      <c r="K746" s="2">
        <v>44925</v>
      </c>
      <c r="L746">
        <v>-2292.9475426503</v>
      </c>
      <c r="M746">
        <v>720747.92623714905</v>
      </c>
      <c r="N746">
        <v>370732.22773958399</v>
      </c>
      <c r="O746">
        <v>181447.504456322</v>
      </c>
      <c r="P746">
        <v>-720747.92623714905</v>
      </c>
      <c r="Q746">
        <v>-429022.50131574302</v>
      </c>
      <c r="R746">
        <v>21555.264833206002</v>
      </c>
      <c r="S746">
        <v>15775.4379933782</v>
      </c>
      <c r="T746">
        <v>19283.165096360601</v>
      </c>
      <c r="U746">
        <v>165503.27383074301</v>
      </c>
      <c r="V746">
        <v>264594.50734232098</v>
      </c>
    </row>
    <row r="747" spans="1:22" x14ac:dyDescent="0.3">
      <c r="A747" t="str">
        <f t="shared" si="22"/>
        <v>CEDOPrevisão</v>
      </c>
      <c r="B747" t="str">
        <f t="shared" si="23"/>
        <v>CEDOPrevisãoMar-2023</v>
      </c>
      <c r="C747" t="s">
        <v>688</v>
      </c>
      <c r="D747" t="s">
        <v>689</v>
      </c>
      <c r="E747" t="s">
        <v>667</v>
      </c>
      <c r="F747" t="s">
        <v>736</v>
      </c>
      <c r="G747" t="s">
        <v>737</v>
      </c>
      <c r="H747" t="s">
        <v>738</v>
      </c>
      <c r="I747" t="s">
        <v>739</v>
      </c>
      <c r="J747" t="s">
        <v>739</v>
      </c>
      <c r="K747" s="2">
        <v>45015</v>
      </c>
      <c r="L747">
        <v>-2366.6626817773099</v>
      </c>
      <c r="M747">
        <v>764095.02094530396</v>
      </c>
      <c r="N747">
        <v>402791.28638417402</v>
      </c>
      <c r="O747">
        <v>198295.312624307</v>
      </c>
      <c r="P747">
        <v>-764095.02094530396</v>
      </c>
      <c r="Q747">
        <v>-460174.23979984398</v>
      </c>
      <c r="R747">
        <v>22385.449142802001</v>
      </c>
      <c r="S747">
        <v>16363.7775621296</v>
      </c>
      <c r="T747">
        <v>27674.161785950899</v>
      </c>
      <c r="U747">
        <v>180901.861618683</v>
      </c>
      <c r="V747">
        <v>293116.38314325799</v>
      </c>
    </row>
    <row r="748" spans="1:22" x14ac:dyDescent="0.3">
      <c r="A748" t="str">
        <f t="shared" si="22"/>
        <v>CEDOPrevisão</v>
      </c>
      <c r="B748" t="str">
        <f t="shared" si="23"/>
        <v>CEDOPrevisãoJun-2023</v>
      </c>
      <c r="C748" t="s">
        <v>688</v>
      </c>
      <c r="D748" t="s">
        <v>689</v>
      </c>
      <c r="E748" t="s">
        <v>667</v>
      </c>
      <c r="F748" t="s">
        <v>736</v>
      </c>
      <c r="G748" t="s">
        <v>737</v>
      </c>
      <c r="H748" t="s">
        <v>738</v>
      </c>
      <c r="I748" t="s">
        <v>739</v>
      </c>
      <c r="J748" t="s">
        <v>739</v>
      </c>
      <c r="K748" s="2">
        <v>45107</v>
      </c>
      <c r="L748">
        <v>-2538.4553445298802</v>
      </c>
      <c r="M748">
        <v>812002.64455919003</v>
      </c>
      <c r="N748">
        <v>437630.360146411</v>
      </c>
      <c r="O748">
        <v>216641.65707228999</v>
      </c>
      <c r="P748">
        <v>-812002.64455919003</v>
      </c>
      <c r="Q748">
        <v>-494020.99187950499</v>
      </c>
      <c r="R748">
        <v>23227.9759794774</v>
      </c>
      <c r="S748">
        <v>16965.274810091301</v>
      </c>
      <c r="T748">
        <v>37352.182339581101</v>
      </c>
      <c r="U748">
        <v>198701.42199599501</v>
      </c>
      <c r="V748">
        <v>324313.05568021798</v>
      </c>
    </row>
    <row r="749" spans="1:22" x14ac:dyDescent="0.3">
      <c r="A749" t="str">
        <f t="shared" si="22"/>
        <v>CEDOPrevisão</v>
      </c>
      <c r="B749" t="str">
        <f t="shared" si="23"/>
        <v>CEDOPrevisãoSet-2023</v>
      </c>
      <c r="C749" t="s">
        <v>688</v>
      </c>
      <c r="D749" t="s">
        <v>689</v>
      </c>
      <c r="E749" t="s">
        <v>667</v>
      </c>
      <c r="F749" t="s">
        <v>736</v>
      </c>
      <c r="G749" t="s">
        <v>737</v>
      </c>
      <c r="H749" t="s">
        <v>738</v>
      </c>
      <c r="I749" t="s">
        <v>739</v>
      </c>
      <c r="J749" t="s">
        <v>739</v>
      </c>
      <c r="K749" s="2">
        <v>45199</v>
      </c>
      <c r="L749">
        <v>-2817.1200843868</v>
      </c>
      <c r="M749">
        <v>864673.51248795202</v>
      </c>
      <c r="N749">
        <v>475360.88236660499</v>
      </c>
      <c r="O749">
        <v>236546.997016312</v>
      </c>
      <c r="P749">
        <v>-864673.51248795202</v>
      </c>
      <c r="Q749">
        <v>-530677.46386722196</v>
      </c>
      <c r="R749">
        <v>24082.043861696799</v>
      </c>
      <c r="S749">
        <v>17580.291979628699</v>
      </c>
      <c r="T749">
        <v>48378.450407605102</v>
      </c>
      <c r="U749">
        <v>219009.20976997699</v>
      </c>
      <c r="V749">
        <v>358298.03505333402</v>
      </c>
    </row>
    <row r="750" spans="1:22" x14ac:dyDescent="0.3">
      <c r="A750" t="str">
        <f t="shared" si="22"/>
        <v>CAMBPrevisão</v>
      </c>
      <c r="B750" t="str">
        <f t="shared" si="23"/>
        <v>CAMBPrevisãoDez-2022</v>
      </c>
      <c r="C750" t="s">
        <v>670</v>
      </c>
      <c r="D750" t="s">
        <v>671</v>
      </c>
      <c r="E750" t="s">
        <v>667</v>
      </c>
      <c r="F750" t="s">
        <v>736</v>
      </c>
      <c r="G750" t="s">
        <v>737</v>
      </c>
      <c r="H750" t="s">
        <v>738</v>
      </c>
      <c r="I750" t="s">
        <v>739</v>
      </c>
      <c r="J750" t="s">
        <v>739</v>
      </c>
      <c r="K750" s="2">
        <v>44925</v>
      </c>
      <c r="L750">
        <v>18025.860792801901</v>
      </c>
      <c r="M750">
        <v>436646.38349890098</v>
      </c>
      <c r="N750">
        <v>143415.91078858799</v>
      </c>
      <c r="O750">
        <v>94273.200831841503</v>
      </c>
      <c r="P750">
        <v>-436646.38349890098</v>
      </c>
      <c r="Q750">
        <v>-76739.190136768302</v>
      </c>
      <c r="R750">
        <v>7788.2253628799299</v>
      </c>
      <c r="S750">
        <v>-7205.3768780238197</v>
      </c>
      <c r="T750">
        <v>77378.681096668704</v>
      </c>
      <c r="U750">
        <v>196481.12129700399</v>
      </c>
      <c r="V750">
        <v>108390.739580685</v>
      </c>
    </row>
    <row r="751" spans="1:22" x14ac:dyDescent="0.3">
      <c r="A751" t="str">
        <f t="shared" si="22"/>
        <v>CAMBPrevisão</v>
      </c>
      <c r="B751" t="str">
        <f t="shared" si="23"/>
        <v>CAMBPrevisãoMar-2023</v>
      </c>
      <c r="C751" t="s">
        <v>670</v>
      </c>
      <c r="D751" t="s">
        <v>671</v>
      </c>
      <c r="E751" t="s">
        <v>667</v>
      </c>
      <c r="F751" t="s">
        <v>736</v>
      </c>
      <c r="G751" t="s">
        <v>737</v>
      </c>
      <c r="H751" t="s">
        <v>738</v>
      </c>
      <c r="I751" t="s">
        <v>739</v>
      </c>
      <c r="J751" t="s">
        <v>739</v>
      </c>
      <c r="K751" s="2">
        <v>45015</v>
      </c>
      <c r="L751">
        <v>20477.444079679201</v>
      </c>
      <c r="M751">
        <v>476385.73628179199</v>
      </c>
      <c r="N751">
        <v>158371.37318682001</v>
      </c>
      <c r="O751">
        <v>105777.687951506</v>
      </c>
      <c r="P751">
        <v>-476385.73628179199</v>
      </c>
      <c r="Q751">
        <v>-75069.843974735399</v>
      </c>
      <c r="R751">
        <v>7240.2091205125498</v>
      </c>
      <c r="S751">
        <v>-12400.227854286501</v>
      </c>
      <c r="T751">
        <v>89455.6596581169</v>
      </c>
      <c r="U751">
        <v>220884.65166541401</v>
      </c>
      <c r="V751">
        <v>122631.257588382</v>
      </c>
    </row>
    <row r="752" spans="1:22" x14ac:dyDescent="0.3">
      <c r="A752" t="str">
        <f t="shared" si="22"/>
        <v>CAMBPrevisão</v>
      </c>
      <c r="B752" t="str">
        <f t="shared" si="23"/>
        <v>CAMBPrevisãoJun-2023</v>
      </c>
      <c r="C752" t="s">
        <v>670</v>
      </c>
      <c r="D752" t="s">
        <v>671</v>
      </c>
      <c r="E752" t="s">
        <v>667</v>
      </c>
      <c r="F752" t="s">
        <v>736</v>
      </c>
      <c r="G752" t="s">
        <v>737</v>
      </c>
      <c r="H752" t="s">
        <v>738</v>
      </c>
      <c r="I752" t="s">
        <v>739</v>
      </c>
      <c r="J752" t="s">
        <v>739</v>
      </c>
      <c r="K752" s="2">
        <v>45107</v>
      </c>
      <c r="L752">
        <v>23111.222752042799</v>
      </c>
      <c r="M752">
        <v>520334.83230702201</v>
      </c>
      <c r="N752">
        <v>175316.30214710801</v>
      </c>
      <c r="O752">
        <v>118774.640156416</v>
      </c>
      <c r="P752">
        <v>-520334.83230702201</v>
      </c>
      <c r="Q752">
        <v>-74232.160297069306</v>
      </c>
      <c r="R752">
        <v>6716.8355884041903</v>
      </c>
      <c r="S752">
        <v>-18118.002922829201</v>
      </c>
      <c r="T752">
        <v>102626.39828963501</v>
      </c>
      <c r="U752">
        <v>247078.62757570401</v>
      </c>
      <c r="V752">
        <v>138532.53786705699</v>
      </c>
    </row>
    <row r="753" spans="1:22" x14ac:dyDescent="0.3">
      <c r="A753" t="str">
        <f t="shared" si="22"/>
        <v>CAMBPrevisão</v>
      </c>
      <c r="B753" t="str">
        <f t="shared" si="23"/>
        <v>CAMBPrevisãoSet-2023</v>
      </c>
      <c r="C753" t="s">
        <v>670</v>
      </c>
      <c r="D753" t="s">
        <v>671</v>
      </c>
      <c r="E753" t="s">
        <v>667</v>
      </c>
      <c r="F753" t="s">
        <v>736</v>
      </c>
      <c r="G753" t="s">
        <v>737</v>
      </c>
      <c r="H753" t="s">
        <v>738</v>
      </c>
      <c r="I753" t="s">
        <v>739</v>
      </c>
      <c r="J753" t="s">
        <v>739</v>
      </c>
      <c r="K753" s="2">
        <v>45199</v>
      </c>
      <c r="L753">
        <v>25932.993818943702</v>
      </c>
      <c r="M753">
        <v>568685.73115860601</v>
      </c>
      <c r="N753">
        <v>194346.09191084199</v>
      </c>
      <c r="O753">
        <v>133335.82046790101</v>
      </c>
      <c r="P753">
        <v>-568685.73115860601</v>
      </c>
      <c r="Q753">
        <v>-74305.539683787196</v>
      </c>
      <c r="R753">
        <v>6223.3887246128197</v>
      </c>
      <c r="S753">
        <v>-24379.1378529424</v>
      </c>
      <c r="T753">
        <v>116935.07494345</v>
      </c>
      <c r="U753">
        <v>275117.43905027403</v>
      </c>
      <c r="V753">
        <v>156173.574959627</v>
      </c>
    </row>
    <row r="754" spans="1:22" x14ac:dyDescent="0.3">
      <c r="A754" t="str">
        <f t="shared" si="22"/>
        <v>ARZZPrevisão</v>
      </c>
      <c r="B754" t="str">
        <f t="shared" si="23"/>
        <v>ARZZPrevisãoDez-2022</v>
      </c>
      <c r="C754" t="s">
        <v>668</v>
      </c>
      <c r="D754" t="s">
        <v>669</v>
      </c>
      <c r="E754" t="s">
        <v>667</v>
      </c>
      <c r="F754" t="s">
        <v>736</v>
      </c>
      <c r="G754" t="s">
        <v>737</v>
      </c>
      <c r="H754" t="s">
        <v>738</v>
      </c>
      <c r="I754" t="s">
        <v>739</v>
      </c>
      <c r="J754" t="s">
        <v>739</v>
      </c>
      <c r="K754" s="2">
        <v>44925</v>
      </c>
      <c r="L754">
        <v>138694.66590958001</v>
      </c>
      <c r="M754">
        <v>4368859.78052828</v>
      </c>
      <c r="N754">
        <v>1530422.3724732499</v>
      </c>
      <c r="O754">
        <v>636886.995457654</v>
      </c>
      <c r="P754">
        <v>-4368859.78052828</v>
      </c>
      <c r="Q754">
        <v>-1152611.0054508799</v>
      </c>
      <c r="R754">
        <v>88319.791505803107</v>
      </c>
      <c r="S754">
        <v>19704.769702473801</v>
      </c>
      <c r="T754">
        <v>669880.48065722897</v>
      </c>
      <c r="U754">
        <v>2963317.1018998199</v>
      </c>
      <c r="V754">
        <v>860477.10212737299</v>
      </c>
    </row>
    <row r="755" spans="1:22" x14ac:dyDescent="0.3">
      <c r="A755" t="str">
        <f t="shared" si="22"/>
        <v>ARZZPrevisão</v>
      </c>
      <c r="B755" t="str">
        <f t="shared" si="23"/>
        <v>ARZZPrevisãoMar-2023</v>
      </c>
      <c r="C755" t="s">
        <v>668</v>
      </c>
      <c r="D755" t="s">
        <v>669</v>
      </c>
      <c r="E755" t="s">
        <v>667</v>
      </c>
      <c r="F755" t="s">
        <v>736</v>
      </c>
      <c r="G755" t="s">
        <v>737</v>
      </c>
      <c r="H755" t="s">
        <v>738</v>
      </c>
      <c r="I755" t="s">
        <v>739</v>
      </c>
      <c r="J755" t="s">
        <v>739</v>
      </c>
      <c r="K755" s="2">
        <v>45015</v>
      </c>
      <c r="L755">
        <v>157032.95700695601</v>
      </c>
      <c r="M755">
        <v>4837650.8383636503</v>
      </c>
      <c r="N755">
        <v>1660875.6290925399</v>
      </c>
      <c r="O755">
        <v>695601.52392907697</v>
      </c>
      <c r="P755">
        <v>-4837650.8383636503</v>
      </c>
      <c r="Q755">
        <v>-1268289.8880229699</v>
      </c>
      <c r="R755">
        <v>98048.022217719597</v>
      </c>
      <c r="S755">
        <v>20716.040064387998</v>
      </c>
      <c r="T755">
        <v>732180.737232705</v>
      </c>
      <c r="U755">
        <v>3319431.1870490699</v>
      </c>
      <c r="V755">
        <v>959945.09136518196</v>
      </c>
    </row>
    <row r="756" spans="1:22" x14ac:dyDescent="0.3">
      <c r="A756" t="str">
        <f t="shared" si="22"/>
        <v>ARZZPrevisão</v>
      </c>
      <c r="B756" t="str">
        <f t="shared" si="23"/>
        <v>ARZZPrevisãoJun-2023</v>
      </c>
      <c r="C756" t="s">
        <v>668</v>
      </c>
      <c r="D756" t="s">
        <v>669</v>
      </c>
      <c r="E756" t="s">
        <v>667</v>
      </c>
      <c r="F756" t="s">
        <v>736</v>
      </c>
      <c r="G756" t="s">
        <v>737</v>
      </c>
      <c r="H756" t="s">
        <v>738</v>
      </c>
      <c r="I756" t="s">
        <v>739</v>
      </c>
      <c r="J756" t="s">
        <v>739</v>
      </c>
      <c r="K756" s="2">
        <v>45107</v>
      </c>
      <c r="L756">
        <v>177111.28495382401</v>
      </c>
      <c r="M756">
        <v>5345221.0673738597</v>
      </c>
      <c r="N756">
        <v>1802458.21445529</v>
      </c>
      <c r="O756">
        <v>760044.17917640903</v>
      </c>
      <c r="P756">
        <v>-5345221.0673738597</v>
      </c>
      <c r="Q756">
        <v>-1392605.97147853</v>
      </c>
      <c r="R756">
        <v>108586.320359124</v>
      </c>
      <c r="S756">
        <v>21817.285158289302</v>
      </c>
      <c r="T756">
        <v>800498.01986972895</v>
      </c>
      <c r="U756">
        <v>3707726.7012635199</v>
      </c>
      <c r="V756">
        <v>1068983.9657395801</v>
      </c>
    </row>
    <row r="757" spans="1:22" x14ac:dyDescent="0.3">
      <c r="A757" t="str">
        <f t="shared" si="22"/>
        <v>ARZZPrevisão</v>
      </c>
      <c r="B757" t="str">
        <f t="shared" si="23"/>
        <v>ARZZPrevisãoSet-2023</v>
      </c>
      <c r="C757" t="s">
        <v>668</v>
      </c>
      <c r="D757" t="s">
        <v>669</v>
      </c>
      <c r="E757" t="s">
        <v>667</v>
      </c>
      <c r="F757" t="s">
        <v>736</v>
      </c>
      <c r="G757" t="s">
        <v>737</v>
      </c>
      <c r="H757" t="s">
        <v>738</v>
      </c>
      <c r="I757" t="s">
        <v>739</v>
      </c>
      <c r="J757" t="s">
        <v>739</v>
      </c>
      <c r="K757" s="2">
        <v>45199</v>
      </c>
      <c r="L757">
        <v>199003.48405114299</v>
      </c>
      <c r="M757">
        <v>5893104.4846350597</v>
      </c>
      <c r="N757">
        <v>1955635.0123755501</v>
      </c>
      <c r="O757">
        <v>830479.20508762298</v>
      </c>
      <c r="P757">
        <v>-5893104.4846350597</v>
      </c>
      <c r="Q757">
        <v>-1525876.30159529</v>
      </c>
      <c r="R757">
        <v>119966.922753886</v>
      </c>
      <c r="S757">
        <v>23013.0403325769</v>
      </c>
      <c r="T757">
        <v>875117.09337394906</v>
      </c>
      <c r="U757">
        <v>4129544.8042776901</v>
      </c>
      <c r="V757">
        <v>1188013.6662135599</v>
      </c>
    </row>
    <row r="758" spans="1:22" x14ac:dyDescent="0.3">
      <c r="A758" t="str">
        <f t="shared" si="22"/>
        <v>ALPAPrevisão</v>
      </c>
      <c r="B758" t="str">
        <f t="shared" si="23"/>
        <v>ALPAPrevisãoDez-2022</v>
      </c>
      <c r="C758" t="s">
        <v>665</v>
      </c>
      <c r="D758" t="s">
        <v>666</v>
      </c>
      <c r="E758" t="s">
        <v>667</v>
      </c>
      <c r="F758" t="s">
        <v>736</v>
      </c>
      <c r="G758" t="s">
        <v>737</v>
      </c>
      <c r="H758" t="s">
        <v>738</v>
      </c>
      <c r="I758" t="s">
        <v>739</v>
      </c>
      <c r="J758" t="s">
        <v>739</v>
      </c>
      <c r="K758" s="2">
        <v>44925</v>
      </c>
      <c r="L758">
        <v>65845.336134457204</v>
      </c>
      <c r="M758">
        <v>8492513.5186309498</v>
      </c>
      <c r="N758">
        <v>3365236.0439691101</v>
      </c>
      <c r="O758">
        <v>904160.991087256</v>
      </c>
      <c r="P758">
        <v>-8492513.5186309498</v>
      </c>
      <c r="Q758">
        <v>-1986119.7079195399</v>
      </c>
      <c r="R758">
        <v>147613.42704353601</v>
      </c>
      <c r="S758">
        <v>19365.989474581402</v>
      </c>
      <c r="T758">
        <v>1873534.6485868101</v>
      </c>
      <c r="U758">
        <v>6240580.7281217398</v>
      </c>
      <c r="V758">
        <v>918973.15584434196</v>
      </c>
    </row>
    <row r="759" spans="1:22" x14ac:dyDescent="0.3">
      <c r="A759" t="str">
        <f t="shared" si="22"/>
        <v>ALPAPrevisão</v>
      </c>
      <c r="B759" t="str">
        <f t="shared" si="23"/>
        <v>ALPAPrevisãoMar-2023</v>
      </c>
      <c r="C759" t="s">
        <v>665</v>
      </c>
      <c r="D759" t="s">
        <v>666</v>
      </c>
      <c r="E759" t="s">
        <v>667</v>
      </c>
      <c r="F759" t="s">
        <v>736</v>
      </c>
      <c r="G759" t="s">
        <v>737</v>
      </c>
      <c r="H759" t="s">
        <v>738</v>
      </c>
      <c r="I759" t="s">
        <v>739</v>
      </c>
      <c r="J759" t="s">
        <v>739</v>
      </c>
      <c r="K759" s="2">
        <v>45015</v>
      </c>
      <c r="L759">
        <v>64839.014686960501</v>
      </c>
      <c r="M759">
        <v>9277086.3068676293</v>
      </c>
      <c r="N759">
        <v>3549437.8351996099</v>
      </c>
      <c r="O759">
        <v>954132.70520779397</v>
      </c>
      <c r="P759">
        <v>-9277086.3068676293</v>
      </c>
      <c r="Q759">
        <v>-2141749.5031142901</v>
      </c>
      <c r="R759">
        <v>152684.15377944001</v>
      </c>
      <c r="S759">
        <v>19192.647352474301</v>
      </c>
      <c r="T759">
        <v>1990201.2846339101</v>
      </c>
      <c r="U759">
        <v>6874853.17601893</v>
      </c>
      <c r="V759">
        <v>982195.13878300402</v>
      </c>
    </row>
    <row r="760" spans="1:22" x14ac:dyDescent="0.3">
      <c r="A760" t="str">
        <f t="shared" si="22"/>
        <v>ALPAPrevisão</v>
      </c>
      <c r="B760" t="str">
        <f t="shared" si="23"/>
        <v>ALPAPrevisãoJun-2023</v>
      </c>
      <c r="C760" t="s">
        <v>665</v>
      </c>
      <c r="D760" t="s">
        <v>666</v>
      </c>
      <c r="E760" t="s">
        <v>667</v>
      </c>
      <c r="F760" t="s">
        <v>736</v>
      </c>
      <c r="G760" t="s">
        <v>737</v>
      </c>
      <c r="H760" t="s">
        <v>738</v>
      </c>
      <c r="I760" t="s">
        <v>739</v>
      </c>
      <c r="J760" t="s">
        <v>739</v>
      </c>
      <c r="K760" s="2">
        <v>45107</v>
      </c>
      <c r="L760">
        <v>63800.193942732498</v>
      </c>
      <c r="M760">
        <v>10132677.999378201</v>
      </c>
      <c r="N760">
        <v>3745386.8377370201</v>
      </c>
      <c r="O760">
        <v>1009380.86766915</v>
      </c>
      <c r="P760">
        <v>-10132677.999378201</v>
      </c>
      <c r="Q760">
        <v>-2309454.5277252598</v>
      </c>
      <c r="R760">
        <v>158190.196255555</v>
      </c>
      <c r="S760">
        <v>18901.941392604</v>
      </c>
      <c r="T760">
        <v>2120453.8174275002</v>
      </c>
      <c r="U760">
        <v>7567053.4190684799</v>
      </c>
      <c r="V760">
        <v>1052561.9760916601</v>
      </c>
    </row>
    <row r="761" spans="1:22" x14ac:dyDescent="0.3">
      <c r="A761" t="str">
        <f t="shared" si="22"/>
        <v>ALPAPrevisão</v>
      </c>
      <c r="B761" t="str">
        <f t="shared" si="23"/>
        <v>ALPAPrevisãoSet-2023</v>
      </c>
      <c r="C761" t="s">
        <v>665</v>
      </c>
      <c r="D761" t="s">
        <v>666</v>
      </c>
      <c r="E761" t="s">
        <v>667</v>
      </c>
      <c r="F761" t="s">
        <v>736</v>
      </c>
      <c r="G761" t="s">
        <v>737</v>
      </c>
      <c r="H761" t="s">
        <v>738</v>
      </c>
      <c r="I761" t="s">
        <v>739</v>
      </c>
      <c r="J761" t="s">
        <v>739</v>
      </c>
      <c r="K761" s="2">
        <v>45199</v>
      </c>
      <c r="L761">
        <v>62729.277873975901</v>
      </c>
      <c r="M761">
        <v>11062366.0366701</v>
      </c>
      <c r="N761">
        <v>3953462.05797895</v>
      </c>
      <c r="O761">
        <v>1070172.34135785</v>
      </c>
      <c r="P761">
        <v>-11062366.0366701</v>
      </c>
      <c r="Q761">
        <v>-2489714.1132285502</v>
      </c>
      <c r="R761">
        <v>164154.30542873</v>
      </c>
      <c r="S761">
        <v>18485.832192884402</v>
      </c>
      <c r="T761">
        <v>2265015.4498307202</v>
      </c>
      <c r="U761">
        <v>8319661.8473910997</v>
      </c>
      <c r="V761">
        <v>1130429.7238600601</v>
      </c>
    </row>
    <row r="762" spans="1:22" x14ac:dyDescent="0.3">
      <c r="A762" t="str">
        <f t="shared" si="22"/>
        <v>MWETPrevisão</v>
      </c>
      <c r="B762" t="str">
        <f t="shared" si="23"/>
        <v>MWETPrevisãoDez-2017</v>
      </c>
      <c r="C762" t="s">
        <v>708</v>
      </c>
      <c r="D762" t="s">
        <v>552</v>
      </c>
      <c r="E762" t="s">
        <v>522</v>
      </c>
      <c r="F762" t="s">
        <v>736</v>
      </c>
      <c r="G762" t="s">
        <v>737</v>
      </c>
      <c r="H762" t="s">
        <v>738</v>
      </c>
      <c r="I762" t="s">
        <v>739</v>
      </c>
      <c r="J762" t="s">
        <v>739</v>
      </c>
      <c r="K762" s="2">
        <v>43099</v>
      </c>
      <c r="L762">
        <v>5020.1509209759197</v>
      </c>
      <c r="M762">
        <v>182831.98472114201</v>
      </c>
      <c r="N762">
        <v>34107.965113296901</v>
      </c>
      <c r="O762">
        <v>9419.6929802198301</v>
      </c>
      <c r="P762">
        <v>-182831.98472114201</v>
      </c>
      <c r="Q762">
        <v>-202165.15278838301</v>
      </c>
      <c r="R762">
        <v>54611.735676081</v>
      </c>
      <c r="S762">
        <v>38140.567184472202</v>
      </c>
      <c r="T762">
        <v>0</v>
      </c>
      <c r="U762">
        <v>-259580.67345723399</v>
      </c>
      <c r="V762">
        <v>21798.562431036102</v>
      </c>
    </row>
    <row r="763" spans="1:22" x14ac:dyDescent="0.3">
      <c r="A763" t="str">
        <f t="shared" si="22"/>
        <v>MWETPrevisão</v>
      </c>
      <c r="B763" t="str">
        <f t="shared" si="23"/>
        <v>MWETPrevisãoMar-2018</v>
      </c>
      <c r="C763" t="s">
        <v>708</v>
      </c>
      <c r="D763" t="s">
        <v>552</v>
      </c>
      <c r="E763" t="s">
        <v>522</v>
      </c>
      <c r="F763" t="s">
        <v>736</v>
      </c>
      <c r="G763" t="s">
        <v>737</v>
      </c>
      <c r="H763" t="s">
        <v>738</v>
      </c>
      <c r="I763" t="s">
        <v>739</v>
      </c>
      <c r="J763" t="s">
        <v>739</v>
      </c>
      <c r="K763" s="2">
        <v>43189</v>
      </c>
      <c r="L763">
        <v>9412.0930472145592</v>
      </c>
      <c r="M763">
        <v>179779.26275471301</v>
      </c>
      <c r="N763">
        <v>34581.749619729198</v>
      </c>
      <c r="O763">
        <v>7202.3351732154697</v>
      </c>
      <c r="P763">
        <v>-179779.26275471301</v>
      </c>
      <c r="Q763">
        <v>-227416.88225658101</v>
      </c>
      <c r="R763">
        <v>63493.662138065898</v>
      </c>
      <c r="S763">
        <v>45215.272220298197</v>
      </c>
      <c r="T763">
        <v>0</v>
      </c>
      <c r="U763">
        <v>-303592.45459818502</v>
      </c>
      <c r="V763">
        <v>18513.858702863399</v>
      </c>
    </row>
    <row r="764" spans="1:22" x14ac:dyDescent="0.3">
      <c r="A764" t="str">
        <f t="shared" si="22"/>
        <v>MWETPrevisão</v>
      </c>
      <c r="B764" t="str">
        <f t="shared" si="23"/>
        <v>MWETPrevisãoJun-2018</v>
      </c>
      <c r="C764" t="s">
        <v>708</v>
      </c>
      <c r="D764" t="s">
        <v>552</v>
      </c>
      <c r="E764" t="s">
        <v>522</v>
      </c>
      <c r="F764" t="s">
        <v>736</v>
      </c>
      <c r="G764" t="s">
        <v>737</v>
      </c>
      <c r="H764" t="s">
        <v>738</v>
      </c>
      <c r="I764" t="s">
        <v>739</v>
      </c>
      <c r="J764" t="s">
        <v>739</v>
      </c>
      <c r="K764" s="2">
        <v>43281</v>
      </c>
      <c r="L764">
        <v>14544.0253570351</v>
      </c>
      <c r="M764">
        <v>176603.38810277</v>
      </c>
      <c r="N764">
        <v>35569.053562126901</v>
      </c>
      <c r="O764">
        <v>4888.4164361363801</v>
      </c>
      <c r="P764">
        <v>-176603.38810277</v>
      </c>
      <c r="Q764">
        <v>-255348.72528118099</v>
      </c>
      <c r="R764">
        <v>73421.087167976497</v>
      </c>
      <c r="S764">
        <v>53134.808107280202</v>
      </c>
      <c r="T764">
        <v>0</v>
      </c>
      <c r="U764">
        <v>-351954.70293545298</v>
      </c>
      <c r="V764">
        <v>15133.735291286601</v>
      </c>
    </row>
    <row r="765" spans="1:22" x14ac:dyDescent="0.3">
      <c r="A765" t="str">
        <f t="shared" si="22"/>
        <v>MWETPrevisão</v>
      </c>
      <c r="B765" t="str">
        <f t="shared" si="23"/>
        <v>MWETPrevisãoSet-2018</v>
      </c>
      <c r="C765" t="s">
        <v>708</v>
      </c>
      <c r="D765" t="s">
        <v>552</v>
      </c>
      <c r="E765" t="s">
        <v>522</v>
      </c>
      <c r="F765" t="s">
        <v>736</v>
      </c>
      <c r="G765" t="s">
        <v>737</v>
      </c>
      <c r="H765" t="s">
        <v>738</v>
      </c>
      <c r="I765" t="s">
        <v>739</v>
      </c>
      <c r="J765" t="s">
        <v>739</v>
      </c>
      <c r="K765" s="2">
        <v>43373</v>
      </c>
      <c r="L765">
        <v>20458.257404920601</v>
      </c>
      <c r="M765">
        <v>173308.866877391</v>
      </c>
      <c r="N765">
        <v>37109.700811623799</v>
      </c>
      <c r="O765">
        <v>2479.1868235793499</v>
      </c>
      <c r="P765">
        <v>-173308.866877391</v>
      </c>
      <c r="Q765">
        <v>-286072.38276109402</v>
      </c>
      <c r="R765">
        <v>84442.392334179094</v>
      </c>
      <c r="S765">
        <v>61939.239123362</v>
      </c>
      <c r="T765">
        <v>0</v>
      </c>
      <c r="U765">
        <v>-404831.27616405499</v>
      </c>
      <c r="V765">
        <v>11663.3696589663</v>
      </c>
    </row>
    <row r="766" spans="1:22" x14ac:dyDescent="0.3">
      <c r="A766" t="str">
        <f t="shared" si="22"/>
        <v>USIMPrevisão</v>
      </c>
      <c r="B766" t="str">
        <f t="shared" si="23"/>
        <v>USIMPrevisãoDez-2022</v>
      </c>
      <c r="C766" t="s">
        <v>541</v>
      </c>
      <c r="D766" t="s">
        <v>542</v>
      </c>
      <c r="E766" t="s">
        <v>522</v>
      </c>
      <c r="F766" t="s">
        <v>736</v>
      </c>
      <c r="G766" t="s">
        <v>737</v>
      </c>
      <c r="H766" t="s">
        <v>738</v>
      </c>
      <c r="I766" t="s">
        <v>739</v>
      </c>
      <c r="J766" t="s">
        <v>739</v>
      </c>
      <c r="K766" s="2">
        <v>44925</v>
      </c>
      <c r="L766">
        <v>1699310.28427126</v>
      </c>
      <c r="M766">
        <v>42327740.113909498</v>
      </c>
      <c r="N766">
        <v>19085050.373228598</v>
      </c>
      <c r="O766">
        <v>4963786.0187590001</v>
      </c>
      <c r="P766">
        <v>-42327740.113909498</v>
      </c>
      <c r="Q766">
        <v>-6517903.7724304497</v>
      </c>
      <c r="R766">
        <v>211688.423308667</v>
      </c>
      <c r="S766">
        <v>250760.58356675701</v>
      </c>
      <c r="T766">
        <v>10288656.7190409</v>
      </c>
      <c r="U766">
        <v>27121009.883032002</v>
      </c>
      <c r="V766">
        <v>9522889.0374325998</v>
      </c>
    </row>
    <row r="767" spans="1:22" x14ac:dyDescent="0.3">
      <c r="A767" t="str">
        <f t="shared" si="22"/>
        <v>USIMPrevisão</v>
      </c>
      <c r="B767" t="str">
        <f t="shared" si="23"/>
        <v>USIMPrevisãoMar-2023</v>
      </c>
      <c r="C767" t="s">
        <v>541</v>
      </c>
      <c r="D767" t="s">
        <v>542</v>
      </c>
      <c r="E767" t="s">
        <v>522</v>
      </c>
      <c r="F767" t="s">
        <v>736</v>
      </c>
      <c r="G767" t="s">
        <v>737</v>
      </c>
      <c r="H767" t="s">
        <v>738</v>
      </c>
      <c r="I767" t="s">
        <v>739</v>
      </c>
      <c r="J767" t="s">
        <v>739</v>
      </c>
      <c r="K767" s="2">
        <v>45015</v>
      </c>
      <c r="L767">
        <v>1894868.10324453</v>
      </c>
      <c r="M767">
        <v>45714320.260779001</v>
      </c>
      <c r="N767">
        <v>20995020.729115501</v>
      </c>
      <c r="O767">
        <v>5435631.5422932496</v>
      </c>
      <c r="P767">
        <v>-45714320.260779001</v>
      </c>
      <c r="Q767">
        <v>-7373082.9268019097</v>
      </c>
      <c r="R767">
        <v>224008.526757413</v>
      </c>
      <c r="S767">
        <v>270930.80387109402</v>
      </c>
      <c r="T767">
        <v>12269709.173683099</v>
      </c>
      <c r="U767">
        <v>29496061.911036398</v>
      </c>
      <c r="V767">
        <v>10525806.8913475</v>
      </c>
    </row>
    <row r="768" spans="1:22" x14ac:dyDescent="0.3">
      <c r="A768" t="str">
        <f t="shared" si="22"/>
        <v>USIMPrevisão</v>
      </c>
      <c r="B768" t="str">
        <f t="shared" si="23"/>
        <v>USIMPrevisãoJun-2023</v>
      </c>
      <c r="C768" t="s">
        <v>541</v>
      </c>
      <c r="D768" t="s">
        <v>542</v>
      </c>
      <c r="E768" t="s">
        <v>522</v>
      </c>
      <c r="F768" t="s">
        <v>736</v>
      </c>
      <c r="G768" t="s">
        <v>737</v>
      </c>
      <c r="H768" t="s">
        <v>738</v>
      </c>
      <c r="I768" t="s">
        <v>739</v>
      </c>
      <c r="J768" t="s">
        <v>739</v>
      </c>
      <c r="K768" s="2">
        <v>45107</v>
      </c>
      <c r="L768">
        <v>2102024.3020128501</v>
      </c>
      <c r="M768">
        <v>49454919.679572403</v>
      </c>
      <c r="N768">
        <v>23050188.9405884</v>
      </c>
      <c r="O768">
        <v>5942508.6414593803</v>
      </c>
      <c r="P768">
        <v>-49454919.679572403</v>
      </c>
      <c r="Q768">
        <v>-8331879.9349841103</v>
      </c>
      <c r="R768">
        <v>238033.83521245999</v>
      </c>
      <c r="S768">
        <v>292468.16975001898</v>
      </c>
      <c r="T768">
        <v>14464753.6848334</v>
      </c>
      <c r="U768">
        <v>32107323.482782099</v>
      </c>
      <c r="V768">
        <v>11613385.6007674</v>
      </c>
    </row>
    <row r="769" spans="1:22" x14ac:dyDescent="0.3">
      <c r="A769" t="str">
        <f t="shared" si="22"/>
        <v>USIMPrevisão</v>
      </c>
      <c r="B769" t="str">
        <f t="shared" si="23"/>
        <v>USIMPrevisãoSet-2023</v>
      </c>
      <c r="C769" t="s">
        <v>541</v>
      </c>
      <c r="D769" t="s">
        <v>542</v>
      </c>
      <c r="E769" t="s">
        <v>522</v>
      </c>
      <c r="F769" t="s">
        <v>736</v>
      </c>
      <c r="G769" t="s">
        <v>737</v>
      </c>
      <c r="H769" t="s">
        <v>738</v>
      </c>
      <c r="I769" t="s">
        <v>739</v>
      </c>
      <c r="J769" t="s">
        <v>739</v>
      </c>
      <c r="K769" s="2">
        <v>45199</v>
      </c>
      <c r="L769">
        <v>2321046.6915420298</v>
      </c>
      <c r="M769">
        <v>53564631.606715098</v>
      </c>
      <c r="N769">
        <v>25255249.6413677</v>
      </c>
      <c r="O769">
        <v>6485621.2946045604</v>
      </c>
      <c r="P769">
        <v>-53564631.606715098</v>
      </c>
      <c r="Q769">
        <v>-9399197.4977678191</v>
      </c>
      <c r="R769">
        <v>253849.62516619501</v>
      </c>
      <c r="S769">
        <v>315411.77346201998</v>
      </c>
      <c r="T769">
        <v>16883013.594430599</v>
      </c>
      <c r="U769">
        <v>34964541.835702501</v>
      </c>
      <c r="V769">
        <v>12788846.3203003</v>
      </c>
    </row>
    <row r="770" spans="1:22" x14ac:dyDescent="0.3">
      <c r="A770" t="str">
        <f t="shared" ref="A770:A833" si="24">_xlfn.CONCAT(D770,F770)</f>
        <v>TUPYPrevisão</v>
      </c>
      <c r="B770" t="str">
        <f t="shared" ref="B770:B833" si="25">_xlfn.CONCAT(D770,F770,PROPER(TEXT(K770,"mmm-aaaa")))</f>
        <v>TUPYPrevisãoDez-2022</v>
      </c>
      <c r="C770" t="s">
        <v>539</v>
      </c>
      <c r="D770" t="s">
        <v>540</v>
      </c>
      <c r="E770" t="s">
        <v>522</v>
      </c>
      <c r="F770" t="s">
        <v>736</v>
      </c>
      <c r="G770" t="s">
        <v>737</v>
      </c>
      <c r="H770" t="s">
        <v>738</v>
      </c>
      <c r="I770" t="s">
        <v>739</v>
      </c>
      <c r="J770" t="s">
        <v>739</v>
      </c>
      <c r="K770" s="2">
        <v>44925</v>
      </c>
      <c r="L770">
        <v>173134.28469569</v>
      </c>
      <c r="M770">
        <v>7004957.39360129</v>
      </c>
      <c r="N770">
        <v>2954592.8284529098</v>
      </c>
      <c r="O770">
        <v>1190831.2182328899</v>
      </c>
      <c r="P770">
        <v>-7004957.39360129</v>
      </c>
      <c r="Q770">
        <v>-1115316.23011648</v>
      </c>
      <c r="R770">
        <v>209129.58280281999</v>
      </c>
      <c r="S770">
        <v>9960.4692301185696</v>
      </c>
      <c r="T770">
        <v>896756.25532649795</v>
      </c>
      <c r="U770">
        <v>3098839.5285627199</v>
      </c>
      <c r="V770">
        <v>1420280.2556658599</v>
      </c>
    </row>
    <row r="771" spans="1:22" x14ac:dyDescent="0.3">
      <c r="A771" t="str">
        <f t="shared" si="24"/>
        <v>TUPYPrevisão</v>
      </c>
      <c r="B771" t="str">
        <f t="shared" si="25"/>
        <v>TUPYPrevisãoMar-2023</v>
      </c>
      <c r="C771" t="s">
        <v>539</v>
      </c>
      <c r="D771" t="s">
        <v>540</v>
      </c>
      <c r="E771" t="s">
        <v>522</v>
      </c>
      <c r="F771" t="s">
        <v>736</v>
      </c>
      <c r="G771" t="s">
        <v>737</v>
      </c>
      <c r="H771" t="s">
        <v>738</v>
      </c>
      <c r="I771" t="s">
        <v>739</v>
      </c>
      <c r="J771" t="s">
        <v>739</v>
      </c>
      <c r="K771" s="2">
        <v>45015</v>
      </c>
      <c r="L771">
        <v>201041.218879686</v>
      </c>
      <c r="M771">
        <v>7438237.0181894796</v>
      </c>
      <c r="N771">
        <v>3248024.9419431002</v>
      </c>
      <c r="O771">
        <v>1325369.12238229</v>
      </c>
      <c r="P771">
        <v>-7438237.0181894796</v>
      </c>
      <c r="Q771">
        <v>-1192736.04318473</v>
      </c>
      <c r="R771">
        <v>223896.58618894301</v>
      </c>
      <c r="S771">
        <v>11573.2965585935</v>
      </c>
      <c r="T771">
        <v>968071.89275692997</v>
      </c>
      <c r="U771">
        <v>3233685.3844461399</v>
      </c>
      <c r="V771">
        <v>1545796.6415597701</v>
      </c>
    </row>
    <row r="772" spans="1:22" x14ac:dyDescent="0.3">
      <c r="A772" t="str">
        <f t="shared" si="24"/>
        <v>TUPYPrevisão</v>
      </c>
      <c r="B772" t="str">
        <f t="shared" si="25"/>
        <v>TUPYPrevisãoJun-2023</v>
      </c>
      <c r="C772" t="s">
        <v>539</v>
      </c>
      <c r="D772" t="s">
        <v>540</v>
      </c>
      <c r="E772" t="s">
        <v>522</v>
      </c>
      <c r="F772" t="s">
        <v>736</v>
      </c>
      <c r="G772" t="s">
        <v>737</v>
      </c>
      <c r="H772" t="s">
        <v>738</v>
      </c>
      <c r="I772" t="s">
        <v>739</v>
      </c>
      <c r="J772" t="s">
        <v>739</v>
      </c>
      <c r="K772" s="2">
        <v>45107</v>
      </c>
      <c r="L772">
        <v>231839.82832134599</v>
      </c>
      <c r="M772">
        <v>7920364.4442027798</v>
      </c>
      <c r="N772">
        <v>3572040.04029899</v>
      </c>
      <c r="O772">
        <v>1471906.3433781499</v>
      </c>
      <c r="P772">
        <v>-7920364.4442027798</v>
      </c>
      <c r="Q772">
        <v>-1279648.0518116199</v>
      </c>
      <c r="R772">
        <v>239929.83222389099</v>
      </c>
      <c r="S772">
        <v>13349.551237059401</v>
      </c>
      <c r="T772">
        <v>1047140.9921951001</v>
      </c>
      <c r="U772">
        <v>3382598.3800903801</v>
      </c>
      <c r="V772">
        <v>1682141.0074521101</v>
      </c>
    </row>
    <row r="773" spans="1:22" x14ac:dyDescent="0.3">
      <c r="A773" t="str">
        <f t="shared" si="24"/>
        <v>TUPYPrevisão</v>
      </c>
      <c r="B773" t="str">
        <f t="shared" si="25"/>
        <v>TUPYPrevisãoSet-2023</v>
      </c>
      <c r="C773" t="s">
        <v>539</v>
      </c>
      <c r="D773" t="s">
        <v>540</v>
      </c>
      <c r="E773" t="s">
        <v>522</v>
      </c>
      <c r="F773" t="s">
        <v>736</v>
      </c>
      <c r="G773" t="s">
        <v>737</v>
      </c>
      <c r="H773" t="s">
        <v>738</v>
      </c>
      <c r="I773" t="s">
        <v>739</v>
      </c>
      <c r="J773" t="s">
        <v>739</v>
      </c>
      <c r="K773" s="2">
        <v>45199</v>
      </c>
      <c r="L773">
        <v>265658.17982297199</v>
      </c>
      <c r="M773">
        <v>8453922.5198863894</v>
      </c>
      <c r="N773">
        <v>3928043.6769918599</v>
      </c>
      <c r="O773">
        <v>1630937.2314850299</v>
      </c>
      <c r="P773">
        <v>-8453922.5198863894</v>
      </c>
      <c r="Q773">
        <v>-1376540.96922268</v>
      </c>
      <c r="R773">
        <v>257280.98120007699</v>
      </c>
      <c r="S773">
        <v>15295.360789996599</v>
      </c>
      <c r="T773">
        <v>1134336.1138550099</v>
      </c>
      <c r="U773">
        <v>3546396.9361229199</v>
      </c>
      <c r="V773">
        <v>1829744.1311141299</v>
      </c>
    </row>
    <row r="774" spans="1:22" x14ac:dyDescent="0.3">
      <c r="A774" t="str">
        <f t="shared" si="24"/>
        <v>APTIPrevisão</v>
      </c>
      <c r="B774" t="str">
        <f t="shared" si="25"/>
        <v>APTIPrevisãoDez-2022</v>
      </c>
      <c r="C774" t="s">
        <v>537</v>
      </c>
      <c r="D774" t="s">
        <v>538</v>
      </c>
      <c r="E774" t="s">
        <v>522</v>
      </c>
      <c r="F774" t="s">
        <v>736</v>
      </c>
      <c r="G774" t="s">
        <v>737</v>
      </c>
      <c r="H774" t="s">
        <v>738</v>
      </c>
      <c r="I774" t="s">
        <v>739</v>
      </c>
      <c r="J774" t="s">
        <v>739</v>
      </c>
      <c r="K774" s="2">
        <v>44925</v>
      </c>
      <c r="L774">
        <v>9695.9935489321506</v>
      </c>
      <c r="M774">
        <v>429507.180714713</v>
      </c>
      <c r="N774">
        <v>16246.259994904</v>
      </c>
      <c r="O774">
        <v>29781.026143788</v>
      </c>
      <c r="P774">
        <v>-429507.180714713</v>
      </c>
      <c r="Q774">
        <v>-21206.628554438899</v>
      </c>
      <c r="R774">
        <v>7.0325099736788799</v>
      </c>
      <c r="S774">
        <v>4318.95696461435</v>
      </c>
      <c r="T774">
        <v>65049.526865293301</v>
      </c>
      <c r="U774">
        <v>277829.11807144602</v>
      </c>
      <c r="V774">
        <v>12559.013666072</v>
      </c>
    </row>
    <row r="775" spans="1:22" x14ac:dyDescent="0.3">
      <c r="A775" t="str">
        <f t="shared" si="24"/>
        <v>APTIPrevisão</v>
      </c>
      <c r="B775" t="str">
        <f t="shared" si="25"/>
        <v>APTIPrevisãoMar-2023</v>
      </c>
      <c r="C775" t="s">
        <v>537</v>
      </c>
      <c r="D775" t="s">
        <v>538</v>
      </c>
      <c r="E775" t="s">
        <v>522</v>
      </c>
      <c r="F775" t="s">
        <v>736</v>
      </c>
      <c r="G775" t="s">
        <v>737</v>
      </c>
      <c r="H775" t="s">
        <v>738</v>
      </c>
      <c r="I775" t="s">
        <v>739</v>
      </c>
      <c r="J775" t="s">
        <v>739</v>
      </c>
      <c r="K775" s="2">
        <v>45015</v>
      </c>
      <c r="L775">
        <v>10787.068222535399</v>
      </c>
      <c r="M775">
        <v>452511.36734366399</v>
      </c>
      <c r="N775">
        <v>19936.354613584801</v>
      </c>
      <c r="O775">
        <v>30601.1241830037</v>
      </c>
      <c r="P775">
        <v>-452511.36734366399</v>
      </c>
      <c r="Q775">
        <v>-19992.2103340754</v>
      </c>
      <c r="R775">
        <v>-54.631713455259202</v>
      </c>
      <c r="S775">
        <v>21.529349833888698</v>
      </c>
      <c r="T775">
        <v>76809.273484336707</v>
      </c>
      <c r="U775">
        <v>291291.87163478398</v>
      </c>
      <c r="V775">
        <v>14386.4300901353</v>
      </c>
    </row>
    <row r="776" spans="1:22" x14ac:dyDescent="0.3">
      <c r="A776" t="str">
        <f t="shared" si="24"/>
        <v>APTIPrevisão</v>
      </c>
      <c r="B776" t="str">
        <f t="shared" si="25"/>
        <v>APTIPrevisãoJun-2023</v>
      </c>
      <c r="C776" t="s">
        <v>537</v>
      </c>
      <c r="D776" t="s">
        <v>538</v>
      </c>
      <c r="E776" t="s">
        <v>522</v>
      </c>
      <c r="F776" t="s">
        <v>736</v>
      </c>
      <c r="G776" t="s">
        <v>737</v>
      </c>
      <c r="H776" t="s">
        <v>738</v>
      </c>
      <c r="I776" t="s">
        <v>739</v>
      </c>
      <c r="J776" t="s">
        <v>739</v>
      </c>
      <c r="K776" s="2">
        <v>45107</v>
      </c>
      <c r="L776">
        <v>11924.032249526401</v>
      </c>
      <c r="M776">
        <v>478387.482763012</v>
      </c>
      <c r="N776">
        <v>24186.864378021099</v>
      </c>
      <c r="O776">
        <v>31513.9429987234</v>
      </c>
      <c r="P776">
        <v>-478387.482763012</v>
      </c>
      <c r="Q776">
        <v>-18529.4109972406</v>
      </c>
      <c r="R776">
        <v>-122.08200307583699</v>
      </c>
      <c r="S776">
        <v>-4903.7640618279602</v>
      </c>
      <c r="T776">
        <v>90052.667555584994</v>
      </c>
      <c r="U776">
        <v>306829.81062410801</v>
      </c>
      <c r="V776">
        <v>16389.8788978749</v>
      </c>
    </row>
    <row r="777" spans="1:22" x14ac:dyDescent="0.3">
      <c r="A777" t="str">
        <f t="shared" si="24"/>
        <v>APTIPrevisão</v>
      </c>
      <c r="B777" t="str">
        <f t="shared" si="25"/>
        <v>APTIPrevisãoSet-2023</v>
      </c>
      <c r="C777" t="s">
        <v>537</v>
      </c>
      <c r="D777" t="s">
        <v>538</v>
      </c>
      <c r="E777" t="s">
        <v>522</v>
      </c>
      <c r="F777" t="s">
        <v>736</v>
      </c>
      <c r="G777" t="s">
        <v>737</v>
      </c>
      <c r="H777" t="s">
        <v>738</v>
      </c>
      <c r="I777" t="s">
        <v>739</v>
      </c>
      <c r="J777" t="s">
        <v>739</v>
      </c>
      <c r="K777" s="2">
        <v>45199</v>
      </c>
      <c r="L777">
        <v>13106.411284551499</v>
      </c>
      <c r="M777">
        <v>507283.32192341401</v>
      </c>
      <c r="N777">
        <v>29017.809829158999</v>
      </c>
      <c r="O777">
        <v>32524.294460926201</v>
      </c>
      <c r="P777">
        <v>-507283.32192341401</v>
      </c>
      <c r="Q777">
        <v>-16797.686782328699</v>
      </c>
      <c r="R777">
        <v>-195.558048511647</v>
      </c>
      <c r="S777">
        <v>-10488.4441712759</v>
      </c>
      <c r="T777">
        <v>104852.523800144</v>
      </c>
      <c r="U777">
        <v>324556.94080993801</v>
      </c>
      <c r="V777">
        <v>18575.946773249099</v>
      </c>
    </row>
    <row r="778" spans="1:22" x14ac:dyDescent="0.3">
      <c r="A778" t="str">
        <f t="shared" si="24"/>
        <v>SHULPrevisão</v>
      </c>
      <c r="B778" t="str">
        <f t="shared" si="25"/>
        <v>SHULPrevisãoDez-2022</v>
      </c>
      <c r="C778" t="s">
        <v>535</v>
      </c>
      <c r="D778" t="s">
        <v>536</v>
      </c>
      <c r="E778" t="s">
        <v>522</v>
      </c>
      <c r="F778" t="s">
        <v>736</v>
      </c>
      <c r="G778" t="s">
        <v>737</v>
      </c>
      <c r="H778" t="s">
        <v>738</v>
      </c>
      <c r="I778" t="s">
        <v>739</v>
      </c>
      <c r="J778" t="s">
        <v>739</v>
      </c>
      <c r="K778" s="2">
        <v>44925</v>
      </c>
      <c r="L778">
        <v>74926.197521433496</v>
      </c>
      <c r="M778">
        <v>2373796.5121808802</v>
      </c>
      <c r="N778">
        <v>1233049.57185281</v>
      </c>
      <c r="O778">
        <v>393169.14964775502</v>
      </c>
      <c r="P778">
        <v>-2373796.5121808802</v>
      </c>
      <c r="Q778">
        <v>-469157.30990577402</v>
      </c>
      <c r="R778">
        <v>41273.958747133001</v>
      </c>
      <c r="S778">
        <v>20606.349970297601</v>
      </c>
      <c r="T778">
        <v>402035.79263220698</v>
      </c>
      <c r="U778">
        <v>1106719.7164925199</v>
      </c>
      <c r="V778">
        <v>481860.418470392</v>
      </c>
    </row>
    <row r="779" spans="1:22" x14ac:dyDescent="0.3">
      <c r="A779" t="str">
        <f t="shared" si="24"/>
        <v>SHULPrevisão</v>
      </c>
      <c r="B779" t="str">
        <f t="shared" si="25"/>
        <v>SHULPrevisãoMar-2023</v>
      </c>
      <c r="C779" t="s">
        <v>535</v>
      </c>
      <c r="D779" t="s">
        <v>536</v>
      </c>
      <c r="E779" t="s">
        <v>522</v>
      </c>
      <c r="F779" t="s">
        <v>736</v>
      </c>
      <c r="G779" t="s">
        <v>737</v>
      </c>
      <c r="H779" t="s">
        <v>738</v>
      </c>
      <c r="I779" t="s">
        <v>739</v>
      </c>
      <c r="J779" t="s">
        <v>739</v>
      </c>
      <c r="K779" s="2">
        <v>45015</v>
      </c>
      <c r="L779">
        <v>84066.943238885797</v>
      </c>
      <c r="M779">
        <v>2527711.38652279</v>
      </c>
      <c r="N779">
        <v>1316750.6805527899</v>
      </c>
      <c r="O779">
        <v>437778.17304778501</v>
      </c>
      <c r="P779">
        <v>-2527711.38652279</v>
      </c>
      <c r="Q779">
        <v>-494212.82959964301</v>
      </c>
      <c r="R779">
        <v>44371.402783224003</v>
      </c>
      <c r="S779">
        <v>23146.714515134001</v>
      </c>
      <c r="T779">
        <v>425833.557916208</v>
      </c>
      <c r="U779">
        <v>1182725.83780787</v>
      </c>
      <c r="V779">
        <v>533141.42814010801</v>
      </c>
    </row>
    <row r="780" spans="1:22" x14ac:dyDescent="0.3">
      <c r="A780" t="str">
        <f t="shared" si="24"/>
        <v>SHULPrevisão</v>
      </c>
      <c r="B780" t="str">
        <f t="shared" si="25"/>
        <v>SHULPrevisãoJun-2023</v>
      </c>
      <c r="C780" t="s">
        <v>535</v>
      </c>
      <c r="D780" t="s">
        <v>536</v>
      </c>
      <c r="E780" t="s">
        <v>522</v>
      </c>
      <c r="F780" t="s">
        <v>736</v>
      </c>
      <c r="G780" t="s">
        <v>737</v>
      </c>
      <c r="H780" t="s">
        <v>738</v>
      </c>
      <c r="I780" t="s">
        <v>739</v>
      </c>
      <c r="J780" t="s">
        <v>739</v>
      </c>
      <c r="K780" s="2">
        <v>45107</v>
      </c>
      <c r="L780">
        <v>94002.200304081794</v>
      </c>
      <c r="M780">
        <v>2692981.06536583</v>
      </c>
      <c r="N780">
        <v>1407626.50270391</v>
      </c>
      <c r="O780">
        <v>487205.75467855699</v>
      </c>
      <c r="P780">
        <v>-2692981.06536583</v>
      </c>
      <c r="Q780">
        <v>-520977.94694061298</v>
      </c>
      <c r="R780">
        <v>47621.329760299603</v>
      </c>
      <c r="S780">
        <v>26016.9361158926</v>
      </c>
      <c r="T780">
        <v>450712.61574831698</v>
      </c>
      <c r="U780">
        <v>1264491.51031294</v>
      </c>
      <c r="V780">
        <v>589205.88689684297</v>
      </c>
    </row>
    <row r="781" spans="1:22" x14ac:dyDescent="0.3">
      <c r="A781" t="str">
        <f t="shared" si="24"/>
        <v>SHULPrevisão</v>
      </c>
      <c r="B781" t="str">
        <f t="shared" si="25"/>
        <v>SHULPrevisãoSet-2023</v>
      </c>
      <c r="C781" t="s">
        <v>535</v>
      </c>
      <c r="D781" t="s">
        <v>536</v>
      </c>
      <c r="E781" t="s">
        <v>522</v>
      </c>
      <c r="F781" t="s">
        <v>736</v>
      </c>
      <c r="G781" t="s">
        <v>737</v>
      </c>
      <c r="H781" t="s">
        <v>738</v>
      </c>
      <c r="I781" t="s">
        <v>739</v>
      </c>
      <c r="J781" t="s">
        <v>739</v>
      </c>
      <c r="K781" s="2">
        <v>45199</v>
      </c>
      <c r="L781">
        <v>104763.655714048</v>
      </c>
      <c r="M781">
        <v>2870039.4114946402</v>
      </c>
      <c r="N781">
        <v>1505991.72367006</v>
      </c>
      <c r="O781">
        <v>541669.80062069499</v>
      </c>
      <c r="P781">
        <v>-2870039.4114946402</v>
      </c>
      <c r="Q781">
        <v>-549509.23325050995</v>
      </c>
      <c r="R781">
        <v>51025.839456806098</v>
      </c>
      <c r="S781">
        <v>29233.6016582749</v>
      </c>
      <c r="T781">
        <v>476697.19191048603</v>
      </c>
      <c r="U781">
        <v>1352251.12316817</v>
      </c>
      <c r="V781">
        <v>650252.12107247103</v>
      </c>
    </row>
    <row r="782" spans="1:22" x14ac:dyDescent="0.3">
      <c r="A782" t="str">
        <f t="shared" si="24"/>
        <v>PMAMPrevisão</v>
      </c>
      <c r="B782" t="str">
        <f t="shared" si="25"/>
        <v>PMAMPrevisãoDez-2022</v>
      </c>
      <c r="C782" t="s">
        <v>549</v>
      </c>
      <c r="D782" t="s">
        <v>550</v>
      </c>
      <c r="E782" t="s">
        <v>522</v>
      </c>
      <c r="F782" t="s">
        <v>736</v>
      </c>
      <c r="G782" t="s">
        <v>737</v>
      </c>
      <c r="H782" t="s">
        <v>738</v>
      </c>
      <c r="I782" t="s">
        <v>739</v>
      </c>
      <c r="J782" t="s">
        <v>739</v>
      </c>
      <c r="K782" s="2">
        <v>44925</v>
      </c>
      <c r="L782">
        <v>-338927.75927339197</v>
      </c>
      <c r="M782">
        <v>2717358.6189627498</v>
      </c>
      <c r="N782">
        <v>666597.47559671896</v>
      </c>
      <c r="O782">
        <v>-85220.910873408997</v>
      </c>
      <c r="P782">
        <v>-2717358.6189627498</v>
      </c>
      <c r="Q782">
        <v>-2604781.52601647</v>
      </c>
      <c r="R782">
        <v>43610.699176641501</v>
      </c>
      <c r="S782">
        <v>8866.8505220282896</v>
      </c>
      <c r="T782">
        <v>-8658.2580425994292</v>
      </c>
      <c r="U782">
        <v>-1723650.20168102</v>
      </c>
      <c r="V782">
        <v>564916.78575670195</v>
      </c>
    </row>
    <row r="783" spans="1:22" x14ac:dyDescent="0.3">
      <c r="A783" t="str">
        <f t="shared" si="24"/>
        <v>PMAMPrevisão</v>
      </c>
      <c r="B783" t="str">
        <f t="shared" si="25"/>
        <v>PMAMPrevisãoMar-2023</v>
      </c>
      <c r="C783" t="s">
        <v>549</v>
      </c>
      <c r="D783" t="s">
        <v>550</v>
      </c>
      <c r="E783" t="s">
        <v>522</v>
      </c>
      <c r="F783" t="s">
        <v>736</v>
      </c>
      <c r="G783" t="s">
        <v>737</v>
      </c>
      <c r="H783" t="s">
        <v>738</v>
      </c>
      <c r="I783" t="s">
        <v>739</v>
      </c>
      <c r="J783" t="s">
        <v>739</v>
      </c>
      <c r="K783" s="2">
        <v>45015</v>
      </c>
      <c r="L783">
        <v>-370989.84707165102</v>
      </c>
      <c r="M783">
        <v>2574894.4476126898</v>
      </c>
      <c r="N783">
        <v>522307.97937865899</v>
      </c>
      <c r="O783">
        <v>-150624.04412965101</v>
      </c>
      <c r="P783">
        <v>-2574894.4476126898</v>
      </c>
      <c r="Q783">
        <v>-2665374.3254301301</v>
      </c>
      <c r="R783">
        <v>41325.428699900003</v>
      </c>
      <c r="S783">
        <v>7376.3295618014099</v>
      </c>
      <c r="T783">
        <v>-10699.743655021801</v>
      </c>
      <c r="U783">
        <v>-2026935.6845337099</v>
      </c>
      <c r="V783">
        <v>470490.20033628901</v>
      </c>
    </row>
    <row r="784" spans="1:22" x14ac:dyDescent="0.3">
      <c r="A784" t="str">
        <f t="shared" si="24"/>
        <v>PMAMPrevisão</v>
      </c>
      <c r="B784" t="str">
        <f t="shared" si="25"/>
        <v>PMAMPrevisãoJun-2023</v>
      </c>
      <c r="C784" t="s">
        <v>549</v>
      </c>
      <c r="D784" t="s">
        <v>550</v>
      </c>
      <c r="E784" t="s">
        <v>522</v>
      </c>
      <c r="F784" t="s">
        <v>736</v>
      </c>
      <c r="G784" t="s">
        <v>737</v>
      </c>
      <c r="H784" t="s">
        <v>738</v>
      </c>
      <c r="I784" t="s">
        <v>739</v>
      </c>
      <c r="J784" t="s">
        <v>739</v>
      </c>
      <c r="K784" s="2">
        <v>45107</v>
      </c>
      <c r="L784">
        <v>-405064.99656954</v>
      </c>
      <c r="M784">
        <v>2429947.2653892301</v>
      </c>
      <c r="N784">
        <v>375424.46818930202</v>
      </c>
      <c r="O784">
        <v>-220305.57424630399</v>
      </c>
      <c r="P784">
        <v>-2429947.2653892301</v>
      </c>
      <c r="Q784">
        <v>-2738077.0831682198</v>
      </c>
      <c r="R784">
        <v>38743.034472533102</v>
      </c>
      <c r="S784">
        <v>5814.7064108469203</v>
      </c>
      <c r="T784">
        <v>-12852.681393929801</v>
      </c>
      <c r="U784">
        <v>-2355205.3611458498</v>
      </c>
      <c r="V784">
        <v>368848.68336384202</v>
      </c>
    </row>
    <row r="785" spans="1:22" x14ac:dyDescent="0.3">
      <c r="A785" t="str">
        <f t="shared" si="24"/>
        <v>PMAMPrevisão</v>
      </c>
      <c r="B785" t="str">
        <f t="shared" si="25"/>
        <v>PMAMPrevisãoSet-2023</v>
      </c>
      <c r="C785" t="s">
        <v>549</v>
      </c>
      <c r="D785" t="s">
        <v>550</v>
      </c>
      <c r="E785" t="s">
        <v>522</v>
      </c>
      <c r="F785" t="s">
        <v>736</v>
      </c>
      <c r="G785" t="s">
        <v>737</v>
      </c>
      <c r="H785" t="s">
        <v>738</v>
      </c>
      <c r="I785" t="s">
        <v>739</v>
      </c>
      <c r="J785" t="s">
        <v>739</v>
      </c>
      <c r="K785" s="2">
        <v>45199</v>
      </c>
      <c r="L785">
        <v>-441213.58593095298</v>
      </c>
      <c r="M785">
        <v>2282828.61011774</v>
      </c>
      <c r="N785">
        <v>226158.789256096</v>
      </c>
      <c r="O785">
        <v>-294400.88568017998</v>
      </c>
      <c r="P785">
        <v>-2282828.61011774</v>
      </c>
      <c r="Q785">
        <v>-2823714.34689521</v>
      </c>
      <c r="R785">
        <v>35849.836142297099</v>
      </c>
      <c r="S785">
        <v>4181.8759579482503</v>
      </c>
      <c r="T785">
        <v>-15121.395656725101</v>
      </c>
      <c r="U785">
        <v>-2709584.0684949202</v>
      </c>
      <c r="V785">
        <v>259754.111006269</v>
      </c>
    </row>
    <row r="786" spans="1:22" x14ac:dyDescent="0.3">
      <c r="A786" t="str">
        <f t="shared" si="24"/>
        <v>PATIPrevisão</v>
      </c>
      <c r="B786" t="str">
        <f t="shared" si="25"/>
        <v>PATIPrevisãoDez-2022</v>
      </c>
      <c r="C786" t="s">
        <v>533</v>
      </c>
      <c r="D786" t="s">
        <v>534</v>
      </c>
      <c r="E786" t="s">
        <v>522</v>
      </c>
      <c r="F786" t="s">
        <v>736</v>
      </c>
      <c r="G786" t="s">
        <v>737</v>
      </c>
      <c r="H786" t="s">
        <v>738</v>
      </c>
      <c r="I786" t="s">
        <v>739</v>
      </c>
      <c r="J786" t="s">
        <v>739</v>
      </c>
      <c r="K786" s="2">
        <v>44925</v>
      </c>
      <c r="L786">
        <v>53821.5763517507</v>
      </c>
      <c r="M786">
        <v>1815029.58492493</v>
      </c>
      <c r="N786">
        <v>981387.29683389503</v>
      </c>
      <c r="O786">
        <v>189375.90790255999</v>
      </c>
      <c r="P786">
        <v>-1815029.58492493</v>
      </c>
      <c r="Q786">
        <v>-373877.858416125</v>
      </c>
      <c r="R786">
        <v>1304.12375859432</v>
      </c>
      <c r="S786">
        <v>4830.7664884033302</v>
      </c>
      <c r="T786">
        <v>543761.11849577597</v>
      </c>
      <c r="U786">
        <v>1058305.14056535</v>
      </c>
      <c r="V786">
        <v>335517.394363801</v>
      </c>
    </row>
    <row r="787" spans="1:22" x14ac:dyDescent="0.3">
      <c r="A787" t="str">
        <f t="shared" si="24"/>
        <v>PATIPrevisão</v>
      </c>
      <c r="B787" t="str">
        <f t="shared" si="25"/>
        <v>PATIPrevisãoMar-2023</v>
      </c>
      <c r="C787" t="s">
        <v>533</v>
      </c>
      <c r="D787" t="s">
        <v>534</v>
      </c>
      <c r="E787" t="s">
        <v>522</v>
      </c>
      <c r="F787" t="s">
        <v>736</v>
      </c>
      <c r="G787" t="s">
        <v>737</v>
      </c>
      <c r="H787" t="s">
        <v>738</v>
      </c>
      <c r="I787" t="s">
        <v>739</v>
      </c>
      <c r="J787" t="s">
        <v>739</v>
      </c>
      <c r="K787" s="2">
        <v>45015</v>
      </c>
      <c r="L787">
        <v>56007.9264229818</v>
      </c>
      <c r="M787">
        <v>1962415.8702469401</v>
      </c>
      <c r="N787">
        <v>1065152.40824553</v>
      </c>
      <c r="O787">
        <v>207665.600192254</v>
      </c>
      <c r="P787">
        <v>-1962415.8702469401</v>
      </c>
      <c r="Q787">
        <v>-409443.23675321502</v>
      </c>
      <c r="R787">
        <v>1369.93753570221</v>
      </c>
      <c r="S787">
        <v>3621.9205982028302</v>
      </c>
      <c r="T787">
        <v>604732.01528101601</v>
      </c>
      <c r="U787">
        <v>1147633.8129237499</v>
      </c>
      <c r="V787">
        <v>367623.14138890099</v>
      </c>
    </row>
    <row r="788" spans="1:22" x14ac:dyDescent="0.3">
      <c r="A788" t="str">
        <f t="shared" si="24"/>
        <v>PATIPrevisão</v>
      </c>
      <c r="B788" t="str">
        <f t="shared" si="25"/>
        <v>PATIPrevisãoJun-2023</v>
      </c>
      <c r="C788" t="s">
        <v>533</v>
      </c>
      <c r="D788" t="s">
        <v>534</v>
      </c>
      <c r="E788" t="s">
        <v>522</v>
      </c>
      <c r="F788" t="s">
        <v>736</v>
      </c>
      <c r="G788" t="s">
        <v>737</v>
      </c>
      <c r="H788" t="s">
        <v>738</v>
      </c>
      <c r="I788" t="s">
        <v>739</v>
      </c>
      <c r="J788" t="s">
        <v>739</v>
      </c>
      <c r="K788" s="2">
        <v>45107</v>
      </c>
      <c r="L788">
        <v>58102.542778872099</v>
      </c>
      <c r="M788">
        <v>2121560.9501689202</v>
      </c>
      <c r="N788">
        <v>1154904.3905549699</v>
      </c>
      <c r="O788">
        <v>227511.92497190199</v>
      </c>
      <c r="P788">
        <v>-2121560.9501689202</v>
      </c>
      <c r="Q788">
        <v>-448148.82076600799</v>
      </c>
      <c r="R788">
        <v>1439.5856580314401</v>
      </c>
      <c r="S788">
        <v>2193.2950047333202</v>
      </c>
      <c r="T788">
        <v>670629.96702914301</v>
      </c>
      <c r="U788">
        <v>1244040.09122647</v>
      </c>
      <c r="V788">
        <v>402123.74763533002</v>
      </c>
    </row>
    <row r="789" spans="1:22" x14ac:dyDescent="0.3">
      <c r="A789" t="str">
        <f t="shared" si="24"/>
        <v>PATIPrevisão</v>
      </c>
      <c r="B789" t="str">
        <f t="shared" si="25"/>
        <v>PATIPrevisãoSet-2023</v>
      </c>
      <c r="C789" t="s">
        <v>533</v>
      </c>
      <c r="D789" t="s">
        <v>534</v>
      </c>
      <c r="E789" t="s">
        <v>522</v>
      </c>
      <c r="F789" t="s">
        <v>736</v>
      </c>
      <c r="G789" t="s">
        <v>737</v>
      </c>
      <c r="H789" t="s">
        <v>738</v>
      </c>
      <c r="I789" t="s">
        <v>739</v>
      </c>
      <c r="J789" t="s">
        <v>739</v>
      </c>
      <c r="K789" s="2">
        <v>45199</v>
      </c>
      <c r="L789">
        <v>60093.879407562999</v>
      </c>
      <c r="M789">
        <v>2292958.3650037702</v>
      </c>
      <c r="N789">
        <v>1250853.9696181901</v>
      </c>
      <c r="O789">
        <v>248975.72247815601</v>
      </c>
      <c r="P789">
        <v>-2292958.3650037702</v>
      </c>
      <c r="Q789">
        <v>-490126.60900784098</v>
      </c>
      <c r="R789">
        <v>1513.18188731187</v>
      </c>
      <c r="S789">
        <v>532.78482634813304</v>
      </c>
      <c r="T789">
        <v>741641.19622588798</v>
      </c>
      <c r="U789">
        <v>1347815.0444090499</v>
      </c>
      <c r="V789">
        <v>439102.78844040399</v>
      </c>
    </row>
    <row r="790" spans="1:22" x14ac:dyDescent="0.3">
      <c r="A790" t="str">
        <f t="shared" si="24"/>
        <v>NORDPrevisão</v>
      </c>
      <c r="B790" t="str">
        <f t="shared" si="25"/>
        <v>NORDPrevisãoDez-2022</v>
      </c>
      <c r="C790" t="s">
        <v>547</v>
      </c>
      <c r="D790" t="s">
        <v>548</v>
      </c>
      <c r="E790" t="s">
        <v>522</v>
      </c>
      <c r="F790" t="s">
        <v>736</v>
      </c>
      <c r="G790" t="s">
        <v>737</v>
      </c>
      <c r="H790" t="s">
        <v>738</v>
      </c>
      <c r="I790" t="s">
        <v>739</v>
      </c>
      <c r="J790" t="s">
        <v>739</v>
      </c>
      <c r="K790" s="2">
        <v>44925</v>
      </c>
      <c r="L790">
        <v>-107.343094813912</v>
      </c>
      <c r="M790">
        <v>20305.009761479399</v>
      </c>
      <c r="N790">
        <v>1906.3254392665499</v>
      </c>
      <c r="O790">
        <v>1853.4106612341</v>
      </c>
      <c r="P790">
        <v>-20305.009761479399</v>
      </c>
      <c r="Q790">
        <v>-46195.035650623096</v>
      </c>
      <c r="R790">
        <v>5.35727018080033</v>
      </c>
      <c r="S790">
        <v>1262.10567863549</v>
      </c>
      <c r="T790">
        <v>0</v>
      </c>
      <c r="U790">
        <v>-138447.24963925901</v>
      </c>
      <c r="V790">
        <v>709.86478227750399</v>
      </c>
    </row>
    <row r="791" spans="1:22" x14ac:dyDescent="0.3">
      <c r="A791" t="str">
        <f t="shared" si="24"/>
        <v>NORDPrevisão</v>
      </c>
      <c r="B791" t="str">
        <f t="shared" si="25"/>
        <v>NORDPrevisãoMar-2023</v>
      </c>
      <c r="C791" t="s">
        <v>547</v>
      </c>
      <c r="D791" t="s">
        <v>548</v>
      </c>
      <c r="E791" t="s">
        <v>522</v>
      </c>
      <c r="F791" t="s">
        <v>736</v>
      </c>
      <c r="G791" t="s">
        <v>737</v>
      </c>
      <c r="H791" t="s">
        <v>738</v>
      </c>
      <c r="I791" t="s">
        <v>739</v>
      </c>
      <c r="J791" t="s">
        <v>739</v>
      </c>
      <c r="K791" s="2">
        <v>45015</v>
      </c>
      <c r="L791">
        <v>-30.729257141169001</v>
      </c>
      <c r="M791">
        <v>21337.982644981399</v>
      </c>
      <c r="N791">
        <v>2136.7014088189599</v>
      </c>
      <c r="O791">
        <v>2081.94713429997</v>
      </c>
      <c r="P791">
        <v>-21337.982644981399</v>
      </c>
      <c r="Q791">
        <v>-45698.518028341197</v>
      </c>
      <c r="R791">
        <v>0.90898079133471998</v>
      </c>
      <c r="S791">
        <v>1191.6038788984099</v>
      </c>
      <c r="T791">
        <v>0</v>
      </c>
      <c r="U791">
        <v>-135265.34551741599</v>
      </c>
      <c r="V791">
        <v>798.53680342042401</v>
      </c>
    </row>
    <row r="792" spans="1:22" x14ac:dyDescent="0.3">
      <c r="A792" t="str">
        <f t="shared" si="24"/>
        <v>NORDPrevisão</v>
      </c>
      <c r="B792" t="str">
        <f t="shared" si="25"/>
        <v>NORDPrevisãoJun-2023</v>
      </c>
      <c r="C792" t="s">
        <v>547</v>
      </c>
      <c r="D792" t="s">
        <v>548</v>
      </c>
      <c r="E792" t="s">
        <v>522</v>
      </c>
      <c r="F792" t="s">
        <v>736</v>
      </c>
      <c r="G792" t="s">
        <v>737</v>
      </c>
      <c r="H792" t="s">
        <v>738</v>
      </c>
      <c r="I792" t="s">
        <v>739</v>
      </c>
      <c r="J792" t="s">
        <v>739</v>
      </c>
      <c r="K792" s="2">
        <v>45107</v>
      </c>
      <c r="L792">
        <v>55.896874599609802</v>
      </c>
      <c r="M792">
        <v>22485.2600758033</v>
      </c>
      <c r="N792">
        <v>2390.1087065110501</v>
      </c>
      <c r="O792">
        <v>2333.74765453391</v>
      </c>
      <c r="P792">
        <v>-22485.2600758033</v>
      </c>
      <c r="Q792">
        <v>-45212.550142157197</v>
      </c>
      <c r="R792">
        <v>-4.0686950067742096</v>
      </c>
      <c r="S792">
        <v>1103.46755094165</v>
      </c>
      <c r="T792">
        <v>0</v>
      </c>
      <c r="U792">
        <v>-131497.002638251</v>
      </c>
      <c r="V792">
        <v>896.97531877260496</v>
      </c>
    </row>
    <row r="793" spans="1:22" x14ac:dyDescent="0.3">
      <c r="A793" t="str">
        <f t="shared" si="24"/>
        <v>NORDPrevisão</v>
      </c>
      <c r="B793" t="str">
        <f t="shared" si="25"/>
        <v>NORDPrevisãoSet-2023</v>
      </c>
      <c r="C793" t="s">
        <v>547</v>
      </c>
      <c r="D793" t="s">
        <v>548</v>
      </c>
      <c r="E793" t="s">
        <v>522</v>
      </c>
      <c r="F793" t="s">
        <v>736</v>
      </c>
      <c r="G793" t="s">
        <v>737</v>
      </c>
      <c r="H793" t="s">
        <v>738</v>
      </c>
      <c r="I793" t="s">
        <v>739</v>
      </c>
      <c r="J793" t="s">
        <v>739</v>
      </c>
      <c r="K793" s="2">
        <v>45199</v>
      </c>
      <c r="L793">
        <v>153.48476662104801</v>
      </c>
      <c r="M793">
        <v>23750.687777063398</v>
      </c>
      <c r="N793">
        <v>2667.4159370318598</v>
      </c>
      <c r="O793">
        <v>2609.7994074370399</v>
      </c>
      <c r="P793">
        <v>-23750.687777063398</v>
      </c>
      <c r="Q793">
        <v>-44740.928767716003</v>
      </c>
      <c r="R793">
        <v>-9.5975743498946695</v>
      </c>
      <c r="S793">
        <v>996.66694586240703</v>
      </c>
      <c r="T793">
        <v>0</v>
      </c>
      <c r="U793">
        <v>-127120.779436015</v>
      </c>
      <c r="V793">
        <v>1005.93952531925</v>
      </c>
    </row>
    <row r="794" spans="1:22" x14ac:dyDescent="0.3">
      <c r="A794" t="str">
        <f t="shared" si="24"/>
        <v>MTSAPrevisão</v>
      </c>
      <c r="B794" t="str">
        <f t="shared" si="25"/>
        <v>MTSAPrevisãoDez-2022</v>
      </c>
      <c r="C794" t="s">
        <v>531</v>
      </c>
      <c r="D794" t="s">
        <v>532</v>
      </c>
      <c r="E794" t="s">
        <v>522</v>
      </c>
      <c r="F794" t="s">
        <v>736</v>
      </c>
      <c r="G794" t="s">
        <v>737</v>
      </c>
      <c r="H794" t="s">
        <v>738</v>
      </c>
      <c r="I794" t="s">
        <v>739</v>
      </c>
      <c r="J794" t="s">
        <v>739</v>
      </c>
      <c r="K794" s="2">
        <v>44925</v>
      </c>
      <c r="L794">
        <v>29169676.302942902</v>
      </c>
      <c r="M794">
        <v>629739098.18938196</v>
      </c>
      <c r="N794">
        <v>519147875.94357997</v>
      </c>
      <c r="O794">
        <v>193212397.33116099</v>
      </c>
      <c r="P794">
        <v>-629739098.18938196</v>
      </c>
      <c r="Q794">
        <v>-204071777.98789501</v>
      </c>
      <c r="R794">
        <v>8359234.8263309496</v>
      </c>
      <c r="S794">
        <v>17300625.888633501</v>
      </c>
      <c r="T794">
        <v>41002761.593919396</v>
      </c>
      <c r="U794">
        <v>385377876.45250398</v>
      </c>
      <c r="V794">
        <v>258780391.996952</v>
      </c>
    </row>
    <row r="795" spans="1:22" x14ac:dyDescent="0.3">
      <c r="A795" t="str">
        <f t="shared" si="24"/>
        <v>MTSAPrevisão</v>
      </c>
      <c r="B795" t="str">
        <f t="shared" si="25"/>
        <v>MTSAPrevisãoMar-2023</v>
      </c>
      <c r="C795" t="s">
        <v>531</v>
      </c>
      <c r="D795" t="s">
        <v>532</v>
      </c>
      <c r="E795" t="s">
        <v>522</v>
      </c>
      <c r="F795" t="s">
        <v>736</v>
      </c>
      <c r="G795" t="s">
        <v>737</v>
      </c>
      <c r="H795" t="s">
        <v>738</v>
      </c>
      <c r="I795" t="s">
        <v>739</v>
      </c>
      <c r="J795" t="s">
        <v>739</v>
      </c>
      <c r="K795" s="2">
        <v>45015</v>
      </c>
      <c r="L795">
        <v>32834380.559117999</v>
      </c>
      <c r="M795">
        <v>689400925.63814199</v>
      </c>
      <c r="N795">
        <v>575370447.20030701</v>
      </c>
      <c r="O795">
        <v>211486971.39131799</v>
      </c>
      <c r="P795">
        <v>-689400925.63814199</v>
      </c>
      <c r="Q795">
        <v>-228090350.870803</v>
      </c>
      <c r="R795">
        <v>9055686.7074726801</v>
      </c>
      <c r="S795">
        <v>19280967.328629501</v>
      </c>
      <c r="T795">
        <v>29375312.238279998</v>
      </c>
      <c r="U795">
        <v>406765253.24269003</v>
      </c>
      <c r="V795">
        <v>288654391.76226002</v>
      </c>
    </row>
    <row r="796" spans="1:22" x14ac:dyDescent="0.3">
      <c r="A796" t="str">
        <f t="shared" si="24"/>
        <v>MTSAPrevisão</v>
      </c>
      <c r="B796" t="str">
        <f t="shared" si="25"/>
        <v>MTSAPrevisãoJun-2023</v>
      </c>
      <c r="C796" t="s">
        <v>531</v>
      </c>
      <c r="D796" t="s">
        <v>532</v>
      </c>
      <c r="E796" t="s">
        <v>522</v>
      </c>
      <c r="F796" t="s">
        <v>736</v>
      </c>
      <c r="G796" t="s">
        <v>737</v>
      </c>
      <c r="H796" t="s">
        <v>738</v>
      </c>
      <c r="I796" t="s">
        <v>739</v>
      </c>
      <c r="J796" t="s">
        <v>739</v>
      </c>
      <c r="K796" s="2">
        <v>45107</v>
      </c>
      <c r="L796">
        <v>36817761.8691222</v>
      </c>
      <c r="M796">
        <v>755708578.795506</v>
      </c>
      <c r="N796">
        <v>637907146.47229195</v>
      </c>
      <c r="O796">
        <v>231354049.689421</v>
      </c>
      <c r="P796">
        <v>-755708578.795506</v>
      </c>
      <c r="Q796">
        <v>-254678024.50861299</v>
      </c>
      <c r="R796">
        <v>9813791.7715877593</v>
      </c>
      <c r="S796">
        <v>21458732.729717702</v>
      </c>
      <c r="T796">
        <v>16500135.318200599</v>
      </c>
      <c r="U796">
        <v>429833453.66850799</v>
      </c>
      <c r="V796">
        <v>321219747.21467203</v>
      </c>
    </row>
    <row r="797" spans="1:22" x14ac:dyDescent="0.3">
      <c r="A797" t="str">
        <f t="shared" si="24"/>
        <v>MTSAPrevisão</v>
      </c>
      <c r="B797" t="str">
        <f t="shared" si="25"/>
        <v>MTSAPrevisãoSet-2023</v>
      </c>
      <c r="C797" t="s">
        <v>531</v>
      </c>
      <c r="D797" t="s">
        <v>532</v>
      </c>
      <c r="E797" t="s">
        <v>522</v>
      </c>
      <c r="F797" t="s">
        <v>736</v>
      </c>
      <c r="G797" t="s">
        <v>737</v>
      </c>
      <c r="H797" t="s">
        <v>738</v>
      </c>
      <c r="I797" t="s">
        <v>739</v>
      </c>
      <c r="J797" t="s">
        <v>739</v>
      </c>
      <c r="K797" s="2">
        <v>45199</v>
      </c>
      <c r="L797">
        <v>41132354.198042803</v>
      </c>
      <c r="M797">
        <v>828980631.85969603</v>
      </c>
      <c r="N797">
        <v>707061534.13029802</v>
      </c>
      <c r="O797">
        <v>252879014.64525899</v>
      </c>
      <c r="P797">
        <v>-828980631.85969603</v>
      </c>
      <c r="Q797">
        <v>-283955288.83197802</v>
      </c>
      <c r="R797">
        <v>10636131.740776399</v>
      </c>
      <c r="S797">
        <v>23842282.567998499</v>
      </c>
      <c r="T797">
        <v>2329068.5446709599</v>
      </c>
      <c r="U797">
        <v>454651290.90197301</v>
      </c>
      <c r="V797">
        <v>356586998.80844003</v>
      </c>
    </row>
    <row r="798" spans="1:22" x14ac:dyDescent="0.3">
      <c r="A798" t="str">
        <f t="shared" si="24"/>
        <v>HETAPrevisão</v>
      </c>
      <c r="B798" t="str">
        <f t="shared" si="25"/>
        <v>HETAPrevisãoDez-2022</v>
      </c>
      <c r="C798" t="s">
        <v>545</v>
      </c>
      <c r="D798" t="s">
        <v>546</v>
      </c>
      <c r="E798" t="s">
        <v>522</v>
      </c>
      <c r="F798" t="s">
        <v>736</v>
      </c>
      <c r="G798" t="s">
        <v>737</v>
      </c>
      <c r="H798" t="s">
        <v>738</v>
      </c>
      <c r="I798" t="s">
        <v>739</v>
      </c>
      <c r="J798" t="s">
        <v>739</v>
      </c>
      <c r="K798" s="2">
        <v>44925</v>
      </c>
      <c r="L798">
        <v>-2898.48306595452</v>
      </c>
      <c r="M798">
        <v>9081.3927510330795</v>
      </c>
      <c r="N798">
        <v>1199.2334267040801</v>
      </c>
      <c r="O798">
        <v>1283.1682369903499</v>
      </c>
      <c r="P798">
        <v>-9081.3927510330795</v>
      </c>
      <c r="Q798">
        <v>-100935.56022408701</v>
      </c>
      <c r="R798">
        <v>0</v>
      </c>
      <c r="S798">
        <v>101286.899329429</v>
      </c>
      <c r="T798">
        <v>0</v>
      </c>
      <c r="U798">
        <v>-665927.88277728099</v>
      </c>
      <c r="V798">
        <v>1015.93701723077</v>
      </c>
    </row>
    <row r="799" spans="1:22" x14ac:dyDescent="0.3">
      <c r="A799" t="str">
        <f t="shared" si="24"/>
        <v>HETAPrevisão</v>
      </c>
      <c r="B799" t="str">
        <f t="shared" si="25"/>
        <v>HETAPrevisãoMar-2023</v>
      </c>
      <c r="C799" t="s">
        <v>545</v>
      </c>
      <c r="D799" t="s">
        <v>546</v>
      </c>
      <c r="E799" t="s">
        <v>522</v>
      </c>
      <c r="F799" t="s">
        <v>736</v>
      </c>
      <c r="G799" t="s">
        <v>737</v>
      </c>
      <c r="H799" t="s">
        <v>738</v>
      </c>
      <c r="I799" t="s">
        <v>739</v>
      </c>
      <c r="J799" t="s">
        <v>739</v>
      </c>
      <c r="K799" s="2">
        <v>45015</v>
      </c>
      <c r="L799">
        <v>-3573.9212864514402</v>
      </c>
      <c r="M799">
        <v>8038.5263376360299</v>
      </c>
      <c r="N799">
        <v>1284.9182628006999</v>
      </c>
      <c r="O799">
        <v>1674.38556814903</v>
      </c>
      <c r="P799">
        <v>-8038.5263376360299</v>
      </c>
      <c r="Q799">
        <v>-109367.62139450099</v>
      </c>
      <c r="R799">
        <v>0</v>
      </c>
      <c r="S799">
        <v>109916.84835867101</v>
      </c>
      <c r="T799">
        <v>0</v>
      </c>
      <c r="U799">
        <v>-714173.05635727302</v>
      </c>
      <c r="V799">
        <v>1168.25991690658</v>
      </c>
    </row>
    <row r="800" spans="1:22" x14ac:dyDescent="0.3">
      <c r="A800" t="str">
        <f t="shared" si="24"/>
        <v>HETAPrevisão</v>
      </c>
      <c r="B800" t="str">
        <f t="shared" si="25"/>
        <v>HETAPrevisãoJun-2023</v>
      </c>
      <c r="C800" t="s">
        <v>545</v>
      </c>
      <c r="D800" t="s">
        <v>546</v>
      </c>
      <c r="E800" t="s">
        <v>522</v>
      </c>
      <c r="F800" t="s">
        <v>736</v>
      </c>
      <c r="G800" t="s">
        <v>737</v>
      </c>
      <c r="H800" t="s">
        <v>738</v>
      </c>
      <c r="I800" t="s">
        <v>739</v>
      </c>
      <c r="J800" t="s">
        <v>739</v>
      </c>
      <c r="K800" s="2">
        <v>45107</v>
      </c>
      <c r="L800">
        <v>-4309.1290246869003</v>
      </c>
      <c r="M800">
        <v>6788.4942890206203</v>
      </c>
      <c r="N800">
        <v>1381.3317607745901</v>
      </c>
      <c r="O800">
        <v>2150.4587464700999</v>
      </c>
      <c r="P800">
        <v>-6788.4942890206203</v>
      </c>
      <c r="Q800">
        <v>-118244.48195209399</v>
      </c>
      <c r="R800">
        <v>0</v>
      </c>
      <c r="S800">
        <v>119009.41539484799</v>
      </c>
      <c r="T800">
        <v>0</v>
      </c>
      <c r="U800">
        <v>-766998.14891015599</v>
      </c>
      <c r="V800">
        <v>1339.5520220067001</v>
      </c>
    </row>
    <row r="801" spans="1:22" x14ac:dyDescent="0.3">
      <c r="A801" t="str">
        <f t="shared" si="24"/>
        <v>HETAPrevisão</v>
      </c>
      <c r="B801" t="str">
        <f t="shared" si="25"/>
        <v>HETAPrevisãoSet-2023</v>
      </c>
      <c r="C801" t="s">
        <v>545</v>
      </c>
      <c r="D801" t="s">
        <v>546</v>
      </c>
      <c r="E801" t="s">
        <v>522</v>
      </c>
      <c r="F801" t="s">
        <v>736</v>
      </c>
      <c r="G801" t="s">
        <v>737</v>
      </c>
      <c r="H801" t="s">
        <v>738</v>
      </c>
      <c r="I801" t="s">
        <v>739</v>
      </c>
      <c r="J801" t="s">
        <v>739</v>
      </c>
      <c r="K801" s="2">
        <v>45199</v>
      </c>
      <c r="L801">
        <v>-5105.0277306999797</v>
      </c>
      <c r="M801">
        <v>5318.4824615491498</v>
      </c>
      <c r="N801">
        <v>1488.97018564524</v>
      </c>
      <c r="O801">
        <v>2716.6489388772802</v>
      </c>
      <c r="P801">
        <v>-5318.4824615491498</v>
      </c>
      <c r="Q801">
        <v>-127576.191076316</v>
      </c>
      <c r="R801">
        <v>0</v>
      </c>
      <c r="S801">
        <v>128575.45322794101</v>
      </c>
      <c r="T801">
        <v>0</v>
      </c>
      <c r="U801">
        <v>-824599.64076602901</v>
      </c>
      <c r="V801">
        <v>1530.6944877559399</v>
      </c>
    </row>
    <row r="802" spans="1:22" x14ac:dyDescent="0.3">
      <c r="A802" t="str">
        <f t="shared" si="24"/>
        <v>HAGAPrevisão</v>
      </c>
      <c r="B802" t="str">
        <f t="shared" si="25"/>
        <v>HAGAPrevisãoDez-2022</v>
      </c>
      <c r="C802" t="s">
        <v>543</v>
      </c>
      <c r="D802" t="s">
        <v>544</v>
      </c>
      <c r="E802" t="s">
        <v>522</v>
      </c>
      <c r="F802" t="s">
        <v>736</v>
      </c>
      <c r="G802" t="s">
        <v>737</v>
      </c>
      <c r="H802" t="s">
        <v>738</v>
      </c>
      <c r="I802" t="s">
        <v>739</v>
      </c>
      <c r="J802" t="s">
        <v>739</v>
      </c>
      <c r="K802" s="2">
        <v>44925</v>
      </c>
      <c r="L802">
        <v>819748.97682630306</v>
      </c>
      <c r="M802">
        <v>56947935.921824299</v>
      </c>
      <c r="N802">
        <v>40188949.156527199</v>
      </c>
      <c r="O802">
        <v>12954245.755794</v>
      </c>
      <c r="P802">
        <v>-56947935.921824299</v>
      </c>
      <c r="Q802">
        <v>-29429973.510315798</v>
      </c>
      <c r="R802">
        <v>512375.26551235397</v>
      </c>
      <c r="S802">
        <v>5621411.9667265397</v>
      </c>
      <c r="T802">
        <v>0</v>
      </c>
      <c r="U802">
        <v>-55288430.367212899</v>
      </c>
      <c r="V802">
        <v>7397303.45242282</v>
      </c>
    </row>
    <row r="803" spans="1:22" x14ac:dyDescent="0.3">
      <c r="A803" t="str">
        <f t="shared" si="24"/>
        <v>HAGAPrevisão</v>
      </c>
      <c r="B803" t="str">
        <f t="shared" si="25"/>
        <v>HAGAPrevisãoMar-2023</v>
      </c>
      <c r="C803" t="s">
        <v>543</v>
      </c>
      <c r="D803" t="s">
        <v>544</v>
      </c>
      <c r="E803" t="s">
        <v>522</v>
      </c>
      <c r="F803" t="s">
        <v>736</v>
      </c>
      <c r="G803" t="s">
        <v>737</v>
      </c>
      <c r="H803" t="s">
        <v>738</v>
      </c>
      <c r="I803" t="s">
        <v>739</v>
      </c>
      <c r="J803" t="s">
        <v>739</v>
      </c>
      <c r="K803" s="2">
        <v>45015</v>
      </c>
      <c r="L803">
        <v>1075781.5620883601</v>
      </c>
      <c r="M803">
        <v>56023569.943483502</v>
      </c>
      <c r="N803">
        <v>37905339.841101997</v>
      </c>
      <c r="O803">
        <v>12542515.4136649</v>
      </c>
      <c r="P803">
        <v>-56023569.943483502</v>
      </c>
      <c r="Q803">
        <v>-29862780.5164617</v>
      </c>
      <c r="R803">
        <v>503100.834249924</v>
      </c>
      <c r="S803">
        <v>6330508.2803351404</v>
      </c>
      <c r="T803">
        <v>0</v>
      </c>
      <c r="U803">
        <v>-51125146.877099603</v>
      </c>
      <c r="V803">
        <v>7796735.2370529296</v>
      </c>
    </row>
    <row r="804" spans="1:22" x14ac:dyDescent="0.3">
      <c r="A804" t="str">
        <f t="shared" si="24"/>
        <v>HAGAPrevisão</v>
      </c>
      <c r="B804" t="str">
        <f t="shared" si="25"/>
        <v>HAGAPrevisãoJun-2023</v>
      </c>
      <c r="C804" t="s">
        <v>543</v>
      </c>
      <c r="D804" t="s">
        <v>544</v>
      </c>
      <c r="E804" t="s">
        <v>522</v>
      </c>
      <c r="F804" t="s">
        <v>736</v>
      </c>
      <c r="G804" t="s">
        <v>737</v>
      </c>
      <c r="H804" t="s">
        <v>738</v>
      </c>
      <c r="I804" t="s">
        <v>739</v>
      </c>
      <c r="J804" t="s">
        <v>739</v>
      </c>
      <c r="K804" s="2">
        <v>45107</v>
      </c>
      <c r="L804">
        <v>1367252.53566947</v>
      </c>
      <c r="M804">
        <v>54953073.596712701</v>
      </c>
      <c r="N804">
        <v>35257766.275354497</v>
      </c>
      <c r="O804">
        <v>12031714.4383293</v>
      </c>
      <c r="P804">
        <v>-54953073.596712701</v>
      </c>
      <c r="Q804">
        <v>-30287624.7946526</v>
      </c>
      <c r="R804">
        <v>490843.30336497101</v>
      </c>
      <c r="S804">
        <v>7100058.7374967504</v>
      </c>
      <c r="T804">
        <v>0</v>
      </c>
      <c r="U804">
        <v>-46531473.429994002</v>
      </c>
      <c r="V804">
        <v>8226245.7301172595</v>
      </c>
    </row>
    <row r="805" spans="1:22" x14ac:dyDescent="0.3">
      <c r="A805" t="str">
        <f t="shared" si="24"/>
        <v>HAGAPrevisão</v>
      </c>
      <c r="B805" t="str">
        <f t="shared" si="25"/>
        <v>HAGAPrevisãoSet-2023</v>
      </c>
      <c r="C805" t="s">
        <v>543</v>
      </c>
      <c r="D805" t="s">
        <v>544</v>
      </c>
      <c r="E805" t="s">
        <v>522</v>
      </c>
      <c r="F805" t="s">
        <v>736</v>
      </c>
      <c r="G805" t="s">
        <v>737</v>
      </c>
      <c r="H805" t="s">
        <v>738</v>
      </c>
      <c r="I805" t="s">
        <v>739</v>
      </c>
      <c r="J805" t="s">
        <v>739</v>
      </c>
      <c r="K805" s="2">
        <v>45199</v>
      </c>
      <c r="L805">
        <v>1695895.52973508</v>
      </c>
      <c r="M805">
        <v>53731223.886602104</v>
      </c>
      <c r="N805">
        <v>32228594.350702301</v>
      </c>
      <c r="O805">
        <v>11416274.780406</v>
      </c>
      <c r="P805">
        <v>-53731223.886602104</v>
      </c>
      <c r="Q805">
        <v>-30701466.436781298</v>
      </c>
      <c r="R805">
        <v>475412.43248794001</v>
      </c>
      <c r="S805">
        <v>7932334.2496404201</v>
      </c>
      <c r="T805">
        <v>0</v>
      </c>
      <c r="U805">
        <v>-41484625.005658798</v>
      </c>
      <c r="V805">
        <v>8686365.5419193506</v>
      </c>
    </row>
    <row r="806" spans="1:22" x14ac:dyDescent="0.3">
      <c r="A806" t="str">
        <f t="shared" si="24"/>
        <v>GGBRPrevisão</v>
      </c>
      <c r="B806" t="str">
        <f t="shared" si="25"/>
        <v>GGBRPrevisãoDez-2022</v>
      </c>
      <c r="C806" t="s">
        <v>529</v>
      </c>
      <c r="D806" t="s">
        <v>530</v>
      </c>
      <c r="E806" t="s">
        <v>522</v>
      </c>
      <c r="F806" t="s">
        <v>736</v>
      </c>
      <c r="G806" t="s">
        <v>737</v>
      </c>
      <c r="H806" t="s">
        <v>738</v>
      </c>
      <c r="I806" t="s">
        <v>739</v>
      </c>
      <c r="J806" t="s">
        <v>739</v>
      </c>
      <c r="K806" s="2">
        <v>44925</v>
      </c>
      <c r="L806">
        <v>5141706.1036413899</v>
      </c>
      <c r="M806">
        <v>65541263.393949002</v>
      </c>
      <c r="N806">
        <v>4015539.7475590301</v>
      </c>
      <c r="O806">
        <v>839195.038961021</v>
      </c>
      <c r="P806">
        <v>-65541263.393949002</v>
      </c>
      <c r="Q806">
        <v>-3862150.5443506502</v>
      </c>
      <c r="R806">
        <v>94970.447669966496</v>
      </c>
      <c r="S806">
        <v>125410.651218053</v>
      </c>
      <c r="T806">
        <v>22781172.5429122</v>
      </c>
      <c r="U806">
        <v>55895972.653761402</v>
      </c>
      <c r="V806">
        <v>2506400.7746369601</v>
      </c>
    </row>
    <row r="807" spans="1:22" x14ac:dyDescent="0.3">
      <c r="A807" t="str">
        <f t="shared" si="24"/>
        <v>GGBRPrevisão</v>
      </c>
      <c r="B807" t="str">
        <f t="shared" si="25"/>
        <v>GGBRPrevisãoMar-2023</v>
      </c>
      <c r="C807" t="s">
        <v>529</v>
      </c>
      <c r="D807" t="s">
        <v>530</v>
      </c>
      <c r="E807" t="s">
        <v>522</v>
      </c>
      <c r="F807" t="s">
        <v>736</v>
      </c>
      <c r="G807" t="s">
        <v>737</v>
      </c>
      <c r="H807" t="s">
        <v>738</v>
      </c>
      <c r="I807" t="s">
        <v>739</v>
      </c>
      <c r="J807" t="s">
        <v>739</v>
      </c>
      <c r="K807" s="2">
        <v>45015</v>
      </c>
      <c r="L807">
        <v>5818035.1280944003</v>
      </c>
      <c r="M807">
        <v>70522760.529361203</v>
      </c>
      <c r="N807">
        <v>4167258.9292187002</v>
      </c>
      <c r="O807">
        <v>921950.31634077395</v>
      </c>
      <c r="P807">
        <v>-70522760.529361203</v>
      </c>
      <c r="Q807">
        <v>-4458286.1827790001</v>
      </c>
      <c r="R807">
        <v>106096.80688097099</v>
      </c>
      <c r="S807">
        <v>141545.09499261601</v>
      </c>
      <c r="T807">
        <v>26722173.939371601</v>
      </c>
      <c r="U807">
        <v>61485329.638827004</v>
      </c>
      <c r="V807">
        <v>2798778.5540710799</v>
      </c>
    </row>
    <row r="808" spans="1:22" x14ac:dyDescent="0.3">
      <c r="A808" t="str">
        <f t="shared" si="24"/>
        <v>GGBRPrevisão</v>
      </c>
      <c r="B808" t="str">
        <f t="shared" si="25"/>
        <v>GGBRPrevisãoJun-2023</v>
      </c>
      <c r="C808" t="s">
        <v>529</v>
      </c>
      <c r="D808" t="s">
        <v>530</v>
      </c>
      <c r="E808" t="s">
        <v>522</v>
      </c>
      <c r="F808" t="s">
        <v>736</v>
      </c>
      <c r="G808" t="s">
        <v>737</v>
      </c>
      <c r="H808" t="s">
        <v>738</v>
      </c>
      <c r="I808" t="s">
        <v>739</v>
      </c>
      <c r="J808" t="s">
        <v>739</v>
      </c>
      <c r="K808" s="2">
        <v>45107</v>
      </c>
      <c r="L808">
        <v>6548173.8336300896</v>
      </c>
      <c r="M808">
        <v>76025612.472261593</v>
      </c>
      <c r="N808">
        <v>4310660.7062194897</v>
      </c>
      <c r="O808">
        <v>1011786.23494311</v>
      </c>
      <c r="P808">
        <v>-76025612.472261593</v>
      </c>
      <c r="Q808">
        <v>-5113008.5977751603</v>
      </c>
      <c r="R808">
        <v>118384.302731451</v>
      </c>
      <c r="S808">
        <v>159391.50470167201</v>
      </c>
      <c r="T808">
        <v>31126157.775035501</v>
      </c>
      <c r="U808">
        <v>67690551.647767305</v>
      </c>
      <c r="V808">
        <v>3115677.9826732902</v>
      </c>
    </row>
    <row r="809" spans="1:22" x14ac:dyDescent="0.3">
      <c r="A809" t="str">
        <f t="shared" si="24"/>
        <v>GGBRPrevisão</v>
      </c>
      <c r="B809" t="str">
        <f t="shared" si="25"/>
        <v>GGBRPrevisãoSet-2023</v>
      </c>
      <c r="C809" t="s">
        <v>529</v>
      </c>
      <c r="D809" t="s">
        <v>530</v>
      </c>
      <c r="E809" t="s">
        <v>522</v>
      </c>
      <c r="F809" t="s">
        <v>736</v>
      </c>
      <c r="G809" t="s">
        <v>737</v>
      </c>
      <c r="H809" t="s">
        <v>738</v>
      </c>
      <c r="I809" t="s">
        <v>739</v>
      </c>
      <c r="J809" t="s">
        <v>739</v>
      </c>
      <c r="K809" s="2">
        <v>45199</v>
      </c>
      <c r="L809">
        <v>7334034.5792721501</v>
      </c>
      <c r="M809">
        <v>82074755.096377999</v>
      </c>
      <c r="N809">
        <v>4444662.9719271297</v>
      </c>
      <c r="O809">
        <v>1108986.4942856201</v>
      </c>
      <c r="P809">
        <v>-82074755.096377999</v>
      </c>
      <c r="Q809">
        <v>-5828844.6883620098</v>
      </c>
      <c r="R809">
        <v>131883.83767331601</v>
      </c>
      <c r="S809">
        <v>179027.96098270101</v>
      </c>
      <c r="T809">
        <v>36015191.6945723</v>
      </c>
      <c r="U809">
        <v>74540827.993950903</v>
      </c>
      <c r="V809">
        <v>3458037.3090383201</v>
      </c>
    </row>
    <row r="810" spans="1:22" x14ac:dyDescent="0.3">
      <c r="A810" t="str">
        <f t="shared" si="24"/>
        <v>EALTPrevisão</v>
      </c>
      <c r="B810" t="str">
        <f t="shared" si="25"/>
        <v>EALTPrevisãoDez-2022</v>
      </c>
      <c r="C810" t="s">
        <v>527</v>
      </c>
      <c r="D810" t="s">
        <v>528</v>
      </c>
      <c r="E810" t="s">
        <v>522</v>
      </c>
      <c r="F810" t="s">
        <v>736</v>
      </c>
      <c r="G810" t="s">
        <v>737</v>
      </c>
      <c r="H810" t="s">
        <v>738</v>
      </c>
      <c r="I810" t="s">
        <v>739</v>
      </c>
      <c r="J810" t="s">
        <v>739</v>
      </c>
      <c r="K810" s="2">
        <v>44925</v>
      </c>
      <c r="L810">
        <v>12461.354808583899</v>
      </c>
      <c r="M810">
        <v>582971.62643238704</v>
      </c>
      <c r="N810">
        <v>233359.440794497</v>
      </c>
      <c r="O810">
        <v>114814.16119173</v>
      </c>
      <c r="P810">
        <v>-582971.62643238704</v>
      </c>
      <c r="Q810">
        <v>-225022.51107712401</v>
      </c>
      <c r="R810">
        <v>36554.838723368703</v>
      </c>
      <c r="S810">
        <v>41646.320176553301</v>
      </c>
      <c r="T810">
        <v>106218.759103634</v>
      </c>
      <c r="U810">
        <v>227723.50241912901</v>
      </c>
      <c r="V810">
        <v>144241.20363296699</v>
      </c>
    </row>
    <row r="811" spans="1:22" x14ac:dyDescent="0.3">
      <c r="A811" t="str">
        <f t="shared" si="24"/>
        <v>EALTPrevisão</v>
      </c>
      <c r="B811" t="str">
        <f t="shared" si="25"/>
        <v>EALTPrevisãoMar-2023</v>
      </c>
      <c r="C811" t="s">
        <v>527</v>
      </c>
      <c r="D811" t="s">
        <v>528</v>
      </c>
      <c r="E811" t="s">
        <v>522</v>
      </c>
      <c r="F811" t="s">
        <v>736</v>
      </c>
      <c r="G811" t="s">
        <v>737</v>
      </c>
      <c r="H811" t="s">
        <v>738</v>
      </c>
      <c r="I811" t="s">
        <v>739</v>
      </c>
      <c r="J811" t="s">
        <v>739</v>
      </c>
      <c r="K811" s="2">
        <v>45015</v>
      </c>
      <c r="L811">
        <v>13457.441037669199</v>
      </c>
      <c r="M811">
        <v>617194.67326684506</v>
      </c>
      <c r="N811">
        <v>247115.50986585999</v>
      </c>
      <c r="O811">
        <v>123517.756736089</v>
      </c>
      <c r="P811">
        <v>-617194.67326684506</v>
      </c>
      <c r="Q811">
        <v>-236726.07239550201</v>
      </c>
      <c r="R811">
        <v>39081.085077438504</v>
      </c>
      <c r="S811">
        <v>45499.238916530398</v>
      </c>
      <c r="T811">
        <v>116130.596108706</v>
      </c>
      <c r="U811">
        <v>237245.02913300399</v>
      </c>
      <c r="V811">
        <v>157105.533587062</v>
      </c>
    </row>
    <row r="812" spans="1:22" x14ac:dyDescent="0.3">
      <c r="A812" t="str">
        <f t="shared" si="24"/>
        <v>EALTPrevisão</v>
      </c>
      <c r="B812" t="str">
        <f t="shared" si="25"/>
        <v>EALTPrevisãoJun-2023</v>
      </c>
      <c r="C812" t="s">
        <v>527</v>
      </c>
      <c r="D812" t="s">
        <v>528</v>
      </c>
      <c r="E812" t="s">
        <v>522</v>
      </c>
      <c r="F812" t="s">
        <v>736</v>
      </c>
      <c r="G812" t="s">
        <v>737</v>
      </c>
      <c r="H812" t="s">
        <v>738</v>
      </c>
      <c r="I812" t="s">
        <v>739</v>
      </c>
      <c r="J812" t="s">
        <v>739</v>
      </c>
      <c r="K812" s="2">
        <v>45107</v>
      </c>
      <c r="L812">
        <v>14489.3707187866</v>
      </c>
      <c r="M812">
        <v>653722.90297538298</v>
      </c>
      <c r="N812">
        <v>261716.019366233</v>
      </c>
      <c r="O812">
        <v>132923.35045299999</v>
      </c>
      <c r="P812">
        <v>-653722.90297538298</v>
      </c>
      <c r="Q812">
        <v>-248705.50646266999</v>
      </c>
      <c r="R812">
        <v>41706.332558041897</v>
      </c>
      <c r="S812">
        <v>49584.778019381498</v>
      </c>
      <c r="T812">
        <v>126716.998003745</v>
      </c>
      <c r="U812">
        <v>246895.05717535599</v>
      </c>
      <c r="V812">
        <v>170949.56804051701</v>
      </c>
    </row>
    <row r="813" spans="1:22" x14ac:dyDescent="0.3">
      <c r="A813" t="str">
        <f t="shared" si="24"/>
        <v>EALTPrevisão</v>
      </c>
      <c r="B813" t="str">
        <f t="shared" si="25"/>
        <v>EALTPrevisãoSet-2023</v>
      </c>
      <c r="C813" t="s">
        <v>527</v>
      </c>
      <c r="D813" t="s">
        <v>528</v>
      </c>
      <c r="E813" t="s">
        <v>522</v>
      </c>
      <c r="F813" t="s">
        <v>736</v>
      </c>
      <c r="G813" t="s">
        <v>737</v>
      </c>
      <c r="H813" t="s">
        <v>738</v>
      </c>
      <c r="I813" t="s">
        <v>739</v>
      </c>
      <c r="J813" t="s">
        <v>739</v>
      </c>
      <c r="K813" s="2">
        <v>45199</v>
      </c>
      <c r="L813">
        <v>15556.688838694899</v>
      </c>
      <c r="M813">
        <v>692631.86443990795</v>
      </c>
      <c r="N813">
        <v>277187.568878919</v>
      </c>
      <c r="O813">
        <v>143059.01763338901</v>
      </c>
      <c r="P813">
        <v>-692631.86443990795</v>
      </c>
      <c r="Q813">
        <v>-260952.40414158799</v>
      </c>
      <c r="R813">
        <v>44431.195584768502</v>
      </c>
      <c r="S813">
        <v>53908.920342783204</v>
      </c>
      <c r="T813">
        <v>138001.62484509201</v>
      </c>
      <c r="U813">
        <v>256662.621409015</v>
      </c>
      <c r="V813">
        <v>185807.36668547001</v>
      </c>
    </row>
    <row r="814" spans="1:22" x14ac:dyDescent="0.3">
      <c r="A814" t="str">
        <f t="shared" si="24"/>
        <v>CSNAPrevisão</v>
      </c>
      <c r="B814" t="str">
        <f t="shared" si="25"/>
        <v>CSNAPrevisãoDez-2022</v>
      </c>
      <c r="C814" t="s">
        <v>525</v>
      </c>
      <c r="D814" t="s">
        <v>526</v>
      </c>
      <c r="E814" t="s">
        <v>522</v>
      </c>
      <c r="F814" t="s">
        <v>736</v>
      </c>
      <c r="G814" t="s">
        <v>737</v>
      </c>
      <c r="H814" t="s">
        <v>738</v>
      </c>
      <c r="I814" t="s">
        <v>739</v>
      </c>
      <c r="J814" t="s">
        <v>739</v>
      </c>
      <c r="K814" s="2">
        <v>44925</v>
      </c>
      <c r="L814">
        <v>1307531.75426271</v>
      </c>
      <c r="M814">
        <v>70560896.970201105</v>
      </c>
      <c r="N814">
        <v>17947479.612258401</v>
      </c>
      <c r="O814">
        <v>1619153.0658676601</v>
      </c>
      <c r="P814">
        <v>-70560896.970201105</v>
      </c>
      <c r="Q814">
        <v>-15292565.721414899</v>
      </c>
      <c r="R814">
        <v>189153.17799842899</v>
      </c>
      <c r="S814">
        <v>453894.97462014703</v>
      </c>
      <c r="T814">
        <v>12124439.4459734</v>
      </c>
      <c r="U814">
        <v>26775817.581870198</v>
      </c>
      <c r="V814">
        <v>8184425.9965201197</v>
      </c>
    </row>
    <row r="815" spans="1:22" x14ac:dyDescent="0.3">
      <c r="A815" t="str">
        <f t="shared" si="24"/>
        <v>CSNAPrevisão</v>
      </c>
      <c r="B815" t="str">
        <f t="shared" si="25"/>
        <v>CSNAPrevisãoMar-2023</v>
      </c>
      <c r="C815" t="s">
        <v>525</v>
      </c>
      <c r="D815" t="s">
        <v>526</v>
      </c>
      <c r="E815" t="s">
        <v>522</v>
      </c>
      <c r="F815" t="s">
        <v>736</v>
      </c>
      <c r="G815" t="s">
        <v>737</v>
      </c>
      <c r="H815" t="s">
        <v>738</v>
      </c>
      <c r="I815" t="s">
        <v>739</v>
      </c>
      <c r="J815" t="s">
        <v>739</v>
      </c>
      <c r="K815" s="2">
        <v>45015</v>
      </c>
      <c r="L815">
        <v>1227681.35569109</v>
      </c>
      <c r="M815">
        <v>75555849.229294404</v>
      </c>
      <c r="N815">
        <v>18917476.747462399</v>
      </c>
      <c r="O815">
        <v>1416394.2562060701</v>
      </c>
      <c r="P815">
        <v>-75555849.229294404</v>
      </c>
      <c r="Q815">
        <v>-15967228.507510999</v>
      </c>
      <c r="R815">
        <v>194301.881348069</v>
      </c>
      <c r="S815">
        <v>502196.747977158</v>
      </c>
      <c r="T815">
        <v>13576476.8701194</v>
      </c>
      <c r="U815">
        <v>29819052.010042701</v>
      </c>
      <c r="V815">
        <v>9017756.7178534605</v>
      </c>
    </row>
    <row r="816" spans="1:22" x14ac:dyDescent="0.3">
      <c r="A816" t="str">
        <f t="shared" si="24"/>
        <v>CSNAPrevisão</v>
      </c>
      <c r="B816" t="str">
        <f t="shared" si="25"/>
        <v>CSNAPrevisãoJun-2023</v>
      </c>
      <c r="C816" t="s">
        <v>525</v>
      </c>
      <c r="D816" t="s">
        <v>526</v>
      </c>
      <c r="E816" t="s">
        <v>522</v>
      </c>
      <c r="F816" t="s">
        <v>736</v>
      </c>
      <c r="G816" t="s">
        <v>737</v>
      </c>
      <c r="H816" t="s">
        <v>738</v>
      </c>
      <c r="I816" t="s">
        <v>739</v>
      </c>
      <c r="J816" t="s">
        <v>739</v>
      </c>
      <c r="K816" s="2">
        <v>45107</v>
      </c>
      <c r="L816">
        <v>1120802.5480649299</v>
      </c>
      <c r="M816">
        <v>81086996.971319705</v>
      </c>
      <c r="N816">
        <v>19935262.624099799</v>
      </c>
      <c r="O816">
        <v>1184872.9422210699</v>
      </c>
      <c r="P816">
        <v>-81086996.971319705</v>
      </c>
      <c r="Q816">
        <v>-16658246.218791001</v>
      </c>
      <c r="R816">
        <v>200075.84099570199</v>
      </c>
      <c r="S816">
        <v>554369.27180407196</v>
      </c>
      <c r="T816">
        <v>15127958.8797608</v>
      </c>
      <c r="U816">
        <v>33124595.086715698</v>
      </c>
      <c r="V816">
        <v>9927386.7980040703</v>
      </c>
    </row>
    <row r="817" spans="1:22" x14ac:dyDescent="0.3">
      <c r="A817" t="str">
        <f t="shared" si="24"/>
        <v>CSNAPrevisão</v>
      </c>
      <c r="B817" t="str">
        <f t="shared" si="25"/>
        <v>CSNAPrevisãoSet-2023</v>
      </c>
      <c r="C817" t="s">
        <v>525</v>
      </c>
      <c r="D817" t="s">
        <v>526</v>
      </c>
      <c r="E817" t="s">
        <v>522</v>
      </c>
      <c r="F817" t="s">
        <v>736</v>
      </c>
      <c r="G817" t="s">
        <v>737</v>
      </c>
      <c r="H817" t="s">
        <v>738</v>
      </c>
      <c r="I817" t="s">
        <v>739</v>
      </c>
      <c r="J817" t="s">
        <v>739</v>
      </c>
      <c r="K817" s="2">
        <v>45199</v>
      </c>
      <c r="L817">
        <v>985122.31757064001</v>
      </c>
      <c r="M817">
        <v>87179022.916272804</v>
      </c>
      <c r="N817">
        <v>21001602.8662569</v>
      </c>
      <c r="O817">
        <v>923012.21652108396</v>
      </c>
      <c r="P817">
        <v>-87179022.916272804</v>
      </c>
      <c r="Q817">
        <v>-17365004.380091</v>
      </c>
      <c r="R817">
        <v>206510.49952691299</v>
      </c>
      <c r="S817">
        <v>610553.85109407501</v>
      </c>
      <c r="T817">
        <v>16781174.367382899</v>
      </c>
      <c r="U817">
        <v>36702447.154298902</v>
      </c>
      <c r="V817">
        <v>10916468.066961201</v>
      </c>
    </row>
    <row r="818" spans="1:22" x14ac:dyDescent="0.3">
      <c r="A818" t="str">
        <f t="shared" si="24"/>
        <v>FESAPrevisão</v>
      </c>
      <c r="B818" t="str">
        <f t="shared" si="25"/>
        <v>FESAPrevisãoDez-2022</v>
      </c>
      <c r="C818" t="s">
        <v>523</v>
      </c>
      <c r="D818" t="s">
        <v>524</v>
      </c>
      <c r="E818" t="s">
        <v>522</v>
      </c>
      <c r="F818" t="s">
        <v>736</v>
      </c>
      <c r="G818" t="s">
        <v>737</v>
      </c>
      <c r="H818" t="s">
        <v>738</v>
      </c>
      <c r="I818" t="s">
        <v>739</v>
      </c>
      <c r="J818" t="s">
        <v>739</v>
      </c>
      <c r="K818" s="2">
        <v>44925</v>
      </c>
      <c r="L818">
        <v>340464.35998642701</v>
      </c>
      <c r="M818">
        <v>3597191.61234179</v>
      </c>
      <c r="N818">
        <v>1626883.6597913301</v>
      </c>
      <c r="O818">
        <v>330194.14243269502</v>
      </c>
      <c r="P818">
        <v>-3597191.61234179</v>
      </c>
      <c r="Q818">
        <v>-397998.84449539898</v>
      </c>
      <c r="R818">
        <v>112090.573211093</v>
      </c>
      <c r="S818">
        <v>53427.396400985599</v>
      </c>
      <c r="T818">
        <v>1148398.0803837699</v>
      </c>
      <c r="U818">
        <v>3014316.5047955499</v>
      </c>
      <c r="V818">
        <v>884092.65036920505</v>
      </c>
    </row>
    <row r="819" spans="1:22" x14ac:dyDescent="0.3">
      <c r="A819" t="str">
        <f t="shared" si="24"/>
        <v>FESAPrevisão</v>
      </c>
      <c r="B819" t="str">
        <f t="shared" si="25"/>
        <v>FESAPrevisãoMar-2023</v>
      </c>
      <c r="C819" t="s">
        <v>523</v>
      </c>
      <c r="D819" t="s">
        <v>524</v>
      </c>
      <c r="E819" t="s">
        <v>522</v>
      </c>
      <c r="F819" t="s">
        <v>736</v>
      </c>
      <c r="G819" t="s">
        <v>737</v>
      </c>
      <c r="H819" t="s">
        <v>738</v>
      </c>
      <c r="I819" t="s">
        <v>739</v>
      </c>
      <c r="J819" t="s">
        <v>739</v>
      </c>
      <c r="K819" s="2">
        <v>45015</v>
      </c>
      <c r="L819">
        <v>387110.80681676301</v>
      </c>
      <c r="M819">
        <v>3766312.4740476399</v>
      </c>
      <c r="N819">
        <v>1760374.4854061201</v>
      </c>
      <c r="O819">
        <v>365318.37584792898</v>
      </c>
      <c r="P819">
        <v>-3766312.4740476399</v>
      </c>
      <c r="Q819">
        <v>-404649.646813375</v>
      </c>
      <c r="R819">
        <v>122015.033172966</v>
      </c>
      <c r="S819">
        <v>58178.8853995338</v>
      </c>
      <c r="T819">
        <v>1251001.2178176199</v>
      </c>
      <c r="U819">
        <v>3219555.1960322298</v>
      </c>
      <c r="V819">
        <v>968376.55060252303</v>
      </c>
    </row>
    <row r="820" spans="1:22" x14ac:dyDescent="0.3">
      <c r="A820" t="str">
        <f t="shared" si="24"/>
        <v>FESAPrevisão</v>
      </c>
      <c r="B820" t="str">
        <f t="shared" si="25"/>
        <v>FESAPrevisãoJun-2023</v>
      </c>
      <c r="C820" t="s">
        <v>523</v>
      </c>
      <c r="D820" t="s">
        <v>524</v>
      </c>
      <c r="E820" t="s">
        <v>522</v>
      </c>
      <c r="F820" t="s">
        <v>736</v>
      </c>
      <c r="G820" t="s">
        <v>737</v>
      </c>
      <c r="H820" t="s">
        <v>738</v>
      </c>
      <c r="I820" t="s">
        <v>739</v>
      </c>
      <c r="J820" t="s">
        <v>739</v>
      </c>
      <c r="K820" s="2">
        <v>45107</v>
      </c>
      <c r="L820">
        <v>438023.23201692902</v>
      </c>
      <c r="M820">
        <v>3944022.8532442902</v>
      </c>
      <c r="N820">
        <v>1905102.97447751</v>
      </c>
      <c r="O820">
        <v>403917.71531308402</v>
      </c>
      <c r="P820">
        <v>-3944022.8532442902</v>
      </c>
      <c r="Q820">
        <v>-409999.34721338202</v>
      </c>
      <c r="R820">
        <v>132884.21208679301</v>
      </c>
      <c r="S820">
        <v>63284.711183824402</v>
      </c>
      <c r="T820">
        <v>1359672.43543568</v>
      </c>
      <c r="U820">
        <v>3441545.59481824</v>
      </c>
      <c r="V820">
        <v>1059752.0314824199</v>
      </c>
    </row>
    <row r="821" spans="1:22" x14ac:dyDescent="0.3">
      <c r="A821" t="str">
        <f t="shared" si="24"/>
        <v>FESAPrevisão</v>
      </c>
      <c r="B821" t="str">
        <f t="shared" si="25"/>
        <v>FESAPrevisãoSet-2023</v>
      </c>
      <c r="C821" t="s">
        <v>523</v>
      </c>
      <c r="D821" t="s">
        <v>524</v>
      </c>
      <c r="E821" t="s">
        <v>522</v>
      </c>
      <c r="F821" t="s">
        <v>736</v>
      </c>
      <c r="G821" t="s">
        <v>737</v>
      </c>
      <c r="H821" t="s">
        <v>738</v>
      </c>
      <c r="I821" t="s">
        <v>739</v>
      </c>
      <c r="J821" t="s">
        <v>739</v>
      </c>
      <c r="K821" s="2">
        <v>45199</v>
      </c>
      <c r="L821">
        <v>493380.19500746101</v>
      </c>
      <c r="M821">
        <v>4130564.0699120299</v>
      </c>
      <c r="N821">
        <v>2061512.72840623</v>
      </c>
      <c r="O821">
        <v>446145.59531904903</v>
      </c>
      <c r="P821">
        <v>-4130564.0699120299</v>
      </c>
      <c r="Q821">
        <v>-413950.87677562499</v>
      </c>
      <c r="R821">
        <v>144741.83430096699</v>
      </c>
      <c r="S821">
        <v>68757.789812287505</v>
      </c>
      <c r="T821">
        <v>1474557.67254319</v>
      </c>
      <c r="U821">
        <v>3680977.0458873301</v>
      </c>
      <c r="V821">
        <v>1158508.7886015901</v>
      </c>
    </row>
    <row r="822" spans="1:22" x14ac:dyDescent="0.3">
      <c r="A822" t="str">
        <f t="shared" si="24"/>
        <v>BALMPrevisão</v>
      </c>
      <c r="B822" t="str">
        <f t="shared" si="25"/>
        <v>BALMPrevisãoDez-2022</v>
      </c>
      <c r="C822" t="s">
        <v>520</v>
      </c>
      <c r="D822" t="s">
        <v>521</v>
      </c>
      <c r="E822" t="s">
        <v>522</v>
      </c>
      <c r="F822" t="s">
        <v>736</v>
      </c>
      <c r="G822" t="s">
        <v>737</v>
      </c>
      <c r="H822" t="s">
        <v>738</v>
      </c>
      <c r="I822" t="s">
        <v>739</v>
      </c>
      <c r="J822" t="s">
        <v>739</v>
      </c>
      <c r="K822" s="2">
        <v>44925</v>
      </c>
      <c r="L822">
        <v>3785.1455733797602</v>
      </c>
      <c r="M822">
        <v>218023.35973175499</v>
      </c>
      <c r="N822">
        <v>146293.87310075699</v>
      </c>
      <c r="O822">
        <v>45326.9176640324</v>
      </c>
      <c r="P822">
        <v>-218023.35973175499</v>
      </c>
      <c r="Q822">
        <v>-46216.963161022999</v>
      </c>
      <c r="R822">
        <v>2252.7867753164901</v>
      </c>
      <c r="S822">
        <v>2082.82548170782</v>
      </c>
      <c r="T822">
        <v>62182.642644941203</v>
      </c>
      <c r="U822">
        <v>137669.371106006</v>
      </c>
      <c r="V822">
        <v>30678.0945590355</v>
      </c>
    </row>
    <row r="823" spans="1:22" x14ac:dyDescent="0.3">
      <c r="A823" t="str">
        <f t="shared" si="24"/>
        <v>BALMPrevisão</v>
      </c>
      <c r="B823" t="str">
        <f t="shared" si="25"/>
        <v>BALMPrevisãoMar-2023</v>
      </c>
      <c r="C823" t="s">
        <v>520</v>
      </c>
      <c r="D823" t="s">
        <v>521</v>
      </c>
      <c r="E823" t="s">
        <v>522</v>
      </c>
      <c r="F823" t="s">
        <v>736</v>
      </c>
      <c r="G823" t="s">
        <v>737</v>
      </c>
      <c r="H823" t="s">
        <v>738</v>
      </c>
      <c r="I823" t="s">
        <v>739</v>
      </c>
      <c r="J823" t="s">
        <v>739</v>
      </c>
      <c r="K823" s="2">
        <v>45015</v>
      </c>
      <c r="L823">
        <v>4059.06136082485</v>
      </c>
      <c r="M823">
        <v>221718.22059108599</v>
      </c>
      <c r="N823">
        <v>151847.94035517701</v>
      </c>
      <c r="O823">
        <v>47324.709341882699</v>
      </c>
      <c r="P823">
        <v>-221718.22059108599</v>
      </c>
      <c r="Q823">
        <v>-44576.736813973002</v>
      </c>
      <c r="R823">
        <v>2297.2677765622202</v>
      </c>
      <c r="S823">
        <v>2353.9715460303701</v>
      </c>
      <c r="T823">
        <v>57561.610401086502</v>
      </c>
      <c r="U823">
        <v>142428.10059485299</v>
      </c>
      <c r="V823">
        <v>30938.016664487001</v>
      </c>
    </row>
    <row r="824" spans="1:22" x14ac:dyDescent="0.3">
      <c r="A824" t="str">
        <f t="shared" si="24"/>
        <v>BALMPrevisão</v>
      </c>
      <c r="B824" t="str">
        <f t="shared" si="25"/>
        <v>BALMPrevisãoJun-2023</v>
      </c>
      <c r="C824" t="s">
        <v>520</v>
      </c>
      <c r="D824" t="s">
        <v>521</v>
      </c>
      <c r="E824" t="s">
        <v>522</v>
      </c>
      <c r="F824" t="s">
        <v>736</v>
      </c>
      <c r="G824" t="s">
        <v>737</v>
      </c>
      <c r="H824" t="s">
        <v>738</v>
      </c>
      <c r="I824" t="s">
        <v>739</v>
      </c>
      <c r="J824" t="s">
        <v>739</v>
      </c>
      <c r="K824" s="2">
        <v>45107</v>
      </c>
      <c r="L824">
        <v>4366.2994567872902</v>
      </c>
      <c r="M824">
        <v>225456.11501894699</v>
      </c>
      <c r="N824">
        <v>157688.77960679799</v>
      </c>
      <c r="O824">
        <v>49508.474917840002</v>
      </c>
      <c r="P824">
        <v>-225456.11501894699</v>
      </c>
      <c r="Q824">
        <v>-42650.961218023898</v>
      </c>
      <c r="R824">
        <v>2338.1957432487202</v>
      </c>
      <c r="S824">
        <v>2654.6340322068099</v>
      </c>
      <c r="T824">
        <v>52397.763408624603</v>
      </c>
      <c r="U824">
        <v>147527.13801388099</v>
      </c>
      <c r="V824">
        <v>31185.069580778199</v>
      </c>
    </row>
    <row r="825" spans="1:22" x14ac:dyDescent="0.3">
      <c r="A825" t="str">
        <f t="shared" si="24"/>
        <v>BALMPrevisão</v>
      </c>
      <c r="B825" t="str">
        <f t="shared" si="25"/>
        <v>BALMPrevisãoSet-2023</v>
      </c>
      <c r="C825" t="s">
        <v>520</v>
      </c>
      <c r="D825" t="s">
        <v>521</v>
      </c>
      <c r="E825" t="s">
        <v>522</v>
      </c>
      <c r="F825" t="s">
        <v>736</v>
      </c>
      <c r="G825" t="s">
        <v>737</v>
      </c>
      <c r="H825" t="s">
        <v>738</v>
      </c>
      <c r="I825" t="s">
        <v>739</v>
      </c>
      <c r="J825" t="s">
        <v>739</v>
      </c>
      <c r="K825" s="2">
        <v>45199</v>
      </c>
      <c r="L825">
        <v>4708.5138876115097</v>
      </c>
      <c r="M825">
        <v>229241.95451552601</v>
      </c>
      <c r="N825">
        <v>163825.88239017001</v>
      </c>
      <c r="O825">
        <v>51886.841090459697</v>
      </c>
      <c r="P825">
        <v>-229241.95451552601</v>
      </c>
      <c r="Q825">
        <v>-40426.286200621202</v>
      </c>
      <c r="R825">
        <v>2375.2544673972402</v>
      </c>
      <c r="S825">
        <v>2986.0628578461901</v>
      </c>
      <c r="T825">
        <v>46672.502664386797</v>
      </c>
      <c r="U825">
        <v>152984.80714297501</v>
      </c>
      <c r="V825">
        <v>31418.245791917201</v>
      </c>
    </row>
    <row r="826" spans="1:22" x14ac:dyDescent="0.3">
      <c r="A826" t="str">
        <f t="shared" si="24"/>
        <v>WHRLPrevisão</v>
      </c>
      <c r="B826" t="str">
        <f t="shared" si="25"/>
        <v>WHRLPrevisãoDez-2022</v>
      </c>
      <c r="C826" t="s">
        <v>506</v>
      </c>
      <c r="D826" t="s">
        <v>507</v>
      </c>
      <c r="E826" t="s">
        <v>489</v>
      </c>
      <c r="F826" t="s">
        <v>736</v>
      </c>
      <c r="G826" t="s">
        <v>737</v>
      </c>
      <c r="H826" t="s">
        <v>738</v>
      </c>
      <c r="I826" t="s">
        <v>739</v>
      </c>
      <c r="J826" t="s">
        <v>739</v>
      </c>
      <c r="K826" s="2">
        <v>44925</v>
      </c>
      <c r="L826">
        <v>192238.591630604</v>
      </c>
      <c r="M826">
        <v>8945183.9957554992</v>
      </c>
      <c r="N826">
        <v>5039824.8838805901</v>
      </c>
      <c r="O826">
        <v>1910958.5239792599</v>
      </c>
      <c r="P826">
        <v>-8945183.9957554992</v>
      </c>
      <c r="Q826">
        <v>-5504728.9755536905</v>
      </c>
      <c r="R826">
        <v>150640.19794585099</v>
      </c>
      <c r="S826">
        <v>205697.572192552</v>
      </c>
      <c r="T826">
        <v>562236.98743716697</v>
      </c>
      <c r="U826">
        <v>2242613.3116033701</v>
      </c>
      <c r="V826">
        <v>2363479.5487651401</v>
      </c>
    </row>
    <row r="827" spans="1:22" x14ac:dyDescent="0.3">
      <c r="A827" t="str">
        <f t="shared" si="24"/>
        <v>WHRLPrevisão</v>
      </c>
      <c r="B827" t="str">
        <f t="shared" si="25"/>
        <v>WHRLPrevisãoMar-2023</v>
      </c>
      <c r="C827" t="s">
        <v>506</v>
      </c>
      <c r="D827" t="s">
        <v>507</v>
      </c>
      <c r="E827" t="s">
        <v>489</v>
      </c>
      <c r="F827" t="s">
        <v>736</v>
      </c>
      <c r="G827" t="s">
        <v>737</v>
      </c>
      <c r="H827" t="s">
        <v>738</v>
      </c>
      <c r="I827" t="s">
        <v>739</v>
      </c>
      <c r="J827" t="s">
        <v>739</v>
      </c>
      <c r="K827" s="2">
        <v>45015</v>
      </c>
      <c r="L827">
        <v>179437.116768429</v>
      </c>
      <c r="M827">
        <v>9286220.2707057707</v>
      </c>
      <c r="N827">
        <v>5214406.8113198001</v>
      </c>
      <c r="O827">
        <v>1995477.8795495001</v>
      </c>
      <c r="P827">
        <v>-9286220.2707057707</v>
      </c>
      <c r="Q827">
        <v>-5786820.73997733</v>
      </c>
      <c r="R827">
        <v>158375.55792768201</v>
      </c>
      <c r="S827">
        <v>221703.37439354099</v>
      </c>
      <c r="T827">
        <v>561355.23182976095</v>
      </c>
      <c r="U827">
        <v>2231822.0374652399</v>
      </c>
      <c r="V827">
        <v>2501285.22965767</v>
      </c>
    </row>
    <row r="828" spans="1:22" x14ac:dyDescent="0.3">
      <c r="A828" t="str">
        <f t="shared" si="24"/>
        <v>WHRLPrevisão</v>
      </c>
      <c r="B828" t="str">
        <f t="shared" si="25"/>
        <v>WHRLPrevisãoJun-2023</v>
      </c>
      <c r="C828" t="s">
        <v>506</v>
      </c>
      <c r="D828" t="s">
        <v>507</v>
      </c>
      <c r="E828" t="s">
        <v>489</v>
      </c>
      <c r="F828" t="s">
        <v>736</v>
      </c>
      <c r="G828" t="s">
        <v>737</v>
      </c>
      <c r="H828" t="s">
        <v>738</v>
      </c>
      <c r="I828" t="s">
        <v>739</v>
      </c>
      <c r="J828" t="s">
        <v>739</v>
      </c>
      <c r="K828" s="2">
        <v>45107</v>
      </c>
      <c r="L828">
        <v>164250.83478656301</v>
      </c>
      <c r="M828">
        <v>9656735.8057759199</v>
      </c>
      <c r="N828">
        <v>5396673.7872162396</v>
      </c>
      <c r="O828">
        <v>2082544.34566962</v>
      </c>
      <c r="P828">
        <v>-9656735.8057759199</v>
      </c>
      <c r="Q828">
        <v>-6085495.4309111303</v>
      </c>
      <c r="R828">
        <v>167142.08372946901</v>
      </c>
      <c r="S828">
        <v>239942.73095014199</v>
      </c>
      <c r="T828">
        <v>564582.36129455594</v>
      </c>
      <c r="U828">
        <v>2223030.8448954001</v>
      </c>
      <c r="V828">
        <v>2652400.9878909099</v>
      </c>
    </row>
    <row r="829" spans="1:22" x14ac:dyDescent="0.3">
      <c r="A829" t="str">
        <f t="shared" si="24"/>
        <v>WHRLPrevisão</v>
      </c>
      <c r="B829" t="str">
        <f t="shared" si="25"/>
        <v>WHRLPrevisãoSet-2023</v>
      </c>
      <c r="C829" t="s">
        <v>506</v>
      </c>
      <c r="D829" t="s">
        <v>507</v>
      </c>
      <c r="E829" t="s">
        <v>489</v>
      </c>
      <c r="F829" t="s">
        <v>736</v>
      </c>
      <c r="G829" t="s">
        <v>737</v>
      </c>
      <c r="H829" t="s">
        <v>738</v>
      </c>
      <c r="I829" t="s">
        <v>739</v>
      </c>
      <c r="J829" t="s">
        <v>739</v>
      </c>
      <c r="K829" s="2">
        <v>45199</v>
      </c>
      <c r="L829">
        <v>146555.15475839199</v>
      </c>
      <c r="M829">
        <v>10058106.409273401</v>
      </c>
      <c r="N829">
        <v>5586747.3003655598</v>
      </c>
      <c r="O829">
        <v>2172168.4407364102</v>
      </c>
      <c r="P829">
        <v>-10058106.409273401</v>
      </c>
      <c r="Q829">
        <v>-6401228.5719238296</v>
      </c>
      <c r="R829">
        <v>176991.72213891399</v>
      </c>
      <c r="S829">
        <v>260544.892021951</v>
      </c>
      <c r="T829">
        <v>572255.63412933797</v>
      </c>
      <c r="U829">
        <v>2216515.1586413099</v>
      </c>
      <c r="V829">
        <v>2817403.7373470701</v>
      </c>
    </row>
    <row r="830" spans="1:22" x14ac:dyDescent="0.3">
      <c r="A830" t="str">
        <f t="shared" si="24"/>
        <v>TASAPrevisão</v>
      </c>
      <c r="B830" t="str">
        <f t="shared" si="25"/>
        <v>TASAPrevisãoDez-2022</v>
      </c>
      <c r="C830" t="s">
        <v>504</v>
      </c>
      <c r="D830" t="s">
        <v>505</v>
      </c>
      <c r="E830" t="s">
        <v>489</v>
      </c>
      <c r="F830" t="s">
        <v>736</v>
      </c>
      <c r="G830" t="s">
        <v>737</v>
      </c>
      <c r="H830" t="s">
        <v>738</v>
      </c>
      <c r="I830" t="s">
        <v>739</v>
      </c>
      <c r="J830" t="s">
        <v>739</v>
      </c>
      <c r="K830" s="2">
        <v>44925</v>
      </c>
      <c r="L830">
        <v>192979.06018164201</v>
      </c>
      <c r="M830">
        <v>2458155.7715810798</v>
      </c>
      <c r="N830">
        <v>1086656.18996687</v>
      </c>
      <c r="O830">
        <v>310462.43290037801</v>
      </c>
      <c r="P830">
        <v>-2458155.7715810798</v>
      </c>
      <c r="Q830">
        <v>-739171.05602258304</v>
      </c>
      <c r="R830">
        <v>65516.859095151798</v>
      </c>
      <c r="S830">
        <v>76511.137933963895</v>
      </c>
      <c r="T830">
        <v>132575.562176337</v>
      </c>
      <c r="U830">
        <v>1457108.9749597299</v>
      </c>
      <c r="V830">
        <v>548319.70223240706</v>
      </c>
    </row>
    <row r="831" spans="1:22" x14ac:dyDescent="0.3">
      <c r="A831" t="str">
        <f t="shared" si="24"/>
        <v>TASAPrevisão</v>
      </c>
      <c r="B831" t="str">
        <f t="shared" si="25"/>
        <v>TASAPrevisãoMar-2023</v>
      </c>
      <c r="C831" t="s">
        <v>504</v>
      </c>
      <c r="D831" t="s">
        <v>505</v>
      </c>
      <c r="E831" t="s">
        <v>489</v>
      </c>
      <c r="F831" t="s">
        <v>736</v>
      </c>
      <c r="G831" t="s">
        <v>737</v>
      </c>
      <c r="H831" t="s">
        <v>738</v>
      </c>
      <c r="I831" t="s">
        <v>739</v>
      </c>
      <c r="J831" t="s">
        <v>739</v>
      </c>
      <c r="K831" s="2">
        <v>45015</v>
      </c>
      <c r="L831">
        <v>217585.629628091</v>
      </c>
      <c r="M831">
        <v>2713551.0966968602</v>
      </c>
      <c r="N831">
        <v>1211055.4662041501</v>
      </c>
      <c r="O831">
        <v>335999.41689199902</v>
      </c>
      <c r="P831">
        <v>-2713551.0966968602</v>
      </c>
      <c r="Q831">
        <v>-773147.47179974103</v>
      </c>
      <c r="R831">
        <v>71941.938916761006</v>
      </c>
      <c r="S831">
        <v>81374.438328322794</v>
      </c>
      <c r="T831">
        <v>146130.62133021199</v>
      </c>
      <c r="U831">
        <v>1781502.2078106301</v>
      </c>
      <c r="V831">
        <v>596362.14423131803</v>
      </c>
    </row>
    <row r="832" spans="1:22" x14ac:dyDescent="0.3">
      <c r="A832" t="str">
        <f t="shared" si="24"/>
        <v>TASAPrevisão</v>
      </c>
      <c r="B832" t="str">
        <f t="shared" si="25"/>
        <v>TASAPrevisãoJun-2023</v>
      </c>
      <c r="C832" t="s">
        <v>504</v>
      </c>
      <c r="D832" t="s">
        <v>505</v>
      </c>
      <c r="E832" t="s">
        <v>489</v>
      </c>
      <c r="F832" t="s">
        <v>736</v>
      </c>
      <c r="G832" t="s">
        <v>737</v>
      </c>
      <c r="H832" t="s">
        <v>738</v>
      </c>
      <c r="I832" t="s">
        <v>739</v>
      </c>
      <c r="J832" t="s">
        <v>739</v>
      </c>
      <c r="K832" s="2">
        <v>45107</v>
      </c>
      <c r="L832">
        <v>243642.233152364</v>
      </c>
      <c r="M832">
        <v>2992323.76109342</v>
      </c>
      <c r="N832">
        <v>1346484.6986656301</v>
      </c>
      <c r="O832">
        <v>363045.08378069999</v>
      </c>
      <c r="P832">
        <v>-2992323.76109342</v>
      </c>
      <c r="Q832">
        <v>-812375.03016708302</v>
      </c>
      <c r="R832">
        <v>78844.395446870796</v>
      </c>
      <c r="S832">
        <v>86354.699332763004</v>
      </c>
      <c r="T832">
        <v>159820.35929920501</v>
      </c>
      <c r="U832">
        <v>2138576.91171525</v>
      </c>
      <c r="V832">
        <v>647652.93848172098</v>
      </c>
    </row>
    <row r="833" spans="1:22" x14ac:dyDescent="0.3">
      <c r="A833" t="str">
        <f t="shared" si="24"/>
        <v>TASAPrevisão</v>
      </c>
      <c r="B833" t="str">
        <f t="shared" si="25"/>
        <v>TASAPrevisãoSet-2023</v>
      </c>
      <c r="C833" t="s">
        <v>504</v>
      </c>
      <c r="D833" t="s">
        <v>505</v>
      </c>
      <c r="E833" t="s">
        <v>489</v>
      </c>
      <c r="F833" t="s">
        <v>736</v>
      </c>
      <c r="G833" t="s">
        <v>737</v>
      </c>
      <c r="H833" t="s">
        <v>738</v>
      </c>
      <c r="I833" t="s">
        <v>739</v>
      </c>
      <c r="J833" t="s">
        <v>739</v>
      </c>
      <c r="K833" s="2">
        <v>45199</v>
      </c>
      <c r="L833">
        <v>271179.90369503997</v>
      </c>
      <c r="M833">
        <v>3295437.5300553399</v>
      </c>
      <c r="N833">
        <v>1493376.9382148001</v>
      </c>
      <c r="O833">
        <v>391634.45296035998</v>
      </c>
      <c r="P833">
        <v>-3295437.5300553399</v>
      </c>
      <c r="Q833">
        <v>-857196.14130807098</v>
      </c>
      <c r="R833">
        <v>86239.789258351302</v>
      </c>
      <c r="S833">
        <v>91448.861295847193</v>
      </c>
      <c r="T833">
        <v>173591.77258580501</v>
      </c>
      <c r="U833">
        <v>2529665.5694011701</v>
      </c>
      <c r="V833">
        <v>702297.97356250999</v>
      </c>
    </row>
    <row r="834" spans="1:22" x14ac:dyDescent="0.3">
      <c r="A834" t="str">
        <f t="shared" ref="A834:A897" si="26">_xlfn.CONCAT(D834,F834)</f>
        <v>RCSLPrevisão</v>
      </c>
      <c r="B834" t="str">
        <f t="shared" ref="B834:B897" si="27">_xlfn.CONCAT(D834,F834,PROPER(TEXT(K834,"mmm-aaaa")))</f>
        <v>RCSLPrevisãoDez-2022</v>
      </c>
      <c r="C834" t="s">
        <v>518</v>
      </c>
      <c r="D834" t="s">
        <v>519</v>
      </c>
      <c r="E834" t="s">
        <v>489</v>
      </c>
      <c r="F834" t="s">
        <v>736</v>
      </c>
      <c r="G834" t="s">
        <v>737</v>
      </c>
      <c r="H834" t="s">
        <v>738</v>
      </c>
      <c r="I834" t="s">
        <v>739</v>
      </c>
      <c r="J834" t="s">
        <v>739</v>
      </c>
      <c r="K834" s="2">
        <v>44925</v>
      </c>
      <c r="L834">
        <v>2777.5852644087799</v>
      </c>
      <c r="M834">
        <v>91073.845004652394</v>
      </c>
      <c r="N834">
        <v>43146.208810804797</v>
      </c>
      <c r="O834">
        <v>9928.4991087329199</v>
      </c>
      <c r="P834">
        <v>-91073.845004652394</v>
      </c>
      <c r="Q834">
        <v>-15235.0230879433</v>
      </c>
      <c r="R834">
        <v>-224.66666666538001</v>
      </c>
      <c r="S834">
        <v>13659.700789392</v>
      </c>
      <c r="T834">
        <v>0</v>
      </c>
      <c r="U834">
        <v>-5575.3231474352197</v>
      </c>
      <c r="V834">
        <v>26346.035056447599</v>
      </c>
    </row>
    <row r="835" spans="1:22" x14ac:dyDescent="0.3">
      <c r="A835" t="str">
        <f t="shared" si="26"/>
        <v>RCSLPrevisão</v>
      </c>
      <c r="B835" t="str">
        <f t="shared" si="27"/>
        <v>RCSLPrevisãoMar-2023</v>
      </c>
      <c r="C835" t="s">
        <v>518</v>
      </c>
      <c r="D835" t="s">
        <v>519</v>
      </c>
      <c r="E835" t="s">
        <v>489</v>
      </c>
      <c r="F835" t="s">
        <v>736</v>
      </c>
      <c r="G835" t="s">
        <v>737</v>
      </c>
      <c r="H835" t="s">
        <v>738</v>
      </c>
      <c r="I835" t="s">
        <v>739</v>
      </c>
      <c r="J835" t="s">
        <v>739</v>
      </c>
      <c r="K835" s="2">
        <v>45015</v>
      </c>
      <c r="L835">
        <v>3720.5997448938701</v>
      </c>
      <c r="M835">
        <v>101654.891790931</v>
      </c>
      <c r="N835">
        <v>48425.520230704496</v>
      </c>
      <c r="O835">
        <v>11211.9770542106</v>
      </c>
      <c r="P835">
        <v>-101654.891790931</v>
      </c>
      <c r="Q835">
        <v>-16775.0089240405</v>
      </c>
      <c r="R835">
        <v>-282.09554091738403</v>
      </c>
      <c r="S835">
        <v>14932.151783548399</v>
      </c>
      <c r="T835">
        <v>0</v>
      </c>
      <c r="U835">
        <v>7167.5104990429099</v>
      </c>
      <c r="V835">
        <v>29752.861476450398</v>
      </c>
    </row>
    <row r="836" spans="1:22" x14ac:dyDescent="0.3">
      <c r="A836" t="str">
        <f t="shared" si="26"/>
        <v>RCSLPrevisão</v>
      </c>
      <c r="B836" t="str">
        <f t="shared" si="27"/>
        <v>RCSLPrevisãoJun-2023</v>
      </c>
      <c r="C836" t="s">
        <v>518</v>
      </c>
      <c r="D836" t="s">
        <v>519</v>
      </c>
      <c r="E836" t="s">
        <v>489</v>
      </c>
      <c r="F836" t="s">
        <v>736</v>
      </c>
      <c r="G836" t="s">
        <v>737</v>
      </c>
      <c r="H836" t="s">
        <v>738</v>
      </c>
      <c r="I836" t="s">
        <v>739</v>
      </c>
      <c r="J836" t="s">
        <v>739</v>
      </c>
      <c r="K836" s="2">
        <v>45107</v>
      </c>
      <c r="L836">
        <v>4731.20338580714</v>
      </c>
      <c r="M836">
        <v>113300.29216388</v>
      </c>
      <c r="N836">
        <v>54104.8747287433</v>
      </c>
      <c r="O836">
        <v>12594.4476022382</v>
      </c>
      <c r="P836">
        <v>-113300.29216388</v>
      </c>
      <c r="Q836">
        <v>-19025.133841038099</v>
      </c>
      <c r="R836">
        <v>-310.76711253277898</v>
      </c>
      <c r="S836">
        <v>16580.819318478701</v>
      </c>
      <c r="T836">
        <v>0</v>
      </c>
      <c r="U836">
        <v>20875.663126960299</v>
      </c>
      <c r="V836">
        <v>33409.422859674203</v>
      </c>
    </row>
    <row r="837" spans="1:22" x14ac:dyDescent="0.3">
      <c r="A837" t="str">
        <f t="shared" si="26"/>
        <v>RCSLPrevisão</v>
      </c>
      <c r="B837" t="str">
        <f t="shared" si="27"/>
        <v>RCSLPrevisãoSet-2023</v>
      </c>
      <c r="C837" t="s">
        <v>518</v>
      </c>
      <c r="D837" t="s">
        <v>519</v>
      </c>
      <c r="E837" t="s">
        <v>489</v>
      </c>
      <c r="F837" t="s">
        <v>736</v>
      </c>
      <c r="G837" t="s">
        <v>737</v>
      </c>
      <c r="H837" t="s">
        <v>738</v>
      </c>
      <c r="I837" t="s">
        <v>739</v>
      </c>
      <c r="J837" t="s">
        <v>739</v>
      </c>
      <c r="K837" s="2">
        <v>45199</v>
      </c>
      <c r="L837">
        <v>5811.5470981756498</v>
      </c>
      <c r="M837">
        <v>126048.060288889</v>
      </c>
      <c r="N837">
        <v>60194.602167399396</v>
      </c>
      <c r="O837">
        <v>14078.680764746699</v>
      </c>
      <c r="P837">
        <v>-126048.060288889</v>
      </c>
      <c r="Q837">
        <v>-22033.956987771198</v>
      </c>
      <c r="R837">
        <v>-308.07061404010898</v>
      </c>
      <c r="S837">
        <v>18630.4822005715</v>
      </c>
      <c r="T837">
        <v>0</v>
      </c>
      <c r="U837">
        <v>35566.437092343898</v>
      </c>
      <c r="V837">
        <v>37323.446395041297</v>
      </c>
    </row>
    <row r="838" spans="1:22" x14ac:dyDescent="0.3">
      <c r="A838" t="str">
        <f t="shared" si="26"/>
        <v>RAPTPrevisão</v>
      </c>
      <c r="B838" t="str">
        <f t="shared" si="27"/>
        <v>RAPTPrevisãoDez-2022</v>
      </c>
      <c r="C838" t="s">
        <v>502</v>
      </c>
      <c r="D838" t="s">
        <v>503</v>
      </c>
      <c r="E838" t="s">
        <v>489</v>
      </c>
      <c r="F838" t="s">
        <v>736</v>
      </c>
      <c r="G838" t="s">
        <v>737</v>
      </c>
      <c r="H838" t="s">
        <v>738</v>
      </c>
      <c r="I838" t="s">
        <v>739</v>
      </c>
      <c r="J838" t="s">
        <v>739</v>
      </c>
      <c r="K838" s="2">
        <v>44925</v>
      </c>
      <c r="L838">
        <v>201812.09464393699</v>
      </c>
      <c r="M838">
        <v>7241979.1451494396</v>
      </c>
      <c r="N838">
        <v>3376893.2441216102</v>
      </c>
      <c r="O838">
        <v>662262.18156361696</v>
      </c>
      <c r="P838">
        <v>-7241979.1451494396</v>
      </c>
      <c r="Q838">
        <v>-1729108.98684305</v>
      </c>
      <c r="R838">
        <v>75787.558696206106</v>
      </c>
      <c r="S838">
        <v>30880.424751721301</v>
      </c>
      <c r="T838">
        <v>1977155.27018078</v>
      </c>
      <c r="U838">
        <v>3106114.5160000199</v>
      </c>
      <c r="V838">
        <v>1207791.61709529</v>
      </c>
    </row>
    <row r="839" spans="1:22" x14ac:dyDescent="0.3">
      <c r="A839" t="str">
        <f t="shared" si="26"/>
        <v>RAPTPrevisão</v>
      </c>
      <c r="B839" t="str">
        <f t="shared" si="27"/>
        <v>RAPTPrevisãoMar-2023</v>
      </c>
      <c r="C839" t="s">
        <v>502</v>
      </c>
      <c r="D839" t="s">
        <v>503</v>
      </c>
      <c r="E839" t="s">
        <v>489</v>
      </c>
      <c r="F839" t="s">
        <v>736</v>
      </c>
      <c r="G839" t="s">
        <v>737</v>
      </c>
      <c r="H839" t="s">
        <v>738</v>
      </c>
      <c r="I839" t="s">
        <v>739</v>
      </c>
      <c r="J839" t="s">
        <v>739</v>
      </c>
      <c r="K839" s="2">
        <v>45015</v>
      </c>
      <c r="L839">
        <v>221456.96976351799</v>
      </c>
      <c r="M839">
        <v>7732054.1065257601</v>
      </c>
      <c r="N839">
        <v>3580923.0616564802</v>
      </c>
      <c r="O839">
        <v>742838.02544418594</v>
      </c>
      <c r="P839">
        <v>-7732054.1065257601</v>
      </c>
      <c r="Q839">
        <v>-1881472.12694726</v>
      </c>
      <c r="R839">
        <v>81534.501648325502</v>
      </c>
      <c r="S839">
        <v>34461.541689897997</v>
      </c>
      <c r="T839">
        <v>2254811.9069023202</v>
      </c>
      <c r="U839">
        <v>3335901.2110976898</v>
      </c>
      <c r="V839">
        <v>1300850.22332107</v>
      </c>
    </row>
    <row r="840" spans="1:22" x14ac:dyDescent="0.3">
      <c r="A840" t="str">
        <f t="shared" si="26"/>
        <v>RAPTPrevisão</v>
      </c>
      <c r="B840" t="str">
        <f t="shared" si="27"/>
        <v>RAPTPrevisãoJun-2023</v>
      </c>
      <c r="C840" t="s">
        <v>502</v>
      </c>
      <c r="D840" t="s">
        <v>503</v>
      </c>
      <c r="E840" t="s">
        <v>489</v>
      </c>
      <c r="F840" t="s">
        <v>736</v>
      </c>
      <c r="G840" t="s">
        <v>737</v>
      </c>
      <c r="H840" t="s">
        <v>738</v>
      </c>
      <c r="I840" t="s">
        <v>739</v>
      </c>
      <c r="J840" t="s">
        <v>739</v>
      </c>
      <c r="K840" s="2">
        <v>45107</v>
      </c>
      <c r="L840">
        <v>242242.21486862001</v>
      </c>
      <c r="M840">
        <v>8264447.0926322201</v>
      </c>
      <c r="N840">
        <v>3801117.4787050299</v>
      </c>
      <c r="O840">
        <v>831747.69186419505</v>
      </c>
      <c r="P840">
        <v>-8264447.0926322201</v>
      </c>
      <c r="Q840">
        <v>-2048684.43499953</v>
      </c>
      <c r="R840">
        <v>87783.202475404105</v>
      </c>
      <c r="S840">
        <v>38366.740040233701</v>
      </c>
      <c r="T840">
        <v>2559172.1942234701</v>
      </c>
      <c r="U840">
        <v>3584974.8581235302</v>
      </c>
      <c r="V840">
        <v>1400828.40598035</v>
      </c>
    </row>
    <row r="841" spans="1:22" x14ac:dyDescent="0.3">
      <c r="A841" t="str">
        <f t="shared" si="26"/>
        <v>RAPTPrevisão</v>
      </c>
      <c r="B841" t="str">
        <f t="shared" si="27"/>
        <v>RAPTPrevisãoSet-2023</v>
      </c>
      <c r="C841" t="s">
        <v>502</v>
      </c>
      <c r="D841" t="s">
        <v>503</v>
      </c>
      <c r="E841" t="s">
        <v>489</v>
      </c>
      <c r="F841" t="s">
        <v>736</v>
      </c>
      <c r="G841" t="s">
        <v>737</v>
      </c>
      <c r="H841" t="s">
        <v>738</v>
      </c>
      <c r="I841" t="s">
        <v>739</v>
      </c>
      <c r="J841" t="s">
        <v>739</v>
      </c>
      <c r="K841" s="2">
        <v>45199</v>
      </c>
      <c r="L841">
        <v>264189.38925670402</v>
      </c>
      <c r="M841">
        <v>8841014.0574216302</v>
      </c>
      <c r="N841">
        <v>4038153.8315647701</v>
      </c>
      <c r="O841">
        <v>929353.43131852697</v>
      </c>
      <c r="P841">
        <v>-8841014.0574216302</v>
      </c>
      <c r="Q841">
        <v>-2231428.7231605202</v>
      </c>
      <c r="R841">
        <v>94554.568881179206</v>
      </c>
      <c r="S841">
        <v>42608.117238664701</v>
      </c>
      <c r="T841">
        <v>2891360.27924432</v>
      </c>
      <c r="U841">
        <v>3854098.7165528699</v>
      </c>
      <c r="V841">
        <v>1507967.26283804</v>
      </c>
    </row>
    <row r="842" spans="1:22" x14ac:dyDescent="0.3">
      <c r="A842" t="str">
        <f t="shared" si="26"/>
        <v>RSULPrevisão</v>
      </c>
      <c r="B842" t="str">
        <f t="shared" si="27"/>
        <v>RSULPrevisãoDez-2022</v>
      </c>
      <c r="C842" t="s">
        <v>500</v>
      </c>
      <c r="D842" t="s">
        <v>501</v>
      </c>
      <c r="E842" t="s">
        <v>489</v>
      </c>
      <c r="F842" t="s">
        <v>736</v>
      </c>
      <c r="G842" t="s">
        <v>737</v>
      </c>
      <c r="H842" t="s">
        <v>738</v>
      </c>
      <c r="I842" t="s">
        <v>739</v>
      </c>
      <c r="J842" t="s">
        <v>739</v>
      </c>
      <c r="K842" s="2">
        <v>44925</v>
      </c>
      <c r="L842">
        <v>22638.364739840799</v>
      </c>
      <c r="M842">
        <v>359581.515406152</v>
      </c>
      <c r="N842">
        <v>196288.30625582801</v>
      </c>
      <c r="O842">
        <v>79579.346065701</v>
      </c>
      <c r="P842">
        <v>-359581.515406152</v>
      </c>
      <c r="Q842">
        <v>-70594.145912925596</v>
      </c>
      <c r="R842">
        <v>11943.7479840303</v>
      </c>
      <c r="S842">
        <v>-2392.52644088026</v>
      </c>
      <c r="T842">
        <v>30355.7563025237</v>
      </c>
      <c r="U842">
        <v>163643.19081572001</v>
      </c>
      <c r="V842">
        <v>121186.900348009</v>
      </c>
    </row>
    <row r="843" spans="1:22" x14ac:dyDescent="0.3">
      <c r="A843" t="str">
        <f t="shared" si="26"/>
        <v>RSULPrevisão</v>
      </c>
      <c r="B843" t="str">
        <f t="shared" si="27"/>
        <v>RSULPrevisãoMar-2023</v>
      </c>
      <c r="C843" t="s">
        <v>500</v>
      </c>
      <c r="D843" t="s">
        <v>501</v>
      </c>
      <c r="E843" t="s">
        <v>489</v>
      </c>
      <c r="F843" t="s">
        <v>736</v>
      </c>
      <c r="G843" t="s">
        <v>737</v>
      </c>
      <c r="H843" t="s">
        <v>738</v>
      </c>
      <c r="I843" t="s">
        <v>739</v>
      </c>
      <c r="J843" t="s">
        <v>739</v>
      </c>
      <c r="K843" s="2">
        <v>45015</v>
      </c>
      <c r="L843">
        <v>24133.5532132646</v>
      </c>
      <c r="M843">
        <v>386026.496176838</v>
      </c>
      <c r="N843">
        <v>218967.44896155901</v>
      </c>
      <c r="O843">
        <v>87705.385398388098</v>
      </c>
      <c r="P843">
        <v>-386026.496176838</v>
      </c>
      <c r="Q843">
        <v>-64985.937728426798</v>
      </c>
      <c r="R843">
        <v>9669.5247546888804</v>
      </c>
      <c r="S843">
        <v>-16395.488608548399</v>
      </c>
      <c r="T843">
        <v>35825.100310398098</v>
      </c>
      <c r="U843">
        <v>193481.77371030199</v>
      </c>
      <c r="V843">
        <v>133740.212717674</v>
      </c>
    </row>
    <row r="844" spans="1:22" x14ac:dyDescent="0.3">
      <c r="A844" t="str">
        <f t="shared" si="26"/>
        <v>RSULPrevisão</v>
      </c>
      <c r="B844" t="str">
        <f t="shared" si="27"/>
        <v>RSULPrevisãoJun-2023</v>
      </c>
      <c r="C844" t="s">
        <v>500</v>
      </c>
      <c r="D844" t="s">
        <v>501</v>
      </c>
      <c r="E844" t="s">
        <v>489</v>
      </c>
      <c r="F844" t="s">
        <v>736</v>
      </c>
      <c r="G844" t="s">
        <v>737</v>
      </c>
      <c r="H844" t="s">
        <v>738</v>
      </c>
      <c r="I844" t="s">
        <v>739</v>
      </c>
      <c r="J844" t="s">
        <v>739</v>
      </c>
      <c r="K844" s="2">
        <v>45107</v>
      </c>
      <c r="L844">
        <v>25633.464907154601</v>
      </c>
      <c r="M844">
        <v>414747.98744076898</v>
      </c>
      <c r="N844">
        <v>243662.69488240301</v>
      </c>
      <c r="O844">
        <v>96545.967400800495</v>
      </c>
      <c r="P844">
        <v>-414747.98744076898</v>
      </c>
      <c r="Q844">
        <v>-59316.9943144684</v>
      </c>
      <c r="R844">
        <v>7385.4938619485902</v>
      </c>
      <c r="S844">
        <v>-31849.090376735399</v>
      </c>
      <c r="T844">
        <v>41834.570667531902</v>
      </c>
      <c r="U844">
        <v>225868.27745484799</v>
      </c>
      <c r="V844">
        <v>147349.89252711201</v>
      </c>
    </row>
    <row r="845" spans="1:22" x14ac:dyDescent="0.3">
      <c r="A845" t="str">
        <f t="shared" si="26"/>
        <v>RSULPrevisão</v>
      </c>
      <c r="B845" t="str">
        <f t="shared" si="27"/>
        <v>RSULPrevisãoSet-2023</v>
      </c>
      <c r="C845" t="s">
        <v>500</v>
      </c>
      <c r="D845" t="s">
        <v>501</v>
      </c>
      <c r="E845" t="s">
        <v>489</v>
      </c>
      <c r="F845" t="s">
        <v>736</v>
      </c>
      <c r="G845" t="s">
        <v>737</v>
      </c>
      <c r="H845" t="s">
        <v>738</v>
      </c>
      <c r="I845" t="s">
        <v>739</v>
      </c>
      <c r="J845" t="s">
        <v>739</v>
      </c>
      <c r="K845" s="2">
        <v>45199</v>
      </c>
      <c r="L845">
        <v>27134.696260401401</v>
      </c>
      <c r="M845">
        <v>445832.21793537401</v>
      </c>
      <c r="N845">
        <v>270453.61707772501</v>
      </c>
      <c r="O845">
        <v>106129.47103762699</v>
      </c>
      <c r="P845">
        <v>-445832.21793537401</v>
      </c>
      <c r="Q845">
        <v>-53604.098123641299</v>
      </c>
      <c r="R845">
        <v>5100.1787176794396</v>
      </c>
      <c r="S845">
        <v>-48809.533041695096</v>
      </c>
      <c r="T845">
        <v>48407.449789944701</v>
      </c>
      <c r="U845">
        <v>260892.35776116501</v>
      </c>
      <c r="V845">
        <v>162056.47657339799</v>
      </c>
    </row>
    <row r="846" spans="1:22" x14ac:dyDescent="0.3">
      <c r="A846" t="str">
        <f t="shared" si="26"/>
        <v>FRIOPrevisão</v>
      </c>
      <c r="B846" t="str">
        <f t="shared" si="27"/>
        <v>FRIOPrevisãoJun-2022</v>
      </c>
      <c r="C846" t="s">
        <v>715</v>
      </c>
      <c r="D846" t="s">
        <v>716</v>
      </c>
      <c r="E846" t="s">
        <v>489</v>
      </c>
      <c r="F846" t="s">
        <v>736</v>
      </c>
      <c r="G846" t="s">
        <v>737</v>
      </c>
      <c r="H846" t="s">
        <v>738</v>
      </c>
      <c r="I846" t="s">
        <v>739</v>
      </c>
      <c r="J846" t="s">
        <v>739</v>
      </c>
      <c r="K846" s="2">
        <v>44742</v>
      </c>
      <c r="L846">
        <v>-19040.126466278401</v>
      </c>
      <c r="M846">
        <v>1057654.3235508101</v>
      </c>
      <c r="N846">
        <v>406727.56365367002</v>
      </c>
      <c r="O846">
        <v>148058.186066066</v>
      </c>
      <c r="P846">
        <v>-1057654.3235508101</v>
      </c>
      <c r="Q846">
        <v>-860764.30021991604</v>
      </c>
      <c r="R846">
        <v>17251.614089182302</v>
      </c>
      <c r="S846">
        <v>4244.6358030014499</v>
      </c>
      <c r="T846">
        <v>9411.8539977598393</v>
      </c>
      <c r="U846">
        <v>-172412.53825263301</v>
      </c>
      <c r="V846">
        <v>204382.3875065</v>
      </c>
    </row>
    <row r="847" spans="1:22" x14ac:dyDescent="0.3">
      <c r="A847" t="str">
        <f t="shared" si="26"/>
        <v>FRIOPrevisão</v>
      </c>
      <c r="B847" t="str">
        <f t="shared" si="27"/>
        <v>FRIOPrevisãoSet-2022</v>
      </c>
      <c r="C847" t="s">
        <v>715</v>
      </c>
      <c r="D847" t="s">
        <v>716</v>
      </c>
      <c r="E847" t="s">
        <v>489</v>
      </c>
      <c r="F847" t="s">
        <v>736</v>
      </c>
      <c r="G847" t="s">
        <v>737</v>
      </c>
      <c r="H847" t="s">
        <v>738</v>
      </c>
      <c r="I847" t="s">
        <v>739</v>
      </c>
      <c r="J847" t="s">
        <v>739</v>
      </c>
      <c r="K847" s="2">
        <v>44834</v>
      </c>
      <c r="L847">
        <v>-20014.832163806899</v>
      </c>
      <c r="M847">
        <v>1074681.0552808701</v>
      </c>
      <c r="N847">
        <v>421892.73608892102</v>
      </c>
      <c r="O847">
        <v>164363.88778986299</v>
      </c>
      <c r="P847">
        <v>-1074681.0552808701</v>
      </c>
      <c r="Q847">
        <v>-882765.48850387696</v>
      </c>
      <c r="R847">
        <v>18081.660138246902</v>
      </c>
      <c r="S847">
        <v>4455.1910347715202</v>
      </c>
      <c r="T847">
        <v>13083.6287488628</v>
      </c>
      <c r="U847">
        <v>-198688.613476283</v>
      </c>
      <c r="V847">
        <v>219741.589177936</v>
      </c>
    </row>
    <row r="848" spans="1:22" x14ac:dyDescent="0.3">
      <c r="A848" t="str">
        <f t="shared" si="26"/>
        <v>FRIOPrevisão</v>
      </c>
      <c r="B848" t="str">
        <f t="shared" si="27"/>
        <v>FRIOPrevisãoDez-2022</v>
      </c>
      <c r="C848" t="s">
        <v>715</v>
      </c>
      <c r="D848" t="s">
        <v>716</v>
      </c>
      <c r="E848" t="s">
        <v>489</v>
      </c>
      <c r="F848" t="s">
        <v>736</v>
      </c>
      <c r="G848" t="s">
        <v>737</v>
      </c>
      <c r="H848" t="s">
        <v>738</v>
      </c>
      <c r="I848" t="s">
        <v>739</v>
      </c>
      <c r="J848" t="s">
        <v>739</v>
      </c>
      <c r="K848" s="2">
        <v>44926</v>
      </c>
      <c r="L848">
        <v>-21099.962014427801</v>
      </c>
      <c r="M848">
        <v>1089351.51714946</v>
      </c>
      <c r="N848">
        <v>437062.35642415303</v>
      </c>
      <c r="O848">
        <v>182162.37313840099</v>
      </c>
      <c r="P848">
        <v>-1089351.51714946</v>
      </c>
      <c r="Q848">
        <v>-903277.80051870795</v>
      </c>
      <c r="R848">
        <v>19060.6305786224</v>
      </c>
      <c r="S848">
        <v>4694.9895553527203</v>
      </c>
      <c r="T848">
        <v>17249.4101074475</v>
      </c>
      <c r="U848">
        <v>-226670.318609084</v>
      </c>
      <c r="V848">
        <v>236675.69273725399</v>
      </c>
    </row>
    <row r="849" spans="1:22" x14ac:dyDescent="0.3">
      <c r="A849" t="str">
        <f t="shared" si="26"/>
        <v>FRIOPrevisão</v>
      </c>
      <c r="B849" t="str">
        <f t="shared" si="27"/>
        <v>FRIOPrevisãoMar-2023</v>
      </c>
      <c r="C849" t="s">
        <v>715</v>
      </c>
      <c r="D849" t="s">
        <v>716</v>
      </c>
      <c r="E849" t="s">
        <v>489</v>
      </c>
      <c r="F849" t="s">
        <v>736</v>
      </c>
      <c r="G849" t="s">
        <v>737</v>
      </c>
      <c r="H849" t="s">
        <v>738</v>
      </c>
      <c r="I849" t="s">
        <v>739</v>
      </c>
      <c r="J849" t="s">
        <v>739</v>
      </c>
      <c r="K849" s="2">
        <v>45016</v>
      </c>
      <c r="L849">
        <v>-22303.3218757063</v>
      </c>
      <c r="M849">
        <v>1101449.8353404</v>
      </c>
      <c r="N849">
        <v>452174.86889543402</v>
      </c>
      <c r="O849">
        <v>201510.00266707601</v>
      </c>
      <c r="P849">
        <v>-1101449.8353404</v>
      </c>
      <c r="Q849">
        <v>-922173.58950261003</v>
      </c>
      <c r="R849">
        <v>20197.1959021521</v>
      </c>
      <c r="S849">
        <v>4965.3631739131697</v>
      </c>
      <c r="T849">
        <v>21927.424210790599</v>
      </c>
      <c r="U849">
        <v>-256444.08802296</v>
      </c>
      <c r="V849">
        <v>255259.99773264301</v>
      </c>
    </row>
    <row r="850" spans="1:22" x14ac:dyDescent="0.3">
      <c r="A850" t="str">
        <f t="shared" si="26"/>
        <v>POMOPrevisão</v>
      </c>
      <c r="B850" t="str">
        <f t="shared" si="27"/>
        <v>POMOPrevisãoDez-2022</v>
      </c>
      <c r="C850" t="s">
        <v>498</v>
      </c>
      <c r="D850" t="s">
        <v>499</v>
      </c>
      <c r="E850" t="s">
        <v>489</v>
      </c>
      <c r="F850" t="s">
        <v>736</v>
      </c>
      <c r="G850" t="s">
        <v>737</v>
      </c>
      <c r="H850" t="s">
        <v>738</v>
      </c>
      <c r="I850" t="s">
        <v>739</v>
      </c>
      <c r="J850" t="s">
        <v>739</v>
      </c>
      <c r="K850" s="2">
        <v>44925</v>
      </c>
      <c r="L850">
        <v>92674.660640016606</v>
      </c>
      <c r="M850">
        <v>5859463.0679904399</v>
      </c>
      <c r="N850">
        <v>1947763.28673274</v>
      </c>
      <c r="O850">
        <v>981323.84907927399</v>
      </c>
      <c r="P850">
        <v>-5859463.0679904399</v>
      </c>
      <c r="Q850">
        <v>-995798.3705967</v>
      </c>
      <c r="R850">
        <v>98905.442916553293</v>
      </c>
      <c r="S850">
        <v>53796.670571250899</v>
      </c>
      <c r="T850">
        <v>1316347.4838298899</v>
      </c>
      <c r="U850">
        <v>3241227.4259395399</v>
      </c>
      <c r="V850">
        <v>495226.41507513099</v>
      </c>
    </row>
    <row r="851" spans="1:22" x14ac:dyDescent="0.3">
      <c r="A851" t="str">
        <f t="shared" si="26"/>
        <v>POMOPrevisão</v>
      </c>
      <c r="B851" t="str">
        <f t="shared" si="27"/>
        <v>POMOPrevisãoMar-2023</v>
      </c>
      <c r="C851" t="s">
        <v>498</v>
      </c>
      <c r="D851" t="s">
        <v>499</v>
      </c>
      <c r="E851" t="s">
        <v>489</v>
      </c>
      <c r="F851" t="s">
        <v>736</v>
      </c>
      <c r="G851" t="s">
        <v>737</v>
      </c>
      <c r="H851" t="s">
        <v>738</v>
      </c>
      <c r="I851" t="s">
        <v>739</v>
      </c>
      <c r="J851" t="s">
        <v>739</v>
      </c>
      <c r="K851" s="2">
        <v>45015</v>
      </c>
      <c r="L851">
        <v>103239.547776197</v>
      </c>
      <c r="M851">
        <v>6188594.6599559803</v>
      </c>
      <c r="N851">
        <v>2051212.0856095499</v>
      </c>
      <c r="O851">
        <v>1087073.7984664401</v>
      </c>
      <c r="P851">
        <v>-6188594.6599559803</v>
      </c>
      <c r="Q851">
        <v>-1046945.05972049</v>
      </c>
      <c r="R851">
        <v>103296.650233875</v>
      </c>
      <c r="S851">
        <v>54419.9580061222</v>
      </c>
      <c r="T851">
        <v>1408617.5586824301</v>
      </c>
      <c r="U851">
        <v>3378402.9743328202</v>
      </c>
      <c r="V851">
        <v>516975.507525869</v>
      </c>
    </row>
    <row r="852" spans="1:22" x14ac:dyDescent="0.3">
      <c r="A852" t="str">
        <f t="shared" si="26"/>
        <v>POMOPrevisão</v>
      </c>
      <c r="B852" t="str">
        <f t="shared" si="27"/>
        <v>POMOPrevisãoJun-2023</v>
      </c>
      <c r="C852" t="s">
        <v>498</v>
      </c>
      <c r="D852" t="s">
        <v>499</v>
      </c>
      <c r="E852" t="s">
        <v>489</v>
      </c>
      <c r="F852" t="s">
        <v>736</v>
      </c>
      <c r="G852" t="s">
        <v>737</v>
      </c>
      <c r="H852" t="s">
        <v>738</v>
      </c>
      <c r="I852" t="s">
        <v>739</v>
      </c>
      <c r="J852" t="s">
        <v>739</v>
      </c>
      <c r="K852" s="2">
        <v>45107</v>
      </c>
      <c r="L852">
        <v>114834.71652839999</v>
      </c>
      <c r="M852">
        <v>6547429.9953428004</v>
      </c>
      <c r="N852">
        <v>2169099.7695723302</v>
      </c>
      <c r="O852">
        <v>1204588.90620511</v>
      </c>
      <c r="P852">
        <v>-6547429.9953428004</v>
      </c>
      <c r="Q852">
        <v>-1104153.2747341001</v>
      </c>
      <c r="R852">
        <v>108079.85300739099</v>
      </c>
      <c r="S852">
        <v>54746.701504913297</v>
      </c>
      <c r="T852">
        <v>1506582.9002662599</v>
      </c>
      <c r="U852">
        <v>3524627.57504615</v>
      </c>
      <c r="V852">
        <v>541690.130657261</v>
      </c>
    </row>
    <row r="853" spans="1:22" x14ac:dyDescent="0.3">
      <c r="A853" t="str">
        <f t="shared" si="26"/>
        <v>POMOPrevisão</v>
      </c>
      <c r="B853" t="str">
        <f t="shared" si="27"/>
        <v>POMOPrevisãoSet-2023</v>
      </c>
      <c r="C853" t="s">
        <v>498</v>
      </c>
      <c r="D853" t="s">
        <v>499</v>
      </c>
      <c r="E853" t="s">
        <v>489</v>
      </c>
      <c r="F853" t="s">
        <v>736</v>
      </c>
      <c r="G853" t="s">
        <v>737</v>
      </c>
      <c r="H853" t="s">
        <v>738</v>
      </c>
      <c r="I853" t="s">
        <v>739</v>
      </c>
      <c r="J853" t="s">
        <v>739</v>
      </c>
      <c r="K853" s="2">
        <v>45199</v>
      </c>
      <c r="L853">
        <v>127498.248982716</v>
      </c>
      <c r="M853">
        <v>6937371.2976825396</v>
      </c>
      <c r="N853">
        <v>2302218.83685034</v>
      </c>
      <c r="O853">
        <v>1334415.7321927899</v>
      </c>
      <c r="P853">
        <v>-6937371.2976825396</v>
      </c>
      <c r="Q853">
        <v>-1167725.62298321</v>
      </c>
      <c r="R853">
        <v>113269.97184037699</v>
      </c>
      <c r="S853">
        <v>54746.735757344402</v>
      </c>
      <c r="T853">
        <v>1610420.76564464</v>
      </c>
      <c r="U853">
        <v>3680305.2688143202</v>
      </c>
      <c r="V853">
        <v>569504.48974574695</v>
      </c>
    </row>
    <row r="854" spans="1:22" x14ac:dyDescent="0.3">
      <c r="A854" t="str">
        <f t="shared" si="26"/>
        <v>LEVEPrevisão</v>
      </c>
      <c r="B854" t="str">
        <f t="shared" si="27"/>
        <v>LEVEPrevisãoDez-2022</v>
      </c>
      <c r="C854" t="s">
        <v>496</v>
      </c>
      <c r="D854" t="s">
        <v>497</v>
      </c>
      <c r="E854" t="s">
        <v>489</v>
      </c>
      <c r="F854" t="s">
        <v>736</v>
      </c>
      <c r="G854" t="s">
        <v>737</v>
      </c>
      <c r="H854" t="s">
        <v>738</v>
      </c>
      <c r="I854" t="s">
        <v>739</v>
      </c>
      <c r="J854" t="s">
        <v>739</v>
      </c>
      <c r="K854" s="2">
        <v>44925</v>
      </c>
      <c r="L854">
        <v>189386.38782786101</v>
      </c>
      <c r="M854">
        <v>3041998.4035310699</v>
      </c>
      <c r="N854">
        <v>1503314.1072913299</v>
      </c>
      <c r="O854">
        <v>653570.456582668</v>
      </c>
      <c r="P854">
        <v>-3041998.4035310699</v>
      </c>
      <c r="Q854">
        <v>-854186.54188921</v>
      </c>
      <c r="R854">
        <v>127322.689669803</v>
      </c>
      <c r="S854">
        <v>56104.994227995099</v>
      </c>
      <c r="T854">
        <v>692870.64994480298</v>
      </c>
      <c r="U854">
        <v>1768102.1820727801</v>
      </c>
      <c r="V854">
        <v>944039.79203809099</v>
      </c>
    </row>
    <row r="855" spans="1:22" x14ac:dyDescent="0.3">
      <c r="A855" t="str">
        <f t="shared" si="26"/>
        <v>LEVEPrevisão</v>
      </c>
      <c r="B855" t="str">
        <f t="shared" si="27"/>
        <v>LEVEPrevisãoMar-2023</v>
      </c>
      <c r="C855" t="s">
        <v>496</v>
      </c>
      <c r="D855" t="s">
        <v>497</v>
      </c>
      <c r="E855" t="s">
        <v>489</v>
      </c>
      <c r="F855" t="s">
        <v>736</v>
      </c>
      <c r="G855" t="s">
        <v>737</v>
      </c>
      <c r="H855" t="s">
        <v>738</v>
      </c>
      <c r="I855" t="s">
        <v>739</v>
      </c>
      <c r="J855" t="s">
        <v>739</v>
      </c>
      <c r="K855" s="2">
        <v>45015</v>
      </c>
      <c r="L855">
        <v>212017.02962168099</v>
      </c>
      <c r="M855">
        <v>3138035.4530221098</v>
      </c>
      <c r="N855">
        <v>1554611.2872925401</v>
      </c>
      <c r="O855">
        <v>705993.40638962702</v>
      </c>
      <c r="P855">
        <v>-3138035.4530221098</v>
      </c>
      <c r="Q855">
        <v>-874364.69507671997</v>
      </c>
      <c r="R855">
        <v>134068.980800505</v>
      </c>
      <c r="S855">
        <v>61204.909230851903</v>
      </c>
      <c r="T855">
        <v>733882.55072181905</v>
      </c>
      <c r="U855">
        <v>1840569.10924365</v>
      </c>
      <c r="V855">
        <v>1018687.73095027</v>
      </c>
    </row>
    <row r="856" spans="1:22" x14ac:dyDescent="0.3">
      <c r="A856" t="str">
        <f t="shared" si="26"/>
        <v>LEVEPrevisão</v>
      </c>
      <c r="B856" t="str">
        <f t="shared" si="27"/>
        <v>LEVEPrevisãoJun-2023</v>
      </c>
      <c r="C856" t="s">
        <v>496</v>
      </c>
      <c r="D856" t="s">
        <v>497</v>
      </c>
      <c r="E856" t="s">
        <v>489</v>
      </c>
      <c r="F856" t="s">
        <v>736</v>
      </c>
      <c r="G856" t="s">
        <v>737</v>
      </c>
      <c r="H856" t="s">
        <v>738</v>
      </c>
      <c r="I856" t="s">
        <v>739</v>
      </c>
      <c r="J856" t="s">
        <v>739</v>
      </c>
      <c r="K856" s="2">
        <v>45107</v>
      </c>
      <c r="L856">
        <v>236862.74864209999</v>
      </c>
      <c r="M856">
        <v>3241497.3764739502</v>
      </c>
      <c r="N856">
        <v>1608472.3020758301</v>
      </c>
      <c r="O856">
        <v>763538.16696755204</v>
      </c>
      <c r="P856">
        <v>-3241497.3764739502</v>
      </c>
      <c r="Q856">
        <v>-893145.31241600204</v>
      </c>
      <c r="R856">
        <v>141442.00011240601</v>
      </c>
      <c r="S856">
        <v>66827.439691995998</v>
      </c>
      <c r="T856">
        <v>777630.22200183605</v>
      </c>
      <c r="U856">
        <v>1920098.2778169101</v>
      </c>
      <c r="V856">
        <v>1100309.2218335201</v>
      </c>
    </row>
    <row r="857" spans="1:22" x14ac:dyDescent="0.3">
      <c r="A857" t="str">
        <f t="shared" si="26"/>
        <v>LEVEPrevisão</v>
      </c>
      <c r="B857" t="str">
        <f t="shared" si="27"/>
        <v>LEVEPrevisãoSet-2023</v>
      </c>
      <c r="C857" t="s">
        <v>496</v>
      </c>
      <c r="D857" t="s">
        <v>497</v>
      </c>
      <c r="E857" t="s">
        <v>489</v>
      </c>
      <c r="F857" t="s">
        <v>736</v>
      </c>
      <c r="G857" t="s">
        <v>737</v>
      </c>
      <c r="H857" t="s">
        <v>738</v>
      </c>
      <c r="I857" t="s">
        <v>739</v>
      </c>
      <c r="J857" t="s">
        <v>739</v>
      </c>
      <c r="K857" s="2">
        <v>45199</v>
      </c>
      <c r="L857">
        <v>264020.32919582003</v>
      </c>
      <c r="M857">
        <v>3352619.8894924899</v>
      </c>
      <c r="N857">
        <v>1664937.3517749601</v>
      </c>
      <c r="O857">
        <v>826425.58604509698</v>
      </c>
      <c r="P857">
        <v>-3352619.8894924899</v>
      </c>
      <c r="Q857">
        <v>-910355.56827660499</v>
      </c>
      <c r="R857">
        <v>149467.00619046699</v>
      </c>
      <c r="S857">
        <v>72996.869795284394</v>
      </c>
      <c r="T857">
        <v>824205.66886009998</v>
      </c>
      <c r="U857">
        <v>2006985.0085853799</v>
      </c>
      <c r="V857">
        <v>1189196.3523296099</v>
      </c>
    </row>
    <row r="858" spans="1:22" x14ac:dyDescent="0.3">
      <c r="A858" t="str">
        <f t="shared" si="26"/>
        <v>LUPAPrevisão</v>
      </c>
      <c r="B858" t="str">
        <f t="shared" si="27"/>
        <v>LUPAPrevisãoDez-2022</v>
      </c>
      <c r="C858" t="s">
        <v>510</v>
      </c>
      <c r="D858" t="s">
        <v>511</v>
      </c>
      <c r="E858" t="s">
        <v>489</v>
      </c>
      <c r="F858" t="s">
        <v>736</v>
      </c>
      <c r="G858" t="s">
        <v>737</v>
      </c>
      <c r="H858" t="s">
        <v>738</v>
      </c>
      <c r="I858" t="s">
        <v>739</v>
      </c>
      <c r="J858" t="s">
        <v>739</v>
      </c>
      <c r="K858" s="2">
        <v>44925</v>
      </c>
      <c r="L858">
        <v>-44006.083439378497</v>
      </c>
      <c r="M858">
        <v>550461.92241715896</v>
      </c>
      <c r="N858">
        <v>176369.695781349</v>
      </c>
      <c r="O858">
        <v>27935.598336293599</v>
      </c>
      <c r="P858">
        <v>-550461.92241715896</v>
      </c>
      <c r="Q858">
        <v>-227690.31347095</v>
      </c>
      <c r="R858">
        <v>6831.0887021471699</v>
      </c>
      <c r="S858">
        <v>3214.4131228297801</v>
      </c>
      <c r="T858">
        <v>0</v>
      </c>
      <c r="U858">
        <v>-20486.567693614401</v>
      </c>
      <c r="V858">
        <v>30707.135302606999</v>
      </c>
    </row>
    <row r="859" spans="1:22" x14ac:dyDescent="0.3">
      <c r="A859" t="str">
        <f t="shared" si="26"/>
        <v>LUPAPrevisão</v>
      </c>
      <c r="B859" t="str">
        <f t="shared" si="27"/>
        <v>LUPAPrevisãoMar-2023</v>
      </c>
      <c r="C859" t="s">
        <v>510</v>
      </c>
      <c r="D859" t="s">
        <v>511</v>
      </c>
      <c r="E859" t="s">
        <v>489</v>
      </c>
      <c r="F859" t="s">
        <v>736</v>
      </c>
      <c r="G859" t="s">
        <v>737</v>
      </c>
      <c r="H859" t="s">
        <v>738</v>
      </c>
      <c r="I859" t="s">
        <v>739</v>
      </c>
      <c r="J859" t="s">
        <v>739</v>
      </c>
      <c r="K859" s="2">
        <v>45015</v>
      </c>
      <c r="L859">
        <v>-61106.2027863806</v>
      </c>
      <c r="M859">
        <v>538842.91353196697</v>
      </c>
      <c r="N859">
        <v>192728.56425944599</v>
      </c>
      <c r="O859">
        <v>23078.424308938698</v>
      </c>
      <c r="P859">
        <v>-538842.91353196697</v>
      </c>
      <c r="Q859">
        <v>-298125.97490705602</v>
      </c>
      <c r="R859">
        <v>7150.8568147974602</v>
      </c>
      <c r="S859">
        <v>2019.19091208082</v>
      </c>
      <c r="T859">
        <v>0</v>
      </c>
      <c r="U859">
        <v>-86038.318166786397</v>
      </c>
      <c r="V859">
        <v>33405.348160228597</v>
      </c>
    </row>
    <row r="860" spans="1:22" x14ac:dyDescent="0.3">
      <c r="A860" t="str">
        <f t="shared" si="26"/>
        <v>LUPAPrevisão</v>
      </c>
      <c r="B860" t="str">
        <f t="shared" si="27"/>
        <v>LUPAPrevisãoJun-2023</v>
      </c>
      <c r="C860" t="s">
        <v>510</v>
      </c>
      <c r="D860" t="s">
        <v>511</v>
      </c>
      <c r="E860" t="s">
        <v>489</v>
      </c>
      <c r="F860" t="s">
        <v>736</v>
      </c>
      <c r="G860" t="s">
        <v>737</v>
      </c>
      <c r="H860" t="s">
        <v>738</v>
      </c>
      <c r="I860" t="s">
        <v>739</v>
      </c>
      <c r="J860" t="s">
        <v>739</v>
      </c>
      <c r="K860" s="2">
        <v>45107</v>
      </c>
      <c r="L860">
        <v>-81533.376078406305</v>
      </c>
      <c r="M860">
        <v>524392.94323724497</v>
      </c>
      <c r="N860">
        <v>210466.43986513201</v>
      </c>
      <c r="O860">
        <v>17608.1614074975</v>
      </c>
      <c r="P860">
        <v>-524392.94323724497</v>
      </c>
      <c r="Q860">
        <v>-381083.96759367897</v>
      </c>
      <c r="R860">
        <v>7515.96759253652</v>
      </c>
      <c r="S860">
        <v>936.00285486176597</v>
      </c>
      <c r="T860">
        <v>0</v>
      </c>
      <c r="U860">
        <v>-163655.86271178501</v>
      </c>
      <c r="V860">
        <v>36136.9222193069</v>
      </c>
    </row>
    <row r="861" spans="1:22" x14ac:dyDescent="0.3">
      <c r="A861" t="str">
        <f t="shared" si="26"/>
        <v>LUPAPrevisão</v>
      </c>
      <c r="B861" t="str">
        <f t="shared" si="27"/>
        <v>LUPAPrevisãoSet-2023</v>
      </c>
      <c r="C861" t="s">
        <v>510</v>
      </c>
      <c r="D861" t="s">
        <v>511</v>
      </c>
      <c r="E861" t="s">
        <v>489</v>
      </c>
      <c r="F861" t="s">
        <v>736</v>
      </c>
      <c r="G861" t="s">
        <v>737</v>
      </c>
      <c r="H861" t="s">
        <v>738</v>
      </c>
      <c r="I861" t="s">
        <v>739</v>
      </c>
      <c r="J861" t="s">
        <v>739</v>
      </c>
      <c r="K861" s="2">
        <v>45199</v>
      </c>
      <c r="L861">
        <v>-105482.012740252</v>
      </c>
      <c r="M861">
        <v>506829.72152647498</v>
      </c>
      <c r="N861">
        <v>229611.439676254</v>
      </c>
      <c r="O861">
        <v>11489.5656191375</v>
      </c>
      <c r="P861">
        <v>-506829.72152647498</v>
      </c>
      <c r="Q861">
        <v>-477257.21576514997</v>
      </c>
      <c r="R861">
        <v>7928.0611777692002</v>
      </c>
      <c r="S861">
        <v>-20.0555729795487</v>
      </c>
      <c r="T861">
        <v>0</v>
      </c>
      <c r="U861">
        <v>-254036.519129149</v>
      </c>
      <c r="V861">
        <v>38886.8522300966</v>
      </c>
    </row>
    <row r="862" spans="1:22" x14ac:dyDescent="0.3">
      <c r="A862" t="str">
        <f t="shared" si="26"/>
        <v>MYPKPrevisão</v>
      </c>
      <c r="B862" t="str">
        <f t="shared" si="27"/>
        <v>MYPKPrevisãoDez-2022</v>
      </c>
      <c r="C862" t="s">
        <v>494</v>
      </c>
      <c r="D862" t="s">
        <v>495</v>
      </c>
      <c r="E862" t="s">
        <v>489</v>
      </c>
      <c r="F862" t="s">
        <v>736</v>
      </c>
      <c r="G862" t="s">
        <v>737</v>
      </c>
      <c r="H862" t="s">
        <v>738</v>
      </c>
      <c r="I862" t="s">
        <v>739</v>
      </c>
      <c r="J862" t="s">
        <v>739</v>
      </c>
      <c r="K862" s="2">
        <v>44925</v>
      </c>
      <c r="L862">
        <v>174733.91104320801</v>
      </c>
      <c r="M862">
        <v>9243914.9910025708</v>
      </c>
      <c r="N862">
        <v>2969951.5566590601</v>
      </c>
      <c r="O862">
        <v>850296.36253284803</v>
      </c>
      <c r="P862">
        <v>-9243914.9910025708</v>
      </c>
      <c r="Q862">
        <v>-2314024.4993634</v>
      </c>
      <c r="R862">
        <v>198828.651302938</v>
      </c>
      <c r="S862">
        <v>49726.513199220397</v>
      </c>
      <c r="T862">
        <v>285239.05568290799</v>
      </c>
      <c r="U862">
        <v>4048194.7226041998</v>
      </c>
      <c r="V862">
        <v>1514210.9432136</v>
      </c>
    </row>
    <row r="863" spans="1:22" x14ac:dyDescent="0.3">
      <c r="A863" t="str">
        <f t="shared" si="26"/>
        <v>MYPKPrevisão</v>
      </c>
      <c r="B863" t="str">
        <f t="shared" si="27"/>
        <v>MYPKPrevisãoMar-2023</v>
      </c>
      <c r="C863" t="s">
        <v>494</v>
      </c>
      <c r="D863" t="s">
        <v>495</v>
      </c>
      <c r="E863" t="s">
        <v>489</v>
      </c>
      <c r="F863" t="s">
        <v>736</v>
      </c>
      <c r="G863" t="s">
        <v>737</v>
      </c>
      <c r="H863" t="s">
        <v>738</v>
      </c>
      <c r="I863" t="s">
        <v>739</v>
      </c>
      <c r="J863" t="s">
        <v>739</v>
      </c>
      <c r="K863" s="2">
        <v>45015</v>
      </c>
      <c r="L863">
        <v>198773.99226882</v>
      </c>
      <c r="M863">
        <v>9877676.8688476495</v>
      </c>
      <c r="N863">
        <v>3229710.36593509</v>
      </c>
      <c r="O863">
        <v>928542.31817603402</v>
      </c>
      <c r="P863">
        <v>-9877676.8688476495</v>
      </c>
      <c r="Q863">
        <v>-2522684.32495753</v>
      </c>
      <c r="R863">
        <v>212951.59544570299</v>
      </c>
      <c r="S863">
        <v>53300.744749334001</v>
      </c>
      <c r="T863">
        <v>256474.82959051299</v>
      </c>
      <c r="U863">
        <v>4043271.2834820901</v>
      </c>
      <c r="V863">
        <v>1667198.0874885099</v>
      </c>
    </row>
    <row r="864" spans="1:22" x14ac:dyDescent="0.3">
      <c r="A864" t="str">
        <f t="shared" si="26"/>
        <v>MYPKPrevisão</v>
      </c>
      <c r="B864" t="str">
        <f t="shared" si="27"/>
        <v>MYPKPrevisãoJun-2023</v>
      </c>
      <c r="C864" t="s">
        <v>494</v>
      </c>
      <c r="D864" t="s">
        <v>495</v>
      </c>
      <c r="E864" t="s">
        <v>489</v>
      </c>
      <c r="F864" t="s">
        <v>736</v>
      </c>
      <c r="G864" t="s">
        <v>737</v>
      </c>
      <c r="H864" t="s">
        <v>738</v>
      </c>
      <c r="I864" t="s">
        <v>739</v>
      </c>
      <c r="J864" t="s">
        <v>739</v>
      </c>
      <c r="K864" s="2">
        <v>45107</v>
      </c>
      <c r="L864">
        <v>224831.04179863</v>
      </c>
      <c r="M864">
        <v>10559856.3931564</v>
      </c>
      <c r="N864">
        <v>3506305.48604313</v>
      </c>
      <c r="O864">
        <v>1012907.44343932</v>
      </c>
      <c r="P864">
        <v>-10559856.3931564</v>
      </c>
      <c r="Q864">
        <v>-2747044.4988675201</v>
      </c>
      <c r="R864">
        <v>227971.75812150401</v>
      </c>
      <c r="S864">
        <v>57080.488706712204</v>
      </c>
      <c r="T864">
        <v>223435.826505412</v>
      </c>
      <c r="U864">
        <v>4020933.7910553799</v>
      </c>
      <c r="V864">
        <v>1832384.48671645</v>
      </c>
    </row>
    <row r="865" spans="1:22" x14ac:dyDescent="0.3">
      <c r="A865" t="str">
        <f t="shared" si="26"/>
        <v>MYPKPrevisão</v>
      </c>
      <c r="B865" t="str">
        <f t="shared" si="27"/>
        <v>MYPKPrevisãoSet-2023</v>
      </c>
      <c r="C865" t="s">
        <v>494</v>
      </c>
      <c r="D865" t="s">
        <v>495</v>
      </c>
      <c r="E865" t="s">
        <v>489</v>
      </c>
      <c r="F865" t="s">
        <v>736</v>
      </c>
      <c r="G865" t="s">
        <v>737</v>
      </c>
      <c r="H865" t="s">
        <v>738</v>
      </c>
      <c r="I865" t="s">
        <v>739</v>
      </c>
      <c r="J865" t="s">
        <v>739</v>
      </c>
      <c r="K865" s="2">
        <v>45199</v>
      </c>
      <c r="L865">
        <v>252977.596298641</v>
      </c>
      <c r="M865">
        <v>11292493.211235199</v>
      </c>
      <c r="N865">
        <v>3800223.8665794102</v>
      </c>
      <c r="O865">
        <v>1103612.6425002699</v>
      </c>
      <c r="P865">
        <v>-11292493.211235199</v>
      </c>
      <c r="Q865">
        <v>-2987684.9897080301</v>
      </c>
      <c r="R865">
        <v>243914.79452228401</v>
      </c>
      <c r="S865">
        <v>61070.284626259898</v>
      </c>
      <c r="T865">
        <v>185923.88588088599</v>
      </c>
      <c r="U865">
        <v>3980198.6526357299</v>
      </c>
      <c r="V865">
        <v>2010204.17195665</v>
      </c>
    </row>
    <row r="866" spans="1:22" x14ac:dyDescent="0.3">
      <c r="A866" t="str">
        <f t="shared" si="26"/>
        <v>INEPPrevisão</v>
      </c>
      <c r="B866" t="str">
        <f t="shared" si="27"/>
        <v>INEPPrevisãoDez-2022</v>
      </c>
      <c r="C866" t="s">
        <v>516</v>
      </c>
      <c r="D866" t="s">
        <v>517</v>
      </c>
      <c r="E866" t="s">
        <v>489</v>
      </c>
      <c r="F866" t="s">
        <v>736</v>
      </c>
      <c r="G866" t="s">
        <v>737</v>
      </c>
      <c r="H866" t="s">
        <v>738</v>
      </c>
      <c r="I866" t="s">
        <v>739</v>
      </c>
      <c r="J866" t="s">
        <v>739</v>
      </c>
      <c r="K866" s="2">
        <v>44925</v>
      </c>
      <c r="L866">
        <v>-54628.511077140698</v>
      </c>
      <c r="M866">
        <v>1391342.3138951601</v>
      </c>
      <c r="N866">
        <v>3545.1863169605399</v>
      </c>
      <c r="O866">
        <v>36101.103386943199</v>
      </c>
      <c r="P866">
        <v>-1391342.3138951601</v>
      </c>
      <c r="Q866">
        <v>-725149.78278577595</v>
      </c>
      <c r="R866">
        <v>-4605.2174688020496</v>
      </c>
      <c r="S866">
        <v>167570.377387588</v>
      </c>
      <c r="T866">
        <v>-11052.321195131201</v>
      </c>
      <c r="U866">
        <v>-1605394.5221967001</v>
      </c>
      <c r="V866">
        <v>13068.525337433101</v>
      </c>
    </row>
    <row r="867" spans="1:22" x14ac:dyDescent="0.3">
      <c r="A867" t="str">
        <f t="shared" si="26"/>
        <v>INEPPrevisão</v>
      </c>
      <c r="B867" t="str">
        <f t="shared" si="27"/>
        <v>INEPPrevisãoMar-2023</v>
      </c>
      <c r="C867" t="s">
        <v>516</v>
      </c>
      <c r="D867" t="s">
        <v>517</v>
      </c>
      <c r="E867" t="s">
        <v>489</v>
      </c>
      <c r="F867" t="s">
        <v>736</v>
      </c>
      <c r="G867" t="s">
        <v>737</v>
      </c>
      <c r="H867" t="s">
        <v>738</v>
      </c>
      <c r="I867" t="s">
        <v>739</v>
      </c>
      <c r="J867" t="s">
        <v>739</v>
      </c>
      <c r="K867" s="2">
        <v>45015</v>
      </c>
      <c r="L867">
        <v>-62138.2795270278</v>
      </c>
      <c r="M867">
        <v>1445511.84411902</v>
      </c>
      <c r="N867">
        <v>-1508.0909044938101</v>
      </c>
      <c r="O867">
        <v>31761.522261145201</v>
      </c>
      <c r="P867">
        <v>-1445511.84411902</v>
      </c>
      <c r="Q867">
        <v>-708286.11668345705</v>
      </c>
      <c r="R867">
        <v>-11689.1645985138</v>
      </c>
      <c r="S867">
        <v>85293.615462194794</v>
      </c>
      <c r="T867">
        <v>-15687.521134565901</v>
      </c>
      <c r="U867">
        <v>-1470667.3250652701</v>
      </c>
      <c r="V867">
        <v>22039.639770433801</v>
      </c>
    </row>
    <row r="868" spans="1:22" x14ac:dyDescent="0.3">
      <c r="A868" t="str">
        <f t="shared" si="26"/>
        <v>INEPPrevisão</v>
      </c>
      <c r="B868" t="str">
        <f t="shared" si="27"/>
        <v>INEPPrevisãoJun-2023</v>
      </c>
      <c r="C868" t="s">
        <v>516</v>
      </c>
      <c r="D868" t="s">
        <v>517</v>
      </c>
      <c r="E868" t="s">
        <v>489</v>
      </c>
      <c r="F868" t="s">
        <v>736</v>
      </c>
      <c r="G868" t="s">
        <v>737</v>
      </c>
      <c r="H868" t="s">
        <v>738</v>
      </c>
      <c r="I868" t="s">
        <v>739</v>
      </c>
      <c r="J868" t="s">
        <v>739</v>
      </c>
      <c r="K868" s="2">
        <v>45107</v>
      </c>
      <c r="L868">
        <v>-70900.121888388501</v>
      </c>
      <c r="M868">
        <v>1510092.19479152</v>
      </c>
      <c r="N868">
        <v>-6684.8415413846897</v>
      </c>
      <c r="O868">
        <v>26209.009467039199</v>
      </c>
      <c r="P868">
        <v>-1510092.19479152</v>
      </c>
      <c r="Q868">
        <v>-690561.97289103095</v>
      </c>
      <c r="R868">
        <v>-19582.166491887201</v>
      </c>
      <c r="S868">
        <v>-8712.1964338415401</v>
      </c>
      <c r="T868">
        <v>-21079.4879912939</v>
      </c>
      <c r="U868">
        <v>-1311585.2476876201</v>
      </c>
      <c r="V868">
        <v>32070.797086332099</v>
      </c>
    </row>
    <row r="869" spans="1:22" x14ac:dyDescent="0.3">
      <c r="A869" t="str">
        <f t="shared" si="26"/>
        <v>INEPPrevisão</v>
      </c>
      <c r="B869" t="str">
        <f t="shared" si="27"/>
        <v>INEPPrevisãoSet-2023</v>
      </c>
      <c r="C869" t="s">
        <v>516</v>
      </c>
      <c r="D869" t="s">
        <v>517</v>
      </c>
      <c r="E869" t="s">
        <v>489</v>
      </c>
      <c r="F869" t="s">
        <v>736</v>
      </c>
      <c r="G869" t="s">
        <v>737</v>
      </c>
      <c r="H869" t="s">
        <v>738</v>
      </c>
      <c r="I869" t="s">
        <v>739</v>
      </c>
      <c r="J869" t="s">
        <v>739</v>
      </c>
      <c r="K869" s="2">
        <v>45199</v>
      </c>
      <c r="L869">
        <v>-80988.056290222798</v>
      </c>
      <c r="M869">
        <v>1585582.63504589</v>
      </c>
      <c r="N869">
        <v>-11992.0762123759</v>
      </c>
      <c r="O869">
        <v>19326.295599972502</v>
      </c>
      <c r="P869">
        <v>-1585582.63504589</v>
      </c>
      <c r="Q869">
        <v>-672007.20304569101</v>
      </c>
      <c r="R869">
        <v>-28318.637320503502</v>
      </c>
      <c r="S869">
        <v>-115016.41182235</v>
      </c>
      <c r="T869">
        <v>-27275.0173072252</v>
      </c>
      <c r="U869">
        <v>-1127068.71880422</v>
      </c>
      <c r="V869">
        <v>43208.694206258602</v>
      </c>
    </row>
    <row r="870" spans="1:22" x14ac:dyDescent="0.3">
      <c r="A870" t="str">
        <f t="shared" si="26"/>
        <v>ROMIPrevisão</v>
      </c>
      <c r="B870" t="str">
        <f t="shared" si="27"/>
        <v>ROMIPrevisãoDez-2022</v>
      </c>
      <c r="C870" t="s">
        <v>492</v>
      </c>
      <c r="D870" t="s">
        <v>493</v>
      </c>
      <c r="E870" t="s">
        <v>489</v>
      </c>
      <c r="F870" t="s">
        <v>736</v>
      </c>
      <c r="G870" t="s">
        <v>737</v>
      </c>
      <c r="H870" t="s">
        <v>738</v>
      </c>
      <c r="I870" t="s">
        <v>739</v>
      </c>
      <c r="J870" t="s">
        <v>739</v>
      </c>
      <c r="K870" s="2">
        <v>44925</v>
      </c>
      <c r="L870">
        <v>51889.522536290096</v>
      </c>
      <c r="M870">
        <v>2150303.9003477599</v>
      </c>
      <c r="N870">
        <v>1161658.76402689</v>
      </c>
      <c r="O870">
        <v>707629.94321369799</v>
      </c>
      <c r="P870">
        <v>-2150303.9003477599</v>
      </c>
      <c r="Q870">
        <v>-633685.07427215495</v>
      </c>
      <c r="R870">
        <v>46139.802223920997</v>
      </c>
      <c r="S870">
        <v>21764.406671757501</v>
      </c>
      <c r="T870">
        <v>215169.18911805999</v>
      </c>
      <c r="U870">
        <v>1058332.6007129799</v>
      </c>
      <c r="V870">
        <v>399018.51141669502</v>
      </c>
    </row>
    <row r="871" spans="1:22" x14ac:dyDescent="0.3">
      <c r="A871" t="str">
        <f t="shared" si="26"/>
        <v>ROMIPrevisão</v>
      </c>
      <c r="B871" t="str">
        <f t="shared" si="27"/>
        <v>ROMIPrevisãoMar-2023</v>
      </c>
      <c r="C871" t="s">
        <v>492</v>
      </c>
      <c r="D871" t="s">
        <v>493</v>
      </c>
      <c r="E871" t="s">
        <v>489</v>
      </c>
      <c r="F871" t="s">
        <v>736</v>
      </c>
      <c r="G871" t="s">
        <v>737</v>
      </c>
      <c r="H871" t="s">
        <v>738</v>
      </c>
      <c r="I871" t="s">
        <v>739</v>
      </c>
      <c r="J871" t="s">
        <v>739</v>
      </c>
      <c r="K871" s="2">
        <v>45015</v>
      </c>
      <c r="L871">
        <v>52801.0832559091</v>
      </c>
      <c r="M871">
        <v>2294676.3376322002</v>
      </c>
      <c r="N871">
        <v>1245920.1195489401</v>
      </c>
      <c r="O871">
        <v>757383.84893910994</v>
      </c>
      <c r="P871">
        <v>-2294676.3376322002</v>
      </c>
      <c r="Q871">
        <v>-689761.51004940504</v>
      </c>
      <c r="R871">
        <v>50350.599387012502</v>
      </c>
      <c r="S871">
        <v>24657.835029832499</v>
      </c>
      <c r="T871">
        <v>216007.035221606</v>
      </c>
      <c r="U871">
        <v>1102257.3805944601</v>
      </c>
      <c r="V871">
        <v>442113.080264383</v>
      </c>
    </row>
    <row r="872" spans="1:22" x14ac:dyDescent="0.3">
      <c r="A872" t="str">
        <f t="shared" si="26"/>
        <v>ROMIPrevisão</v>
      </c>
      <c r="B872" t="str">
        <f t="shared" si="27"/>
        <v>ROMIPrevisãoJun-2023</v>
      </c>
      <c r="C872" t="s">
        <v>492</v>
      </c>
      <c r="D872" t="s">
        <v>493</v>
      </c>
      <c r="E872" t="s">
        <v>489</v>
      </c>
      <c r="F872" t="s">
        <v>736</v>
      </c>
      <c r="G872" t="s">
        <v>737</v>
      </c>
      <c r="H872" t="s">
        <v>738</v>
      </c>
      <c r="I872" t="s">
        <v>739</v>
      </c>
      <c r="J872" t="s">
        <v>739</v>
      </c>
      <c r="K872" s="2">
        <v>45107</v>
      </c>
      <c r="L872">
        <v>53380.022231834897</v>
      </c>
      <c r="M872">
        <v>2448926.6478251601</v>
      </c>
      <c r="N872">
        <v>1336186.0597868699</v>
      </c>
      <c r="O872">
        <v>809197.25445859099</v>
      </c>
      <c r="P872">
        <v>-2448926.6478251601</v>
      </c>
      <c r="Q872">
        <v>-750329.90540945297</v>
      </c>
      <c r="R872">
        <v>54955.552977811603</v>
      </c>
      <c r="S872">
        <v>27803.306984397001</v>
      </c>
      <c r="T872">
        <v>215957.36091623799</v>
      </c>
      <c r="U872">
        <v>1148759.3813525999</v>
      </c>
      <c r="V872">
        <v>488953.39324694301</v>
      </c>
    </row>
    <row r="873" spans="1:22" x14ac:dyDescent="0.3">
      <c r="A873" t="str">
        <f t="shared" si="26"/>
        <v>ROMIPrevisão</v>
      </c>
      <c r="B873" t="str">
        <f t="shared" si="27"/>
        <v>ROMIPrevisãoSet-2023</v>
      </c>
      <c r="C873" t="s">
        <v>492</v>
      </c>
      <c r="D873" t="s">
        <v>493</v>
      </c>
      <c r="E873" t="s">
        <v>489</v>
      </c>
      <c r="F873" t="s">
        <v>736</v>
      </c>
      <c r="G873" t="s">
        <v>737</v>
      </c>
      <c r="H873" t="s">
        <v>738</v>
      </c>
      <c r="I873" t="s">
        <v>739</v>
      </c>
      <c r="J873" t="s">
        <v>739</v>
      </c>
      <c r="K873" s="2">
        <v>45199</v>
      </c>
      <c r="L873">
        <v>53601.486153375401</v>
      </c>
      <c r="M873">
        <v>2613241.8701363602</v>
      </c>
      <c r="N873">
        <v>1432597.0277309101</v>
      </c>
      <c r="O873">
        <v>862976.62589419598</v>
      </c>
      <c r="P873">
        <v>-2613241.8701363602</v>
      </c>
      <c r="Q873">
        <v>-815519.55802024901</v>
      </c>
      <c r="R873">
        <v>59970.247008592603</v>
      </c>
      <c r="S873">
        <v>31210.493714326301</v>
      </c>
      <c r="T873">
        <v>214945.13563860199</v>
      </c>
      <c r="U873">
        <v>1197897.28324102</v>
      </c>
      <c r="V873">
        <v>539683.68859953398</v>
      </c>
    </row>
    <row r="874" spans="1:22" x14ac:dyDescent="0.3">
      <c r="A874" t="str">
        <f t="shared" si="26"/>
        <v>IGBRPrevisão</v>
      </c>
      <c r="B874" t="str">
        <f t="shared" si="27"/>
        <v>IGBRPrevisãoDez-2022</v>
      </c>
      <c r="C874" t="s">
        <v>514</v>
      </c>
      <c r="D874" t="s">
        <v>515</v>
      </c>
      <c r="E874" t="s">
        <v>489</v>
      </c>
      <c r="F874" t="s">
        <v>736</v>
      </c>
      <c r="G874" t="s">
        <v>737</v>
      </c>
      <c r="H874" t="s">
        <v>738</v>
      </c>
      <c r="I874" t="s">
        <v>739</v>
      </c>
      <c r="J874" t="s">
        <v>739</v>
      </c>
      <c r="K874" s="2">
        <v>44925</v>
      </c>
      <c r="L874">
        <v>181699.136321211</v>
      </c>
      <c r="M874">
        <v>398685.58984791598</v>
      </c>
      <c r="N874">
        <v>58182.996095404698</v>
      </c>
      <c r="O874">
        <v>175843.41541459001</v>
      </c>
      <c r="P874">
        <v>-398685.58984791598</v>
      </c>
      <c r="Q874">
        <v>-559938.21229097701</v>
      </c>
      <c r="R874">
        <v>15263.6334776355</v>
      </c>
      <c r="S874">
        <v>536167.10788557003</v>
      </c>
      <c r="T874">
        <v>88.782276546946605</v>
      </c>
      <c r="U874">
        <v>-705369.94796706003</v>
      </c>
      <c r="V874">
        <v>2528.4349376046998</v>
      </c>
    </row>
    <row r="875" spans="1:22" x14ac:dyDescent="0.3">
      <c r="A875" t="str">
        <f t="shared" si="26"/>
        <v>IGBRPrevisão</v>
      </c>
      <c r="B875" t="str">
        <f t="shared" si="27"/>
        <v>IGBRPrevisãoMar-2023</v>
      </c>
      <c r="C875" t="s">
        <v>514</v>
      </c>
      <c r="D875" t="s">
        <v>515</v>
      </c>
      <c r="E875" t="s">
        <v>489</v>
      </c>
      <c r="F875" t="s">
        <v>736</v>
      </c>
      <c r="G875" t="s">
        <v>737</v>
      </c>
      <c r="H875" t="s">
        <v>738</v>
      </c>
      <c r="I875" t="s">
        <v>739</v>
      </c>
      <c r="J875" t="s">
        <v>739</v>
      </c>
      <c r="K875" s="2">
        <v>45015</v>
      </c>
      <c r="L875">
        <v>222470.97181217</v>
      </c>
      <c r="M875">
        <v>471847.00198424101</v>
      </c>
      <c r="N875">
        <v>67797.473744941701</v>
      </c>
      <c r="O875">
        <v>205296.024441485</v>
      </c>
      <c r="P875">
        <v>-471847.00198424101</v>
      </c>
      <c r="Q875">
        <v>-632970.45617428306</v>
      </c>
      <c r="R875">
        <v>18528.291878588501</v>
      </c>
      <c r="S875">
        <v>605340.97102296504</v>
      </c>
      <c r="T875">
        <v>88.926971279868496</v>
      </c>
      <c r="U875">
        <v>-605234.33990367898</v>
      </c>
      <c r="V875">
        <v>2740.0200895999901</v>
      </c>
    </row>
    <row r="876" spans="1:22" x14ac:dyDescent="0.3">
      <c r="A876" t="str">
        <f t="shared" si="26"/>
        <v>IGBRPrevisão</v>
      </c>
      <c r="B876" t="str">
        <f t="shared" si="27"/>
        <v>IGBRPrevisãoJun-2023</v>
      </c>
      <c r="C876" t="s">
        <v>514</v>
      </c>
      <c r="D876" t="s">
        <v>515</v>
      </c>
      <c r="E876" t="s">
        <v>489</v>
      </c>
      <c r="F876" t="s">
        <v>736</v>
      </c>
      <c r="G876" t="s">
        <v>737</v>
      </c>
      <c r="H876" t="s">
        <v>738</v>
      </c>
      <c r="I876" t="s">
        <v>739</v>
      </c>
      <c r="J876" t="s">
        <v>739</v>
      </c>
      <c r="K876" s="2">
        <v>45107</v>
      </c>
      <c r="L876">
        <v>267625.647455976</v>
      </c>
      <c r="M876">
        <v>555796.90534573398</v>
      </c>
      <c r="N876">
        <v>78322.248895711193</v>
      </c>
      <c r="O876">
        <v>240391.96245495899</v>
      </c>
      <c r="P876">
        <v>-555796.90534573398</v>
      </c>
      <c r="Q876">
        <v>-712156.98832849006</v>
      </c>
      <c r="R876">
        <v>22187.981835161299</v>
      </c>
      <c r="S876">
        <v>680231.21083517303</v>
      </c>
      <c r="T876">
        <v>88.223329678385198</v>
      </c>
      <c r="U876">
        <v>-489306.83830967901</v>
      </c>
      <c r="V876">
        <v>2951.65328372672</v>
      </c>
    </row>
    <row r="877" spans="1:22" x14ac:dyDescent="0.3">
      <c r="A877" t="str">
        <f t="shared" si="26"/>
        <v>IGBRPrevisão</v>
      </c>
      <c r="B877" t="str">
        <f t="shared" si="27"/>
        <v>IGBRPrevisãoSet-2023</v>
      </c>
      <c r="C877" t="s">
        <v>514</v>
      </c>
      <c r="D877" t="s">
        <v>515</v>
      </c>
      <c r="E877" t="s">
        <v>489</v>
      </c>
      <c r="F877" t="s">
        <v>736</v>
      </c>
      <c r="G877" t="s">
        <v>737</v>
      </c>
      <c r="H877" t="s">
        <v>738</v>
      </c>
      <c r="I877" t="s">
        <v>739</v>
      </c>
      <c r="J877" t="s">
        <v>739</v>
      </c>
      <c r="K877" s="2">
        <v>45199</v>
      </c>
      <c r="L877">
        <v>317358.37704942201</v>
      </c>
      <c r="M877">
        <v>651044.59535405901</v>
      </c>
      <c r="N877">
        <v>89794.635823105098</v>
      </c>
      <c r="O877">
        <v>281451.50351458398</v>
      </c>
      <c r="P877">
        <v>-651044.59535405901</v>
      </c>
      <c r="Q877">
        <v>-797734.54413759999</v>
      </c>
      <c r="R877">
        <v>26260.172016590401</v>
      </c>
      <c r="S877">
        <v>761056.67866336997</v>
      </c>
      <c r="T877">
        <v>86.611379583452901</v>
      </c>
      <c r="U877">
        <v>-356807.17103362898</v>
      </c>
      <c r="V877">
        <v>3161.9258590560898</v>
      </c>
    </row>
    <row r="878" spans="1:22" x14ac:dyDescent="0.3">
      <c r="A878" t="str">
        <f t="shared" si="26"/>
        <v>FRASPrevisão</v>
      </c>
      <c r="B878" t="str">
        <f t="shared" si="27"/>
        <v>FRASPrevisãoDez-2022</v>
      </c>
      <c r="C878" t="s">
        <v>490</v>
      </c>
      <c r="D878" t="s">
        <v>491</v>
      </c>
      <c r="E878" t="s">
        <v>489</v>
      </c>
      <c r="F878" t="s">
        <v>736</v>
      </c>
      <c r="G878" t="s">
        <v>737</v>
      </c>
      <c r="H878" t="s">
        <v>738</v>
      </c>
      <c r="I878" t="s">
        <v>739</v>
      </c>
      <c r="J878" t="s">
        <v>739</v>
      </c>
      <c r="K878" s="2">
        <v>44925</v>
      </c>
      <c r="L878">
        <v>80362.448009498301</v>
      </c>
      <c r="M878">
        <v>3431887.35760974</v>
      </c>
      <c r="N878">
        <v>1316386.78974606</v>
      </c>
      <c r="O878">
        <v>306438.38680927199</v>
      </c>
      <c r="P878">
        <v>-3431887.35760974</v>
      </c>
      <c r="Q878">
        <v>-453036.27340633998</v>
      </c>
      <c r="R878">
        <v>50450.332654264399</v>
      </c>
      <c r="S878">
        <v>35032.617010442802</v>
      </c>
      <c r="T878">
        <v>647097.57643666596</v>
      </c>
      <c r="U878">
        <v>1633204.2551569699</v>
      </c>
      <c r="V878">
        <v>412480.10669723101</v>
      </c>
    </row>
    <row r="879" spans="1:22" x14ac:dyDescent="0.3">
      <c r="A879" t="str">
        <f t="shared" si="26"/>
        <v>FRASPrevisão</v>
      </c>
      <c r="B879" t="str">
        <f t="shared" si="27"/>
        <v>FRASPrevisãoMar-2023</v>
      </c>
      <c r="C879" t="s">
        <v>490</v>
      </c>
      <c r="D879" t="s">
        <v>491</v>
      </c>
      <c r="E879" t="s">
        <v>489</v>
      </c>
      <c r="F879" t="s">
        <v>736</v>
      </c>
      <c r="G879" t="s">
        <v>737</v>
      </c>
      <c r="H879" t="s">
        <v>738</v>
      </c>
      <c r="I879" t="s">
        <v>739</v>
      </c>
      <c r="J879" t="s">
        <v>739</v>
      </c>
      <c r="K879" s="2">
        <v>45015</v>
      </c>
      <c r="L879">
        <v>89531.990236216894</v>
      </c>
      <c r="M879">
        <v>3725072.81146697</v>
      </c>
      <c r="N879">
        <v>1423084.0630652099</v>
      </c>
      <c r="O879">
        <v>308056.59621883498</v>
      </c>
      <c r="P879">
        <v>-3725072.81146697</v>
      </c>
      <c r="Q879">
        <v>-482044.19484420301</v>
      </c>
      <c r="R879">
        <v>53886.358098348297</v>
      </c>
      <c r="S879">
        <v>38879.060592298403</v>
      </c>
      <c r="T879">
        <v>717888.62817825295</v>
      </c>
      <c r="U879">
        <v>1747971.2551639001</v>
      </c>
      <c r="V879">
        <v>449137.91804486897</v>
      </c>
    </row>
    <row r="880" spans="1:22" x14ac:dyDescent="0.3">
      <c r="A880" t="str">
        <f t="shared" si="26"/>
        <v>FRASPrevisão</v>
      </c>
      <c r="B880" t="str">
        <f t="shared" si="27"/>
        <v>FRASPrevisãoJun-2023</v>
      </c>
      <c r="C880" t="s">
        <v>490</v>
      </c>
      <c r="D880" t="s">
        <v>491</v>
      </c>
      <c r="E880" t="s">
        <v>489</v>
      </c>
      <c r="F880" t="s">
        <v>736</v>
      </c>
      <c r="G880" t="s">
        <v>737</v>
      </c>
      <c r="H880" t="s">
        <v>738</v>
      </c>
      <c r="I880" t="s">
        <v>739</v>
      </c>
      <c r="J880" t="s">
        <v>739</v>
      </c>
      <c r="K880" s="2">
        <v>45107</v>
      </c>
      <c r="L880">
        <v>99493.8423520535</v>
      </c>
      <c r="M880">
        <v>4040705.9263966102</v>
      </c>
      <c r="N880">
        <v>1539424.46332008</v>
      </c>
      <c r="O880">
        <v>308769.24243873602</v>
      </c>
      <c r="P880">
        <v>-4040705.9263966102</v>
      </c>
      <c r="Q880">
        <v>-513074.02541173197</v>
      </c>
      <c r="R880">
        <v>57704.450218372003</v>
      </c>
      <c r="S880">
        <v>43010.880819988997</v>
      </c>
      <c r="T880">
        <v>794610.71547628497</v>
      </c>
      <c r="U880">
        <v>1871019.28650405</v>
      </c>
      <c r="V880">
        <v>488852.18718136399</v>
      </c>
    </row>
    <row r="881" spans="1:22" x14ac:dyDescent="0.3">
      <c r="A881" t="str">
        <f t="shared" si="26"/>
        <v>FRASPrevisão</v>
      </c>
      <c r="B881" t="str">
        <f t="shared" si="27"/>
        <v>FRASPrevisãoSet-2023</v>
      </c>
      <c r="C881" t="s">
        <v>490</v>
      </c>
      <c r="D881" t="s">
        <v>491</v>
      </c>
      <c r="E881" t="s">
        <v>489</v>
      </c>
      <c r="F881" t="s">
        <v>736</v>
      </c>
      <c r="G881" t="s">
        <v>737</v>
      </c>
      <c r="H881" t="s">
        <v>738</v>
      </c>
      <c r="I881" t="s">
        <v>739</v>
      </c>
      <c r="J881" t="s">
        <v>739</v>
      </c>
      <c r="K881" s="2">
        <v>45199</v>
      </c>
      <c r="L881">
        <v>110280.37567443799</v>
      </c>
      <c r="M881">
        <v>4379643.7702812403</v>
      </c>
      <c r="N881">
        <v>1665840.6367305301</v>
      </c>
      <c r="O881">
        <v>308524.64847283298</v>
      </c>
      <c r="P881">
        <v>-4379643.7702812403</v>
      </c>
      <c r="Q881">
        <v>-546194.57683866995</v>
      </c>
      <c r="R881">
        <v>61923.082887090997</v>
      </c>
      <c r="S881">
        <v>47438.332768481501</v>
      </c>
      <c r="T881">
        <v>877493.64538777003</v>
      </c>
      <c r="U881">
        <v>2002676.1950213399</v>
      </c>
      <c r="V881">
        <v>531743.72979759495</v>
      </c>
    </row>
    <row r="882" spans="1:22" x14ac:dyDescent="0.3">
      <c r="A882" t="str">
        <f t="shared" si="26"/>
        <v>EMBRPrevisão</v>
      </c>
      <c r="B882" t="str">
        <f t="shared" si="27"/>
        <v>EMBRPrevisãoDez-2022</v>
      </c>
      <c r="C882" t="s">
        <v>508</v>
      </c>
      <c r="D882" t="s">
        <v>509</v>
      </c>
      <c r="E882" t="s">
        <v>489</v>
      </c>
      <c r="F882" t="s">
        <v>736</v>
      </c>
      <c r="G882" t="s">
        <v>737</v>
      </c>
      <c r="H882" t="s">
        <v>738</v>
      </c>
      <c r="I882" t="s">
        <v>739</v>
      </c>
      <c r="J882" t="s">
        <v>739</v>
      </c>
      <c r="K882" s="2">
        <v>44925</v>
      </c>
      <c r="L882">
        <v>-288450.05865382002</v>
      </c>
      <c r="M882">
        <v>39535731.556079797</v>
      </c>
      <c r="N882">
        <v>8064353.5355246803</v>
      </c>
      <c r="O882">
        <v>2556186.6183696901</v>
      </c>
      <c r="P882">
        <v>-39535731.556079797</v>
      </c>
      <c r="Q882">
        <v>-7981780.0273317499</v>
      </c>
      <c r="R882">
        <v>0</v>
      </c>
      <c r="S882">
        <v>139003.27603768901</v>
      </c>
      <c r="T882">
        <v>-2198151.5708351298</v>
      </c>
      <c r="U882">
        <v>11886582.424753999</v>
      </c>
      <c r="V882">
        <v>2448795.0488908798</v>
      </c>
    </row>
    <row r="883" spans="1:22" x14ac:dyDescent="0.3">
      <c r="A883" t="str">
        <f t="shared" si="26"/>
        <v>EMBRPrevisão</v>
      </c>
      <c r="B883" t="str">
        <f t="shared" si="27"/>
        <v>EMBRPrevisãoMar-2023</v>
      </c>
      <c r="C883" t="s">
        <v>508</v>
      </c>
      <c r="D883" t="s">
        <v>509</v>
      </c>
      <c r="E883" t="s">
        <v>489</v>
      </c>
      <c r="F883" t="s">
        <v>736</v>
      </c>
      <c r="G883" t="s">
        <v>737</v>
      </c>
      <c r="H883" t="s">
        <v>738</v>
      </c>
      <c r="I883" t="s">
        <v>739</v>
      </c>
      <c r="J883" t="s">
        <v>739</v>
      </c>
      <c r="K883" s="2">
        <v>45015</v>
      </c>
      <c r="L883">
        <v>-230268.88833603999</v>
      </c>
      <c r="M883">
        <v>40394638.0336494</v>
      </c>
      <c r="N883">
        <v>6101656.5054834802</v>
      </c>
      <c r="O883">
        <v>2747224.5305579598</v>
      </c>
      <c r="P883">
        <v>-40394638.0336494</v>
      </c>
      <c r="Q883">
        <v>-7290837.3959509199</v>
      </c>
      <c r="R883">
        <v>0</v>
      </c>
      <c r="S883">
        <v>139736.22543170699</v>
      </c>
      <c r="T883">
        <v>-3105095.6612624801</v>
      </c>
      <c r="U883">
        <v>11021457.860793101</v>
      </c>
      <c r="V883">
        <v>2685457.80575774</v>
      </c>
    </row>
    <row r="884" spans="1:22" x14ac:dyDescent="0.3">
      <c r="A884" t="str">
        <f t="shared" si="26"/>
        <v>EMBRPrevisão</v>
      </c>
      <c r="B884" t="str">
        <f t="shared" si="27"/>
        <v>EMBRPrevisãoJun-2023</v>
      </c>
      <c r="C884" t="s">
        <v>508</v>
      </c>
      <c r="D884" t="s">
        <v>509</v>
      </c>
      <c r="E884" t="s">
        <v>489</v>
      </c>
      <c r="F884" t="s">
        <v>736</v>
      </c>
      <c r="G884" t="s">
        <v>737</v>
      </c>
      <c r="H884" t="s">
        <v>738</v>
      </c>
      <c r="I884" t="s">
        <v>739</v>
      </c>
      <c r="J884" t="s">
        <v>739</v>
      </c>
      <c r="K884" s="2">
        <v>45107</v>
      </c>
      <c r="L884">
        <v>-160826.93047380599</v>
      </c>
      <c r="M884">
        <v>41359404.163395897</v>
      </c>
      <c r="N884">
        <v>3942474.8648755602</v>
      </c>
      <c r="O884">
        <v>2979984.0545011102</v>
      </c>
      <c r="P884">
        <v>-41359404.163395897</v>
      </c>
      <c r="Q884">
        <v>-6513332.6168587096</v>
      </c>
      <c r="R884">
        <v>0</v>
      </c>
      <c r="S884">
        <v>141906.53941113001</v>
      </c>
      <c r="T884">
        <v>-4086115.4055726798</v>
      </c>
      <c r="U884">
        <v>10045792.1091098</v>
      </c>
      <c r="V884">
        <v>2965080.9512218302</v>
      </c>
    </row>
    <row r="885" spans="1:22" x14ac:dyDescent="0.3">
      <c r="A885" t="str">
        <f t="shared" si="26"/>
        <v>EMBRPrevisão</v>
      </c>
      <c r="B885" t="str">
        <f t="shared" si="27"/>
        <v>EMBRPrevisãoSet-2023</v>
      </c>
      <c r="C885" t="s">
        <v>508</v>
      </c>
      <c r="D885" t="s">
        <v>509</v>
      </c>
      <c r="E885" t="s">
        <v>489</v>
      </c>
      <c r="F885" t="s">
        <v>736</v>
      </c>
      <c r="G885" t="s">
        <v>737</v>
      </c>
      <c r="H885" t="s">
        <v>738</v>
      </c>
      <c r="I885" t="s">
        <v>739</v>
      </c>
      <c r="J885" t="s">
        <v>739</v>
      </c>
      <c r="K885" s="2">
        <v>45199</v>
      </c>
      <c r="L885">
        <v>-79515.952070778803</v>
      </c>
      <c r="M885">
        <v>42438492.364241198</v>
      </c>
      <c r="N885">
        <v>1579933.3860021399</v>
      </c>
      <c r="O885">
        <v>3257161.3002100699</v>
      </c>
      <c r="P885">
        <v>-42438492.364241198</v>
      </c>
      <c r="Q885">
        <v>-5645889.1493855799</v>
      </c>
      <c r="R885">
        <v>0</v>
      </c>
      <c r="S885">
        <v>145635.84953403799</v>
      </c>
      <c r="T885">
        <v>-5143644.30467737</v>
      </c>
      <c r="U885">
        <v>8955409.1599565297</v>
      </c>
      <c r="V885">
        <v>3290222.0656030802</v>
      </c>
    </row>
    <row r="886" spans="1:22" x14ac:dyDescent="0.3">
      <c r="A886" t="str">
        <f t="shared" si="26"/>
        <v>BDLLPrevisão</v>
      </c>
      <c r="B886" t="str">
        <f t="shared" si="27"/>
        <v>BDLLPrevisãoDez-2022</v>
      </c>
      <c r="C886" t="s">
        <v>512</v>
      </c>
      <c r="D886" t="s">
        <v>513</v>
      </c>
      <c r="E886" t="s">
        <v>489</v>
      </c>
      <c r="F886" t="s">
        <v>736</v>
      </c>
      <c r="G886" t="s">
        <v>737</v>
      </c>
      <c r="H886" t="s">
        <v>738</v>
      </c>
      <c r="I886" t="s">
        <v>739</v>
      </c>
      <c r="J886" t="s">
        <v>739</v>
      </c>
      <c r="K886" s="2">
        <v>44925</v>
      </c>
      <c r="L886">
        <v>15344.7154740734</v>
      </c>
      <c r="M886">
        <v>568608.81894577702</v>
      </c>
      <c r="N886">
        <v>233724.10703671601</v>
      </c>
      <c r="O886">
        <v>204245.24030217499</v>
      </c>
      <c r="P886">
        <v>-568608.81894577702</v>
      </c>
      <c r="Q886">
        <v>-373921.79373571399</v>
      </c>
      <c r="R886">
        <v>121027.037263381</v>
      </c>
      <c r="S886">
        <v>32370.8855784689</v>
      </c>
      <c r="T886">
        <v>-507115.29428740998</v>
      </c>
      <c r="U886">
        <v>-294168.22807909898</v>
      </c>
      <c r="V886">
        <v>2036.1973517116801</v>
      </c>
    </row>
    <row r="887" spans="1:22" x14ac:dyDescent="0.3">
      <c r="A887" t="str">
        <f t="shared" si="26"/>
        <v>BDLLPrevisão</v>
      </c>
      <c r="B887" t="str">
        <f t="shared" si="27"/>
        <v>BDLLPrevisãoMar-2023</v>
      </c>
      <c r="C887" t="s">
        <v>512</v>
      </c>
      <c r="D887" t="s">
        <v>513</v>
      </c>
      <c r="E887" t="s">
        <v>489</v>
      </c>
      <c r="F887" t="s">
        <v>736</v>
      </c>
      <c r="G887" t="s">
        <v>737</v>
      </c>
      <c r="H887" t="s">
        <v>738</v>
      </c>
      <c r="I887" t="s">
        <v>739</v>
      </c>
      <c r="J887" t="s">
        <v>739</v>
      </c>
      <c r="K887" s="2">
        <v>45015</v>
      </c>
      <c r="L887">
        <v>24076.608584144498</v>
      </c>
      <c r="M887">
        <v>523628.17358001898</v>
      </c>
      <c r="N887">
        <v>233064.20663134899</v>
      </c>
      <c r="O887">
        <v>221329.48108153901</v>
      </c>
      <c r="P887">
        <v>-523628.17358001898</v>
      </c>
      <c r="Q887">
        <v>-370132.97825867299</v>
      </c>
      <c r="R887">
        <v>118061.580956038</v>
      </c>
      <c r="S887">
        <v>32547.735364082499</v>
      </c>
      <c r="T887">
        <v>-513386.89355512097</v>
      </c>
      <c r="U887">
        <v>-323171.12906258198</v>
      </c>
      <c r="V887">
        <v>6130.8349817111402</v>
      </c>
    </row>
    <row r="888" spans="1:22" x14ac:dyDescent="0.3">
      <c r="A888" t="str">
        <f t="shared" si="26"/>
        <v>BDLLPrevisão</v>
      </c>
      <c r="B888" t="str">
        <f t="shared" si="27"/>
        <v>BDLLPrevisãoJun-2023</v>
      </c>
      <c r="C888" t="s">
        <v>512</v>
      </c>
      <c r="D888" t="s">
        <v>513</v>
      </c>
      <c r="E888" t="s">
        <v>489</v>
      </c>
      <c r="F888" t="s">
        <v>736</v>
      </c>
      <c r="G888" t="s">
        <v>737</v>
      </c>
      <c r="H888" t="s">
        <v>738</v>
      </c>
      <c r="I888" t="s">
        <v>739</v>
      </c>
      <c r="J888" t="s">
        <v>739</v>
      </c>
      <c r="K888" s="2">
        <v>45107</v>
      </c>
      <c r="L888">
        <v>33795.568505629497</v>
      </c>
      <c r="M888">
        <v>474220.31197377603</v>
      </c>
      <c r="N888">
        <v>233342.74123785199</v>
      </c>
      <c r="O888">
        <v>240602.588589077</v>
      </c>
      <c r="P888">
        <v>-474220.31197377603</v>
      </c>
      <c r="Q888">
        <v>-365574.75754321599</v>
      </c>
      <c r="R888">
        <v>113955.33441034501</v>
      </c>
      <c r="S888">
        <v>32544.440489737</v>
      </c>
      <c r="T888">
        <v>-516949.59546344698</v>
      </c>
      <c r="U888">
        <v>-351604.60032600601</v>
      </c>
      <c r="V888">
        <v>11347.1518202114</v>
      </c>
    </row>
    <row r="889" spans="1:22" x14ac:dyDescent="0.3">
      <c r="A889" t="str">
        <f t="shared" si="26"/>
        <v>BDLLPrevisão</v>
      </c>
      <c r="B889" t="str">
        <f t="shared" si="27"/>
        <v>BDLLPrevisãoSet-2023</v>
      </c>
      <c r="C889" t="s">
        <v>512</v>
      </c>
      <c r="D889" t="s">
        <v>513</v>
      </c>
      <c r="E889" t="s">
        <v>489</v>
      </c>
      <c r="F889" t="s">
        <v>736</v>
      </c>
      <c r="G889" t="s">
        <v>737</v>
      </c>
      <c r="H889" t="s">
        <v>738</v>
      </c>
      <c r="I889" t="s">
        <v>739</v>
      </c>
      <c r="J889" t="s">
        <v>739</v>
      </c>
      <c r="K889" s="2">
        <v>45199</v>
      </c>
      <c r="L889">
        <v>44544.241559750502</v>
      </c>
      <c r="M889">
        <v>420208.17953915201</v>
      </c>
      <c r="N889">
        <v>234627.73628185299</v>
      </c>
      <c r="O889">
        <v>262168.81590391003</v>
      </c>
      <c r="P889">
        <v>-420208.17953915201</v>
      </c>
      <c r="Q889">
        <v>-360224.82117476902</v>
      </c>
      <c r="R889">
        <v>108641.57966288899</v>
      </c>
      <c r="S889">
        <v>32349.274576083899</v>
      </c>
      <c r="T889">
        <v>-517634.72780607198</v>
      </c>
      <c r="U889">
        <v>-379384.60138399497</v>
      </c>
      <c r="V889">
        <v>17745.814087027102</v>
      </c>
    </row>
    <row r="890" spans="1:22" x14ac:dyDescent="0.3">
      <c r="A890" t="str">
        <f t="shared" si="26"/>
        <v>AERIPrevisão</v>
      </c>
      <c r="B890" t="str">
        <f t="shared" si="27"/>
        <v>AERIPrevisãoDez-2022</v>
      </c>
      <c r="C890" t="s">
        <v>487</v>
      </c>
      <c r="D890" t="s">
        <v>488</v>
      </c>
      <c r="E890" t="s">
        <v>489</v>
      </c>
      <c r="F890" t="s">
        <v>736</v>
      </c>
      <c r="G890" t="s">
        <v>737</v>
      </c>
      <c r="H890" t="s">
        <v>738</v>
      </c>
      <c r="I890" t="s">
        <v>739</v>
      </c>
      <c r="J890" t="s">
        <v>739</v>
      </c>
      <c r="K890" s="2">
        <v>44925</v>
      </c>
      <c r="L890">
        <v>-26112.333333332201</v>
      </c>
      <c r="M890">
        <v>3458134.0714285602</v>
      </c>
      <c r="N890">
        <v>2405551.17460318</v>
      </c>
      <c r="O890">
        <v>-100632.587301587</v>
      </c>
      <c r="P890">
        <v>-3458134.0714285602</v>
      </c>
      <c r="Q890">
        <v>-1600707.9444444601</v>
      </c>
      <c r="R890">
        <v>20700.928571428401</v>
      </c>
      <c r="S890">
        <v>2771.3253968252702</v>
      </c>
      <c r="T890">
        <v>-15914.317460317299</v>
      </c>
      <c r="U890">
        <v>475985.26190476498</v>
      </c>
      <c r="V890">
        <v>797445.52380952903</v>
      </c>
    </row>
    <row r="891" spans="1:22" x14ac:dyDescent="0.3">
      <c r="A891" t="str">
        <f t="shared" si="26"/>
        <v>AERIPrevisão</v>
      </c>
      <c r="B891" t="str">
        <f t="shared" si="27"/>
        <v>AERIPrevisãoMar-2023</v>
      </c>
      <c r="C891" t="s">
        <v>487</v>
      </c>
      <c r="D891" t="s">
        <v>488</v>
      </c>
      <c r="E891" t="s">
        <v>489</v>
      </c>
      <c r="F891" t="s">
        <v>736</v>
      </c>
      <c r="G891" t="s">
        <v>737</v>
      </c>
      <c r="H891" t="s">
        <v>738</v>
      </c>
      <c r="I891" t="s">
        <v>739</v>
      </c>
      <c r="J891" t="s">
        <v>739</v>
      </c>
      <c r="K891" s="2">
        <v>45015</v>
      </c>
      <c r="L891">
        <v>-12418.499999998499</v>
      </c>
      <c r="M891">
        <v>3390505.2142857001</v>
      </c>
      <c r="N891">
        <v>2544396.5793650802</v>
      </c>
      <c r="O891">
        <v>-229425.87301587299</v>
      </c>
      <c r="P891">
        <v>-3390505.2142857001</v>
      </c>
      <c r="Q891">
        <v>-2336745.2777777901</v>
      </c>
      <c r="R891">
        <v>48216.4523809522</v>
      </c>
      <c r="S891">
        <v>6226.2539682537899</v>
      </c>
      <c r="T891">
        <v>-207738.34126983999</v>
      </c>
      <c r="U891">
        <v>-119511.880952377</v>
      </c>
      <c r="V891">
        <v>1084035.9047619</v>
      </c>
    </row>
    <row r="892" spans="1:22" x14ac:dyDescent="0.3">
      <c r="A892" t="str">
        <f t="shared" si="26"/>
        <v>AERIPrevisão</v>
      </c>
      <c r="B892" t="str">
        <f t="shared" si="27"/>
        <v>AERIPrevisãoJun-2023</v>
      </c>
      <c r="C892" t="s">
        <v>487</v>
      </c>
      <c r="D892" t="s">
        <v>488</v>
      </c>
      <c r="E892" t="s">
        <v>489</v>
      </c>
      <c r="F892" t="s">
        <v>736</v>
      </c>
      <c r="G892" t="s">
        <v>737</v>
      </c>
      <c r="H892" t="s">
        <v>738</v>
      </c>
      <c r="I892" t="s">
        <v>739</v>
      </c>
      <c r="J892" t="s">
        <v>739</v>
      </c>
      <c r="K892" s="2">
        <v>45107</v>
      </c>
      <c r="L892">
        <v>16375.454545455999</v>
      </c>
      <c r="M892">
        <v>3232218.59523807</v>
      </c>
      <c r="N892">
        <v>2707088.1334776301</v>
      </c>
      <c r="O892">
        <v>-390743.074314575</v>
      </c>
      <c r="P892">
        <v>-3232218.59523807</v>
      </c>
      <c r="Q892">
        <v>-3357321.9292929498</v>
      </c>
      <c r="R892">
        <v>88342.268398268105</v>
      </c>
      <c r="S892">
        <v>11053.3968253966</v>
      </c>
      <c r="T892">
        <v>-480645.23304473102</v>
      </c>
      <c r="U892">
        <v>-961656.504329002</v>
      </c>
      <c r="V892">
        <v>1524942.0670995601</v>
      </c>
    </row>
    <row r="893" spans="1:22" x14ac:dyDescent="0.3">
      <c r="A893" t="str">
        <f t="shared" si="26"/>
        <v>AERIPrevisão</v>
      </c>
      <c r="B893" t="str">
        <f t="shared" si="27"/>
        <v>AERIPrevisãoSet-2023</v>
      </c>
      <c r="C893" t="s">
        <v>487</v>
      </c>
      <c r="D893" t="s">
        <v>488</v>
      </c>
      <c r="E893" t="s">
        <v>489</v>
      </c>
      <c r="F893" t="s">
        <v>736</v>
      </c>
      <c r="G893" t="s">
        <v>737</v>
      </c>
      <c r="H893" t="s">
        <v>738</v>
      </c>
      <c r="I893" t="s">
        <v>739</v>
      </c>
      <c r="J893" t="s">
        <v>739</v>
      </c>
      <c r="K893" s="2">
        <v>45199</v>
      </c>
      <c r="L893">
        <v>63390.575757577302</v>
      </c>
      <c r="M893">
        <v>2977400.5930735501</v>
      </c>
      <c r="N893">
        <v>2904091.4329004199</v>
      </c>
      <c r="O893">
        <v>-588009.79220779403</v>
      </c>
      <c r="P893">
        <v>-2977400.5930735501</v>
      </c>
      <c r="Q893">
        <v>-4706104.0909091197</v>
      </c>
      <c r="R893">
        <v>142972.77056276999</v>
      </c>
      <c r="S893">
        <v>17394.809523809199</v>
      </c>
      <c r="T893">
        <v>-847115.80086579896</v>
      </c>
      <c r="U893">
        <v>-2082797.1688311601</v>
      </c>
      <c r="V893">
        <v>2149782.29870129</v>
      </c>
    </row>
    <row r="894" spans="1:22" x14ac:dyDescent="0.3">
      <c r="A894" t="str">
        <f t="shared" si="26"/>
        <v>WESTPrevisão</v>
      </c>
      <c r="B894" t="str">
        <f t="shared" si="27"/>
        <v>WESTPrevisãoDez-2022</v>
      </c>
      <c r="C894" t="s">
        <v>141</v>
      </c>
      <c r="D894" t="s">
        <v>142</v>
      </c>
      <c r="E894" t="s">
        <v>102</v>
      </c>
      <c r="F894" t="s">
        <v>736</v>
      </c>
      <c r="G894" t="s">
        <v>737</v>
      </c>
      <c r="H894" t="s">
        <v>738</v>
      </c>
      <c r="I894" t="s">
        <v>739</v>
      </c>
      <c r="J894" t="s">
        <v>739</v>
      </c>
      <c r="K894" s="2">
        <v>44925</v>
      </c>
      <c r="L894">
        <v>-2826.9444444442001</v>
      </c>
      <c r="M894">
        <v>209322.293650807</v>
      </c>
      <c r="N894">
        <v>90788.746031738498</v>
      </c>
      <c r="O894">
        <v>73191.579365079306</v>
      </c>
      <c r="P894">
        <v>-209322.293650807</v>
      </c>
      <c r="Q894">
        <v>-37343.920634921102</v>
      </c>
      <c r="R894">
        <v>11588.174603174601</v>
      </c>
      <c r="S894">
        <v>4428.6428571428196</v>
      </c>
      <c r="T894">
        <v>0</v>
      </c>
      <c r="U894">
        <v>158964.39682540001</v>
      </c>
      <c r="V894">
        <v>58899.365079364601</v>
      </c>
    </row>
    <row r="895" spans="1:22" x14ac:dyDescent="0.3">
      <c r="A895" t="str">
        <f t="shared" si="26"/>
        <v>WESTPrevisão</v>
      </c>
      <c r="B895" t="str">
        <f t="shared" si="27"/>
        <v>WESTPrevisãoMar-2023</v>
      </c>
      <c r="C895" t="s">
        <v>141</v>
      </c>
      <c r="D895" t="s">
        <v>142</v>
      </c>
      <c r="E895" t="s">
        <v>102</v>
      </c>
      <c r="F895" t="s">
        <v>736</v>
      </c>
      <c r="G895" t="s">
        <v>737</v>
      </c>
      <c r="H895" t="s">
        <v>738</v>
      </c>
      <c r="I895" t="s">
        <v>739</v>
      </c>
      <c r="J895" t="s">
        <v>739</v>
      </c>
      <c r="K895" s="2">
        <v>45015</v>
      </c>
      <c r="L895">
        <v>7717.3888888892898</v>
      </c>
      <c r="M895">
        <v>-42653.563492044799</v>
      </c>
      <c r="N895">
        <v>-110917.039682552</v>
      </c>
      <c r="O895">
        <v>79006.460317460107</v>
      </c>
      <c r="P895">
        <v>42653.563492044799</v>
      </c>
      <c r="Q895">
        <v>-46311.706349206797</v>
      </c>
      <c r="R895">
        <v>11081.5793650793</v>
      </c>
      <c r="S895">
        <v>6794.4285714284997</v>
      </c>
      <c r="T895">
        <v>0</v>
      </c>
      <c r="U895">
        <v>-75406.031746027104</v>
      </c>
      <c r="V895">
        <v>62616.984126983203</v>
      </c>
    </row>
    <row r="896" spans="1:22" x14ac:dyDescent="0.3">
      <c r="A896" t="str">
        <f t="shared" si="26"/>
        <v>WESTPrevisão</v>
      </c>
      <c r="B896" t="str">
        <f t="shared" si="27"/>
        <v>WESTPrevisãoJun-2023</v>
      </c>
      <c r="C896" t="s">
        <v>141</v>
      </c>
      <c r="D896" t="s">
        <v>142</v>
      </c>
      <c r="E896" t="s">
        <v>102</v>
      </c>
      <c r="F896" t="s">
        <v>736</v>
      </c>
      <c r="G896" t="s">
        <v>737</v>
      </c>
      <c r="H896" t="s">
        <v>738</v>
      </c>
      <c r="I896" t="s">
        <v>739</v>
      </c>
      <c r="J896" t="s">
        <v>739</v>
      </c>
      <c r="K896" s="2">
        <v>45107</v>
      </c>
      <c r="L896">
        <v>23536.813131313698</v>
      </c>
      <c r="M896">
        <v>-381030.561327537</v>
      </c>
      <c r="N896">
        <v>-371386.45310247201</v>
      </c>
      <c r="O896">
        <v>83135.880230879993</v>
      </c>
      <c r="P896">
        <v>381030.561327537</v>
      </c>
      <c r="Q896">
        <v>-69802.528860028993</v>
      </c>
      <c r="R896">
        <v>10109.1789321789</v>
      </c>
      <c r="S896">
        <v>10391.054112554</v>
      </c>
      <c r="T896">
        <v>0</v>
      </c>
      <c r="U896">
        <v>-399859.28066377499</v>
      </c>
      <c r="V896">
        <v>72877.352092350498</v>
      </c>
    </row>
    <row r="897" spans="1:22" x14ac:dyDescent="0.3">
      <c r="A897" t="str">
        <f t="shared" si="26"/>
        <v>WESTPrevisão</v>
      </c>
      <c r="B897" t="str">
        <f t="shared" si="27"/>
        <v>WESTPrevisãoSet-2023</v>
      </c>
      <c r="C897" t="s">
        <v>141</v>
      </c>
      <c r="D897" t="s">
        <v>142</v>
      </c>
      <c r="E897" t="s">
        <v>102</v>
      </c>
      <c r="F897" t="s">
        <v>736</v>
      </c>
      <c r="G897" t="s">
        <v>737</v>
      </c>
      <c r="H897" t="s">
        <v>738</v>
      </c>
      <c r="I897" t="s">
        <v>739</v>
      </c>
      <c r="J897" t="s">
        <v>739</v>
      </c>
      <c r="K897" s="2">
        <v>45199</v>
      </c>
      <c r="L897">
        <v>45456.787878788797</v>
      </c>
      <c r="M897">
        <v>-814312.16450213501</v>
      </c>
      <c r="N897">
        <v>-694990.85281387996</v>
      </c>
      <c r="O897">
        <v>85225.116883116498</v>
      </c>
      <c r="P897">
        <v>814312.16450213501</v>
      </c>
      <c r="Q897">
        <v>-111216.246753246</v>
      </c>
      <c r="R897">
        <v>8613.6753246753306</v>
      </c>
      <c r="S897">
        <v>15441.004329004099</v>
      </c>
      <c r="T897">
        <v>0</v>
      </c>
      <c r="U897">
        <v>-824854.74891774298</v>
      </c>
      <c r="V897">
        <v>91419.792207789593</v>
      </c>
    </row>
    <row r="898" spans="1:22" x14ac:dyDescent="0.3">
      <c r="A898" t="str">
        <f t="shared" ref="A898:A961" si="28">_xlfn.CONCAT(D898,F898)</f>
        <v>VIVAPrevisão</v>
      </c>
      <c r="B898" t="str">
        <f t="shared" ref="B898:B961" si="29">_xlfn.CONCAT(D898,F898,PROPER(TEXT(K898,"mmm-aaaa")))</f>
        <v>VIVAPrevisãoDez-2022</v>
      </c>
      <c r="C898" t="s">
        <v>100</v>
      </c>
      <c r="D898" t="s">
        <v>101</v>
      </c>
      <c r="E898" t="s">
        <v>102</v>
      </c>
      <c r="F898" t="s">
        <v>736</v>
      </c>
      <c r="G898" t="s">
        <v>737</v>
      </c>
      <c r="H898" t="s">
        <v>738</v>
      </c>
      <c r="I898" t="s">
        <v>739</v>
      </c>
      <c r="J898" t="s">
        <v>739</v>
      </c>
      <c r="K898" s="2">
        <v>44925</v>
      </c>
      <c r="L898">
        <v>60372976.272730097</v>
      </c>
      <c r="M898">
        <v>1772281143.80301</v>
      </c>
      <c r="N898">
        <v>31416673.166662902</v>
      </c>
      <c r="O898">
        <v>24128484.999995399</v>
      </c>
      <c r="P898">
        <v>-1772281143.80301</v>
      </c>
      <c r="Q898">
        <v>9100022.7121238392</v>
      </c>
      <c r="R898">
        <v>292391.21212119597</v>
      </c>
      <c r="S898">
        <v>-3965927.8939394099</v>
      </c>
      <c r="T898">
        <v>403306354.42424798</v>
      </c>
      <c r="U898">
        <v>1781381166.5151</v>
      </c>
      <c r="V898">
        <v>59894042.363637902</v>
      </c>
    </row>
    <row r="899" spans="1:22" x14ac:dyDescent="0.3">
      <c r="A899" t="str">
        <f t="shared" si="28"/>
        <v>VIVAPrevisão</v>
      </c>
      <c r="B899" t="str">
        <f t="shared" si="29"/>
        <v>VIVAPrevisãoMar-2023</v>
      </c>
      <c r="C899" t="s">
        <v>100</v>
      </c>
      <c r="D899" t="s">
        <v>101</v>
      </c>
      <c r="E899" t="s">
        <v>102</v>
      </c>
      <c r="F899" t="s">
        <v>736</v>
      </c>
      <c r="G899" t="s">
        <v>737</v>
      </c>
      <c r="H899" t="s">
        <v>738</v>
      </c>
      <c r="I899" t="s">
        <v>739</v>
      </c>
      <c r="J899" t="s">
        <v>739</v>
      </c>
      <c r="K899" s="2">
        <v>45015</v>
      </c>
      <c r="L899">
        <v>38144191.272731699</v>
      </c>
      <c r="M899">
        <v>1980532928.7272401</v>
      </c>
      <c r="N899">
        <v>65639527.454539403</v>
      </c>
      <c r="O899">
        <v>54890714.545447603</v>
      </c>
      <c r="P899">
        <v>-1980532928.7272401</v>
      </c>
      <c r="Q899">
        <v>25436288.7272765</v>
      </c>
      <c r="R899">
        <v>357200.727272705</v>
      </c>
      <c r="S899">
        <v>-7868224.7575757997</v>
      </c>
      <c r="T899">
        <v>438278120.33334202</v>
      </c>
      <c r="U899">
        <v>2005969217.4544699</v>
      </c>
      <c r="V899">
        <v>37006693.424245298</v>
      </c>
    </row>
    <row r="900" spans="1:22" x14ac:dyDescent="0.3">
      <c r="A900" t="str">
        <f t="shared" si="28"/>
        <v>VIVAPrevisão</v>
      </c>
      <c r="B900" t="str">
        <f t="shared" si="29"/>
        <v>VIVAPrevisãoJun-2023</v>
      </c>
      <c r="C900" t="s">
        <v>100</v>
      </c>
      <c r="D900" t="s">
        <v>101</v>
      </c>
      <c r="E900" t="s">
        <v>102</v>
      </c>
      <c r="F900" t="s">
        <v>736</v>
      </c>
      <c r="G900" t="s">
        <v>737</v>
      </c>
      <c r="H900" t="s">
        <v>738</v>
      </c>
      <c r="I900" t="s">
        <v>739</v>
      </c>
      <c r="J900" t="s">
        <v>739</v>
      </c>
      <c r="K900" s="2">
        <v>45107</v>
      </c>
      <c r="L900">
        <v>3987567.9580486701</v>
      </c>
      <c r="M900">
        <v>2253975568.8321099</v>
      </c>
      <c r="N900">
        <v>118376434.706284</v>
      </c>
      <c r="O900">
        <v>103051731.153835</v>
      </c>
      <c r="P900">
        <v>-2253975568.8321099</v>
      </c>
      <c r="Q900">
        <v>44778218.202802502</v>
      </c>
      <c r="R900">
        <v>451671.335664307</v>
      </c>
      <c r="S900">
        <v>-12939484.6876457</v>
      </c>
      <c r="T900">
        <v>460119959.927751</v>
      </c>
      <c r="U900">
        <v>2298753787.0348501</v>
      </c>
      <c r="V900">
        <v>1936350.1794918401</v>
      </c>
    </row>
    <row r="901" spans="1:22" x14ac:dyDescent="0.3">
      <c r="A901" t="str">
        <f t="shared" si="28"/>
        <v>VIVAPrevisão</v>
      </c>
      <c r="B901" t="str">
        <f t="shared" si="29"/>
        <v>VIVAPrevisãoSet-2023</v>
      </c>
      <c r="C901" t="s">
        <v>100</v>
      </c>
      <c r="D901" t="s">
        <v>101</v>
      </c>
      <c r="E901" t="s">
        <v>102</v>
      </c>
      <c r="F901" t="s">
        <v>736</v>
      </c>
      <c r="G901" t="s">
        <v>737</v>
      </c>
      <c r="H901" t="s">
        <v>738</v>
      </c>
      <c r="I901" t="s">
        <v>739</v>
      </c>
      <c r="J901" t="s">
        <v>739</v>
      </c>
      <c r="K901" s="2">
        <v>45199</v>
      </c>
      <c r="L901">
        <v>-43842829.783207297</v>
      </c>
      <c r="M901">
        <v>2603989184.6455998</v>
      </c>
      <c r="N901">
        <v>192703752.330989</v>
      </c>
      <c r="O901">
        <v>171554034.82516</v>
      </c>
      <c r="P901">
        <v>-2603989184.6455998</v>
      </c>
      <c r="Q901">
        <v>67221992.617722794</v>
      </c>
      <c r="R901">
        <v>580990.14918411197</v>
      </c>
      <c r="S901">
        <v>-19311990.501165599</v>
      </c>
      <c r="T901">
        <v>465761298.75059998</v>
      </c>
      <c r="U901">
        <v>2671211177.2632499</v>
      </c>
      <c r="V901">
        <v>-47098582.596729599</v>
      </c>
    </row>
    <row r="902" spans="1:22" x14ac:dyDescent="0.3">
      <c r="A902" t="str">
        <f t="shared" si="28"/>
        <v>VBBRPrevisão</v>
      </c>
      <c r="B902" t="str">
        <f t="shared" si="29"/>
        <v>VBBRPrevisãoDez-2022</v>
      </c>
      <c r="C902" t="s">
        <v>105</v>
      </c>
      <c r="D902" t="s">
        <v>106</v>
      </c>
      <c r="E902" t="s">
        <v>102</v>
      </c>
      <c r="F902" t="s">
        <v>736</v>
      </c>
      <c r="G902" t="s">
        <v>737</v>
      </c>
      <c r="H902" t="s">
        <v>738</v>
      </c>
      <c r="I902" t="s">
        <v>739</v>
      </c>
      <c r="J902" t="s">
        <v>739</v>
      </c>
      <c r="K902" s="2">
        <v>44925</v>
      </c>
      <c r="L902">
        <v>237037.58169951901</v>
      </c>
      <c r="M902">
        <v>40981815.3594779</v>
      </c>
      <c r="N902">
        <v>21869413.398692701</v>
      </c>
      <c r="O902">
        <v>6001289.2156839799</v>
      </c>
      <c r="P902">
        <v>-40981815.3594779</v>
      </c>
      <c r="Q902">
        <v>-9406390.5228756797</v>
      </c>
      <c r="R902">
        <v>204295.75163398299</v>
      </c>
      <c r="S902">
        <v>170959.150326779</v>
      </c>
      <c r="T902">
        <v>7530013.0718954504</v>
      </c>
      <c r="U902">
        <v>13700563.725490101</v>
      </c>
      <c r="V902">
        <v>64071454.248365</v>
      </c>
    </row>
    <row r="903" spans="1:22" x14ac:dyDescent="0.3">
      <c r="A903" t="str">
        <f t="shared" si="28"/>
        <v>VBBRPrevisão</v>
      </c>
      <c r="B903" t="str">
        <f t="shared" si="29"/>
        <v>VBBRPrevisãoMar-2023</v>
      </c>
      <c r="C903" t="s">
        <v>105</v>
      </c>
      <c r="D903" t="s">
        <v>106</v>
      </c>
      <c r="E903" t="s">
        <v>102</v>
      </c>
      <c r="F903" t="s">
        <v>736</v>
      </c>
      <c r="G903" t="s">
        <v>737</v>
      </c>
      <c r="H903" t="s">
        <v>738</v>
      </c>
      <c r="I903" t="s">
        <v>739</v>
      </c>
      <c r="J903" t="s">
        <v>739</v>
      </c>
      <c r="K903" s="2">
        <v>45015</v>
      </c>
      <c r="L903">
        <v>214501.46198850701</v>
      </c>
      <c r="M903">
        <v>43155270.467837296</v>
      </c>
      <c r="N903">
        <v>23348101.221190099</v>
      </c>
      <c r="O903">
        <v>5177988.1320922496</v>
      </c>
      <c r="P903">
        <v>-43155270.467837296</v>
      </c>
      <c r="Q903">
        <v>-10244425.868592801</v>
      </c>
      <c r="R903">
        <v>210028.46577226801</v>
      </c>
      <c r="S903">
        <v>187355.17715855801</v>
      </c>
      <c r="T903">
        <v>7544889.4908841001</v>
      </c>
      <c r="U903">
        <v>14239082.817337301</v>
      </c>
      <c r="V903">
        <v>76721448.056414202</v>
      </c>
    </row>
    <row r="904" spans="1:22" x14ac:dyDescent="0.3">
      <c r="A904" t="str">
        <f t="shared" si="28"/>
        <v>VBBRPrevisão</v>
      </c>
      <c r="B904" t="str">
        <f t="shared" si="29"/>
        <v>VBBRPrevisãoJun-2023</v>
      </c>
      <c r="C904" t="s">
        <v>105</v>
      </c>
      <c r="D904" t="s">
        <v>106</v>
      </c>
      <c r="E904" t="s">
        <v>102</v>
      </c>
      <c r="F904" t="s">
        <v>736</v>
      </c>
      <c r="G904" t="s">
        <v>737</v>
      </c>
      <c r="H904" t="s">
        <v>738</v>
      </c>
      <c r="I904" t="s">
        <v>739</v>
      </c>
      <c r="J904" t="s">
        <v>739</v>
      </c>
      <c r="K904" s="2">
        <v>45107</v>
      </c>
      <c r="L904">
        <v>201970.24423828299</v>
      </c>
      <c r="M904">
        <v>45343827.485381499</v>
      </c>
      <c r="N904">
        <v>24937205.1943583</v>
      </c>
      <c r="O904">
        <v>3972816.8214623099</v>
      </c>
      <c r="P904">
        <v>-45343827.485381499</v>
      </c>
      <c r="Q904">
        <v>-11227202.4423801</v>
      </c>
      <c r="R904">
        <v>217422.944616436</v>
      </c>
      <c r="S904">
        <v>207264.36188507301</v>
      </c>
      <c r="T904">
        <v>7488919.1606467497</v>
      </c>
      <c r="U904">
        <v>14803781.733745901</v>
      </c>
      <c r="V904">
        <v>91593751.977982402</v>
      </c>
    </row>
    <row r="905" spans="1:22" x14ac:dyDescent="0.3">
      <c r="A905" t="str">
        <f t="shared" si="28"/>
        <v>VBBRPrevisão</v>
      </c>
      <c r="B905" t="str">
        <f t="shared" si="29"/>
        <v>VBBRPrevisãoSet-2023</v>
      </c>
      <c r="C905" t="s">
        <v>105</v>
      </c>
      <c r="D905" t="s">
        <v>106</v>
      </c>
      <c r="E905" t="s">
        <v>102</v>
      </c>
      <c r="F905" t="s">
        <v>736</v>
      </c>
      <c r="G905" t="s">
        <v>737</v>
      </c>
      <c r="H905" t="s">
        <v>738</v>
      </c>
      <c r="I905" t="s">
        <v>739</v>
      </c>
      <c r="J905" t="s">
        <v>739</v>
      </c>
      <c r="K905" s="2">
        <v>45199</v>
      </c>
      <c r="L905">
        <v>201449.43240481301</v>
      </c>
      <c r="M905">
        <v>47525644.478845797</v>
      </c>
      <c r="N905">
        <v>26639440.1444786</v>
      </c>
      <c r="O905">
        <v>2334688.3384897299</v>
      </c>
      <c r="P905">
        <v>-47525644.478845797</v>
      </c>
      <c r="Q905">
        <v>-12367875.128998499</v>
      </c>
      <c r="R905">
        <v>226434.984520114</v>
      </c>
      <c r="S905">
        <v>231137.254901921</v>
      </c>
      <c r="T905">
        <v>7355204.8503612299</v>
      </c>
      <c r="U905">
        <v>15395393.7048501</v>
      </c>
      <c r="V905">
        <v>108861686.274507</v>
      </c>
    </row>
    <row r="906" spans="1:22" x14ac:dyDescent="0.3">
      <c r="A906" t="str">
        <f t="shared" si="28"/>
        <v>VIIAPrevisão</v>
      </c>
      <c r="B906" t="str">
        <f t="shared" si="29"/>
        <v>VIIAPrevisãoDez-2016</v>
      </c>
      <c r="C906" t="s">
        <v>709</v>
      </c>
      <c r="D906" t="s">
        <v>110</v>
      </c>
      <c r="E906" t="s">
        <v>102</v>
      </c>
      <c r="F906" t="s">
        <v>736</v>
      </c>
      <c r="G906" t="s">
        <v>737</v>
      </c>
      <c r="H906" t="s">
        <v>738</v>
      </c>
      <c r="I906" t="s">
        <v>739</v>
      </c>
      <c r="J906" t="s">
        <v>739</v>
      </c>
      <c r="K906" s="2">
        <v>42734</v>
      </c>
      <c r="L906">
        <v>-101553.498005289</v>
      </c>
      <c r="M906">
        <v>22810983.3934418</v>
      </c>
      <c r="N906">
        <v>14063619.155413199</v>
      </c>
      <c r="O906">
        <v>5300322.1312300302</v>
      </c>
      <c r="P906">
        <v>-22810983.3934418</v>
      </c>
      <c r="Q906">
        <v>-13199488.3969189</v>
      </c>
      <c r="R906">
        <v>573241.92886852205</v>
      </c>
      <c r="S906">
        <v>593039.12180644297</v>
      </c>
      <c r="T906">
        <v>1292192.7948396199</v>
      </c>
      <c r="U906">
        <v>4876113.6512191799</v>
      </c>
      <c r="V906">
        <v>6210094.0848828396</v>
      </c>
    </row>
    <row r="907" spans="1:22" x14ac:dyDescent="0.3">
      <c r="A907" t="str">
        <f t="shared" si="28"/>
        <v>VIIAPrevisão</v>
      </c>
      <c r="B907" t="str">
        <f t="shared" si="29"/>
        <v>VIIAPrevisãoMar-2017</v>
      </c>
      <c r="C907" t="s">
        <v>709</v>
      </c>
      <c r="D907" t="s">
        <v>110</v>
      </c>
      <c r="E907" t="s">
        <v>102</v>
      </c>
      <c r="F907" t="s">
        <v>736</v>
      </c>
      <c r="G907" t="s">
        <v>737</v>
      </c>
      <c r="H907" t="s">
        <v>738</v>
      </c>
      <c r="I907" t="s">
        <v>739</v>
      </c>
      <c r="J907" t="s">
        <v>739</v>
      </c>
      <c r="K907" s="2">
        <v>42824</v>
      </c>
      <c r="L907">
        <v>-151968.29522345</v>
      </c>
      <c r="M907">
        <v>26929027.267125901</v>
      </c>
      <c r="N907">
        <v>16401089.0893838</v>
      </c>
      <c r="O907">
        <v>6294565.0709824096</v>
      </c>
      <c r="P907">
        <v>-26929027.267125901</v>
      </c>
      <c r="Q907">
        <v>-15721602.711885</v>
      </c>
      <c r="R907">
        <v>636434.30908449495</v>
      </c>
      <c r="S907">
        <v>622807.88225905201</v>
      </c>
      <c r="T907">
        <v>1427372.75078563</v>
      </c>
      <c r="U907">
        <v>5160095.8620467903</v>
      </c>
      <c r="V907">
        <v>6876234.3795031002</v>
      </c>
    </row>
    <row r="908" spans="1:22" x14ac:dyDescent="0.3">
      <c r="A908" t="str">
        <f t="shared" si="28"/>
        <v>VIIAPrevisão</v>
      </c>
      <c r="B908" t="str">
        <f t="shared" si="29"/>
        <v>VIIAPrevisãoJun-2017</v>
      </c>
      <c r="C908" t="s">
        <v>709</v>
      </c>
      <c r="D908" t="s">
        <v>110</v>
      </c>
      <c r="E908" t="s">
        <v>102</v>
      </c>
      <c r="F908" t="s">
        <v>736</v>
      </c>
      <c r="G908" t="s">
        <v>737</v>
      </c>
      <c r="H908" t="s">
        <v>738</v>
      </c>
      <c r="I908" t="s">
        <v>739</v>
      </c>
      <c r="J908" t="s">
        <v>739</v>
      </c>
      <c r="K908" s="2">
        <v>42916</v>
      </c>
      <c r="L908">
        <v>-209240.558438226</v>
      </c>
      <c r="M908">
        <v>31690108.926875699</v>
      </c>
      <c r="N908">
        <v>19079507.524135701</v>
      </c>
      <c r="O908">
        <v>7432277.2152423495</v>
      </c>
      <c r="P908">
        <v>-31690108.926875699</v>
      </c>
      <c r="Q908">
        <v>-18626803.416398</v>
      </c>
      <c r="R908">
        <v>706603.47752772202</v>
      </c>
      <c r="S908">
        <v>652222.12455436902</v>
      </c>
      <c r="T908">
        <v>1568632.30130124</v>
      </c>
      <c r="U908">
        <v>5483128.1135904696</v>
      </c>
      <c r="V908">
        <v>7635447.9858211</v>
      </c>
    </row>
    <row r="909" spans="1:22" x14ac:dyDescent="0.3">
      <c r="A909" t="str">
        <f t="shared" si="28"/>
        <v>VIIAPrevisão</v>
      </c>
      <c r="B909" t="str">
        <f t="shared" si="29"/>
        <v>VIIAPrevisãoSet-2017</v>
      </c>
      <c r="C909" t="s">
        <v>709</v>
      </c>
      <c r="D909" t="s">
        <v>110</v>
      </c>
      <c r="E909" t="s">
        <v>102</v>
      </c>
      <c r="F909" t="s">
        <v>736</v>
      </c>
      <c r="G909" t="s">
        <v>737</v>
      </c>
      <c r="H909" t="s">
        <v>738</v>
      </c>
      <c r="I909" t="s">
        <v>739</v>
      </c>
      <c r="J909" t="s">
        <v>739</v>
      </c>
      <c r="K909" s="2">
        <v>43008</v>
      </c>
      <c r="L909">
        <v>-273718.66020591999</v>
      </c>
      <c r="M909">
        <v>37129239.850078203</v>
      </c>
      <c r="N909">
        <v>22116875.206202801</v>
      </c>
      <c r="O909">
        <v>8720933.2729869708</v>
      </c>
      <c r="P909">
        <v>-37129239.850078203</v>
      </c>
      <c r="Q909">
        <v>-21935446.1934858</v>
      </c>
      <c r="R909">
        <v>784048.18219762295</v>
      </c>
      <c r="S909">
        <v>681158.36119374505</v>
      </c>
      <c r="T909">
        <v>1715888.1995899701</v>
      </c>
      <c r="U909">
        <v>5847435.8985678097</v>
      </c>
      <c r="V909">
        <v>8492446.8876707591</v>
      </c>
    </row>
    <row r="910" spans="1:22" x14ac:dyDescent="0.3">
      <c r="A910" t="str">
        <f t="shared" si="28"/>
        <v>TECNPrevisão</v>
      </c>
      <c r="B910" t="str">
        <f t="shared" si="29"/>
        <v>TECNPrevisãoDez-2022</v>
      </c>
      <c r="C910" t="s">
        <v>143</v>
      </c>
      <c r="D910" t="s">
        <v>144</v>
      </c>
      <c r="E910" t="s">
        <v>102</v>
      </c>
      <c r="F910" t="s">
        <v>736</v>
      </c>
      <c r="G910" t="s">
        <v>737</v>
      </c>
      <c r="H910" t="s">
        <v>738</v>
      </c>
      <c r="I910" t="s">
        <v>739</v>
      </c>
      <c r="J910" t="s">
        <v>739</v>
      </c>
      <c r="K910" s="2">
        <v>44925</v>
      </c>
      <c r="L910">
        <v>16958.958407602098</v>
      </c>
      <c r="M910">
        <v>331279.19336218003</v>
      </c>
      <c r="N910">
        <v>-426.76436634565403</v>
      </c>
      <c r="O910">
        <v>-1941.6238859182999</v>
      </c>
      <c r="P910">
        <v>-331279.19336218003</v>
      </c>
      <c r="Q910">
        <v>-4949.3213649054196</v>
      </c>
      <c r="R910">
        <v>31.555300908245101</v>
      </c>
      <c r="S910">
        <v>68.008233596453906</v>
      </c>
      <c r="T910">
        <v>-24290.9457600938</v>
      </c>
      <c r="U910">
        <v>326340.95687999798</v>
      </c>
      <c r="V910">
        <v>16821.736864441002</v>
      </c>
    </row>
    <row r="911" spans="1:22" x14ac:dyDescent="0.3">
      <c r="A911" t="str">
        <f t="shared" si="28"/>
        <v>TECNPrevisão</v>
      </c>
      <c r="B911" t="str">
        <f t="shared" si="29"/>
        <v>TECNPrevisãoMar-2023</v>
      </c>
      <c r="C911" t="s">
        <v>143</v>
      </c>
      <c r="D911" t="s">
        <v>144</v>
      </c>
      <c r="E911" t="s">
        <v>102</v>
      </c>
      <c r="F911" t="s">
        <v>736</v>
      </c>
      <c r="G911" t="s">
        <v>737</v>
      </c>
      <c r="H911" t="s">
        <v>738</v>
      </c>
      <c r="I911" t="s">
        <v>739</v>
      </c>
      <c r="J911" t="s">
        <v>739</v>
      </c>
      <c r="K911" s="2">
        <v>45015</v>
      </c>
      <c r="L911">
        <v>22260.706217290499</v>
      </c>
      <c r="M911">
        <v>336043.24577823601</v>
      </c>
      <c r="N911">
        <v>-1144.5352457060301</v>
      </c>
      <c r="O911">
        <v>-2924.0877156760898</v>
      </c>
      <c r="P911">
        <v>-336043.24577823601</v>
      </c>
      <c r="Q911">
        <v>-4196.9765036156696</v>
      </c>
      <c r="R911">
        <v>31.6197197961942</v>
      </c>
      <c r="S911">
        <v>78.102886691099897</v>
      </c>
      <c r="T911">
        <v>-37891.551077394302</v>
      </c>
      <c r="U911">
        <v>331854.23118336999</v>
      </c>
      <c r="V911">
        <v>22072.785295606602</v>
      </c>
    </row>
    <row r="912" spans="1:22" x14ac:dyDescent="0.3">
      <c r="A912" t="str">
        <f t="shared" si="28"/>
        <v>TECNPrevisão</v>
      </c>
      <c r="B912" t="str">
        <f t="shared" si="29"/>
        <v>TECNPrevisãoJun-2023</v>
      </c>
      <c r="C912" t="s">
        <v>143</v>
      </c>
      <c r="D912" t="s">
        <v>144</v>
      </c>
      <c r="E912" t="s">
        <v>102</v>
      </c>
      <c r="F912" t="s">
        <v>736</v>
      </c>
      <c r="G912" t="s">
        <v>737</v>
      </c>
      <c r="H912" t="s">
        <v>738</v>
      </c>
      <c r="I912" t="s">
        <v>739</v>
      </c>
      <c r="J912" t="s">
        <v>739</v>
      </c>
      <c r="K912" s="2">
        <v>45107</v>
      </c>
      <c r="L912">
        <v>28146.448873178</v>
      </c>
      <c r="M912">
        <v>343337.84312541602</v>
      </c>
      <c r="N912">
        <v>-1940.147685899</v>
      </c>
      <c r="O912">
        <v>-3985.4199159554701</v>
      </c>
      <c r="P912">
        <v>-343337.84312541602</v>
      </c>
      <c r="Q912">
        <v>-3178.75849291036</v>
      </c>
      <c r="R912">
        <v>31.6412822295223</v>
      </c>
      <c r="S912">
        <v>89.246179595994604</v>
      </c>
      <c r="T912">
        <v>-51473.287318549003</v>
      </c>
      <c r="U912">
        <v>340162.34744530602</v>
      </c>
      <c r="V912">
        <v>27900.4604279376</v>
      </c>
    </row>
    <row r="913" spans="1:22" x14ac:dyDescent="0.3">
      <c r="A913" t="str">
        <f t="shared" si="28"/>
        <v>TECNPrevisão</v>
      </c>
      <c r="B913" t="str">
        <f t="shared" si="29"/>
        <v>TECNPrevisãoSet-2023</v>
      </c>
      <c r="C913" t="s">
        <v>143</v>
      </c>
      <c r="D913" t="s">
        <v>144</v>
      </c>
      <c r="E913" t="s">
        <v>102</v>
      </c>
      <c r="F913" t="s">
        <v>736</v>
      </c>
      <c r="G913" t="s">
        <v>737</v>
      </c>
      <c r="H913" t="s">
        <v>738</v>
      </c>
      <c r="I913" t="s">
        <v>739</v>
      </c>
      <c r="J913" t="s">
        <v>739</v>
      </c>
      <c r="K913" s="2">
        <v>45199</v>
      </c>
      <c r="L913">
        <v>34640.408949871096</v>
      </c>
      <c r="M913">
        <v>353355.85811154102</v>
      </c>
      <c r="N913">
        <v>-2820.7785543026898</v>
      </c>
      <c r="O913">
        <v>-5128.9682408627104</v>
      </c>
      <c r="P913">
        <v>-353355.85811154102</v>
      </c>
      <c r="Q913">
        <v>-1872.9662636023099</v>
      </c>
      <c r="R913">
        <v>31.620067852271799</v>
      </c>
      <c r="S913">
        <v>101.47715843687099</v>
      </c>
      <c r="T913">
        <v>-64980.153989699204</v>
      </c>
      <c r="U913">
        <v>351479.76238394901</v>
      </c>
      <c r="V913">
        <v>34328.603699507599</v>
      </c>
    </row>
    <row r="914" spans="1:22" x14ac:dyDescent="0.3">
      <c r="A914" t="str">
        <f t="shared" si="28"/>
        <v>ASAIPrevisão</v>
      </c>
      <c r="B914" t="str">
        <f t="shared" si="29"/>
        <v>ASAIPrevisãoDez-2022</v>
      </c>
      <c r="C914" t="s">
        <v>107</v>
      </c>
      <c r="D914" t="s">
        <v>108</v>
      </c>
      <c r="E914" t="s">
        <v>102</v>
      </c>
      <c r="F914" t="s">
        <v>736</v>
      </c>
      <c r="G914" t="s">
        <v>737</v>
      </c>
      <c r="H914" t="s">
        <v>738</v>
      </c>
      <c r="I914" t="s">
        <v>739</v>
      </c>
      <c r="J914" t="s">
        <v>739</v>
      </c>
      <c r="K914" s="2">
        <v>44925</v>
      </c>
      <c r="L914">
        <v>264214.28571429302</v>
      </c>
      <c r="M914">
        <v>44912658.730158798</v>
      </c>
      <c r="N914">
        <v>11201357.142857101</v>
      </c>
      <c r="O914">
        <v>484960.31746031501</v>
      </c>
      <c r="P914">
        <v>-44912658.730158798</v>
      </c>
      <c r="Q914">
        <v>-14600309.5238095</v>
      </c>
      <c r="R914">
        <v>711555.55555555096</v>
      </c>
      <c r="S914">
        <v>261261.90476190299</v>
      </c>
      <c r="T914">
        <v>3317809.5238095298</v>
      </c>
      <c r="U914">
        <v>8091015.8730158601</v>
      </c>
      <c r="V914">
        <v>15541642.8571428</v>
      </c>
    </row>
    <row r="915" spans="1:22" x14ac:dyDescent="0.3">
      <c r="A915" t="str">
        <f t="shared" si="28"/>
        <v>ASAIPrevisão</v>
      </c>
      <c r="B915" t="str">
        <f t="shared" si="29"/>
        <v>ASAIPrevisãoMar-2023</v>
      </c>
      <c r="C915" t="s">
        <v>107</v>
      </c>
      <c r="D915" t="s">
        <v>108</v>
      </c>
      <c r="E915" t="s">
        <v>102</v>
      </c>
      <c r="F915" t="s">
        <v>736</v>
      </c>
      <c r="G915" t="s">
        <v>737</v>
      </c>
      <c r="H915" t="s">
        <v>738</v>
      </c>
      <c r="I915" t="s">
        <v>739</v>
      </c>
      <c r="J915" t="s">
        <v>739</v>
      </c>
      <c r="K915" s="2">
        <v>45015</v>
      </c>
      <c r="L915">
        <v>273309.52380953199</v>
      </c>
      <c r="M915">
        <v>52856420.634920701</v>
      </c>
      <c r="N915">
        <v>9507404.76190475</v>
      </c>
      <c r="O915">
        <v>454103.174603172</v>
      </c>
      <c r="P915">
        <v>-52856420.634920701</v>
      </c>
      <c r="Q915">
        <v>-15948261.904761899</v>
      </c>
      <c r="R915">
        <v>881888.88888888096</v>
      </c>
      <c r="S915">
        <v>354119.04761904402</v>
      </c>
      <c r="T915">
        <v>4413261.9047619198</v>
      </c>
      <c r="U915">
        <v>13668492.063492</v>
      </c>
      <c r="V915">
        <v>17336928.5714285</v>
      </c>
    </row>
    <row r="916" spans="1:22" x14ac:dyDescent="0.3">
      <c r="A916" t="str">
        <f t="shared" si="28"/>
        <v>ASAIPrevisão</v>
      </c>
      <c r="B916" t="str">
        <f t="shared" si="29"/>
        <v>ASAIPrevisãoJun-2023</v>
      </c>
      <c r="C916" t="s">
        <v>107</v>
      </c>
      <c r="D916" t="s">
        <v>108</v>
      </c>
      <c r="E916" t="s">
        <v>102</v>
      </c>
      <c r="F916" t="s">
        <v>736</v>
      </c>
      <c r="G916" t="s">
        <v>737</v>
      </c>
      <c r="H916" t="s">
        <v>738</v>
      </c>
      <c r="I916" t="s">
        <v>739</v>
      </c>
      <c r="J916" t="s">
        <v>739</v>
      </c>
      <c r="K916" s="2">
        <v>45107</v>
      </c>
      <c r="L916">
        <v>312694.80519481498</v>
      </c>
      <c r="M916">
        <v>61850033.189033397</v>
      </c>
      <c r="N916">
        <v>6549703.4632034497</v>
      </c>
      <c r="O916">
        <v>379817.46031745698</v>
      </c>
      <c r="P916">
        <v>-61850033.189033397</v>
      </c>
      <c r="Q916">
        <v>-17229523.809523799</v>
      </c>
      <c r="R916">
        <v>1112661.6161616</v>
      </c>
      <c r="S916">
        <v>504177.48917748302</v>
      </c>
      <c r="T916">
        <v>5823887.4458874799</v>
      </c>
      <c r="U916">
        <v>21486312.409812398</v>
      </c>
      <c r="V916">
        <v>19458751.082251102</v>
      </c>
    </row>
    <row r="917" spans="1:22" x14ac:dyDescent="0.3">
      <c r="A917" t="str">
        <f t="shared" si="28"/>
        <v>ASAIPrevisão</v>
      </c>
      <c r="B917" t="str">
        <f t="shared" si="29"/>
        <v>ASAIPrevisãoSet-2023</v>
      </c>
      <c r="C917" t="s">
        <v>107</v>
      </c>
      <c r="D917" t="s">
        <v>108</v>
      </c>
      <c r="E917" t="s">
        <v>102</v>
      </c>
      <c r="F917" t="s">
        <v>736</v>
      </c>
      <c r="G917" t="s">
        <v>737</v>
      </c>
      <c r="H917" t="s">
        <v>738</v>
      </c>
      <c r="I917" t="s">
        <v>739</v>
      </c>
      <c r="J917" t="s">
        <v>739</v>
      </c>
      <c r="K917" s="2">
        <v>45199</v>
      </c>
      <c r="L917">
        <v>391173.16017317103</v>
      </c>
      <c r="M917">
        <v>71862354.978355393</v>
      </c>
      <c r="N917">
        <v>2103722.9437229401</v>
      </c>
      <c r="O917">
        <v>253502.164502161</v>
      </c>
      <c r="P917">
        <v>-71862354.978355393</v>
      </c>
      <c r="Q917">
        <v>-18404125.541125499</v>
      </c>
      <c r="R917">
        <v>1413636.36363634</v>
      </c>
      <c r="S917">
        <v>722709.95670994697</v>
      </c>
      <c r="T917">
        <v>7577822.51082257</v>
      </c>
      <c r="U917">
        <v>31846017.3160173</v>
      </c>
      <c r="V917">
        <v>21944943.722943701</v>
      </c>
    </row>
    <row r="918" spans="1:22" x14ac:dyDescent="0.3">
      <c r="A918" t="str">
        <f t="shared" si="28"/>
        <v>SLEDPrevisão</v>
      </c>
      <c r="B918" t="str">
        <f t="shared" si="29"/>
        <v>SLEDPrevisãoDez-2022</v>
      </c>
      <c r="C918" t="s">
        <v>145</v>
      </c>
      <c r="D918" t="s">
        <v>146</v>
      </c>
      <c r="E918" t="s">
        <v>102</v>
      </c>
      <c r="F918" t="s">
        <v>736</v>
      </c>
      <c r="G918" t="s">
        <v>737</v>
      </c>
      <c r="H918" t="s">
        <v>738</v>
      </c>
      <c r="I918" t="s">
        <v>739</v>
      </c>
      <c r="J918" t="s">
        <v>739</v>
      </c>
      <c r="K918" s="2">
        <v>44925</v>
      </c>
      <c r="L918">
        <v>64289.3621085095</v>
      </c>
      <c r="M918">
        <v>105880.274085018</v>
      </c>
      <c r="N918">
        <v>124405.673711975</v>
      </c>
      <c r="O918">
        <v>30885.2519310756</v>
      </c>
      <c r="P918">
        <v>-105880.274085018</v>
      </c>
      <c r="Q918">
        <v>-53748.626007966297</v>
      </c>
      <c r="R918">
        <v>5273.3986079300903</v>
      </c>
      <c r="S918">
        <v>1409.3947033347099</v>
      </c>
      <c r="T918">
        <v>-22508.955097138802</v>
      </c>
      <c r="U918">
        <v>-750464.32331706502</v>
      </c>
      <c r="V918">
        <v>91995.639674055303</v>
      </c>
    </row>
    <row r="919" spans="1:22" x14ac:dyDescent="0.3">
      <c r="A919" t="str">
        <f t="shared" si="28"/>
        <v>SLEDPrevisão</v>
      </c>
      <c r="B919" t="str">
        <f t="shared" si="29"/>
        <v>SLEDPrevisãoMar-2023</v>
      </c>
      <c r="C919" t="s">
        <v>145</v>
      </c>
      <c r="D919" t="s">
        <v>146</v>
      </c>
      <c r="E919" t="s">
        <v>102</v>
      </c>
      <c r="F919" t="s">
        <v>736</v>
      </c>
      <c r="G919" t="s">
        <v>737</v>
      </c>
      <c r="H919" t="s">
        <v>738</v>
      </c>
      <c r="I919" t="s">
        <v>739</v>
      </c>
      <c r="J919" t="s">
        <v>739</v>
      </c>
      <c r="K919" s="2">
        <v>45015</v>
      </c>
      <c r="L919">
        <v>85918.5603273624</v>
      </c>
      <c r="M919">
        <v>142951.27553717801</v>
      </c>
      <c r="N919">
        <v>171180.61649205201</v>
      </c>
      <c r="O919">
        <v>43367.275042041198</v>
      </c>
      <c r="P919">
        <v>-142951.27553717801</v>
      </c>
      <c r="Q919">
        <v>-73417.137917895801</v>
      </c>
      <c r="R919">
        <v>7351.5685402769404</v>
      </c>
      <c r="S919">
        <v>1534.5702585691399</v>
      </c>
      <c r="T919">
        <v>-21802.070521183199</v>
      </c>
      <c r="U919">
        <v>-829440.182965065</v>
      </c>
      <c r="V919">
        <v>124592.396912583</v>
      </c>
    </row>
    <row r="920" spans="1:22" x14ac:dyDescent="0.3">
      <c r="A920" t="str">
        <f t="shared" si="28"/>
        <v>SLEDPrevisão</v>
      </c>
      <c r="B920" t="str">
        <f t="shared" si="29"/>
        <v>SLEDPrevisãoJun-2023</v>
      </c>
      <c r="C920" t="s">
        <v>145</v>
      </c>
      <c r="D920" t="s">
        <v>146</v>
      </c>
      <c r="E920" t="s">
        <v>102</v>
      </c>
      <c r="F920" t="s">
        <v>736</v>
      </c>
      <c r="G920" t="s">
        <v>737</v>
      </c>
      <c r="H920" t="s">
        <v>738</v>
      </c>
      <c r="I920" t="s">
        <v>739</v>
      </c>
      <c r="J920" t="s">
        <v>739</v>
      </c>
      <c r="K920" s="2">
        <v>45107</v>
      </c>
      <c r="L920">
        <v>109930.033164326</v>
      </c>
      <c r="M920">
        <v>190214.500582721</v>
      </c>
      <c r="N920">
        <v>225199.65644054601</v>
      </c>
      <c r="O920">
        <v>57651.255858007898</v>
      </c>
      <c r="P920">
        <v>-190214.500582721</v>
      </c>
      <c r="Q920">
        <v>-96496.066232691606</v>
      </c>
      <c r="R920">
        <v>9742.1584059663492</v>
      </c>
      <c r="S920">
        <v>1662.98806997156</v>
      </c>
      <c r="T920">
        <v>-19141.5380898605</v>
      </c>
      <c r="U920">
        <v>-909021.15997214697</v>
      </c>
      <c r="V920">
        <v>161154.36099934901</v>
      </c>
    </row>
    <row r="921" spans="1:22" x14ac:dyDescent="0.3">
      <c r="A921" t="str">
        <f t="shared" si="28"/>
        <v>SLEDPrevisão</v>
      </c>
      <c r="B921" t="str">
        <f t="shared" si="29"/>
        <v>SLEDPrevisãoSet-2023</v>
      </c>
      <c r="C921" t="s">
        <v>145</v>
      </c>
      <c r="D921" t="s">
        <v>146</v>
      </c>
      <c r="E921" t="s">
        <v>102</v>
      </c>
      <c r="F921" t="s">
        <v>736</v>
      </c>
      <c r="G921" t="s">
        <v>737</v>
      </c>
      <c r="H921" t="s">
        <v>738</v>
      </c>
      <c r="I921" t="s">
        <v>739</v>
      </c>
      <c r="J921" t="s">
        <v>739</v>
      </c>
      <c r="K921" s="2">
        <v>45199</v>
      </c>
      <c r="L921">
        <v>136426.91070536501</v>
      </c>
      <c r="M921">
        <v>248264.07864419301</v>
      </c>
      <c r="N921">
        <v>286818.35732051102</v>
      </c>
      <c r="O921">
        <v>73817.679526597407</v>
      </c>
      <c r="P921">
        <v>-248264.07864419301</v>
      </c>
      <c r="Q921">
        <v>-123168.668571053</v>
      </c>
      <c r="R921">
        <v>12460.3885516521</v>
      </c>
      <c r="S921">
        <v>1793.45731873815</v>
      </c>
      <c r="T921">
        <v>-14401.175242511001</v>
      </c>
      <c r="U921">
        <v>-989049.91931691498</v>
      </c>
      <c r="V921">
        <v>201856.09085374899</v>
      </c>
    </row>
    <row r="922" spans="1:22" x14ac:dyDescent="0.3">
      <c r="A922" t="str">
        <f t="shared" si="28"/>
        <v>RADLPrevisão</v>
      </c>
      <c r="B922" t="str">
        <f t="shared" si="29"/>
        <v>RADLPrevisãoDez-2022</v>
      </c>
      <c r="C922" t="s">
        <v>117</v>
      </c>
      <c r="D922" t="s">
        <v>118</v>
      </c>
      <c r="E922" t="s">
        <v>102</v>
      </c>
      <c r="F922" t="s">
        <v>736</v>
      </c>
      <c r="G922" t="s">
        <v>737</v>
      </c>
      <c r="H922" t="s">
        <v>738</v>
      </c>
      <c r="I922" t="s">
        <v>739</v>
      </c>
      <c r="J922" t="s">
        <v>739</v>
      </c>
      <c r="K922" s="2">
        <v>44925</v>
      </c>
      <c r="L922">
        <v>236472.84814528501</v>
      </c>
      <c r="M922">
        <v>17733575.064849898</v>
      </c>
      <c r="N922">
        <v>9245959.6706562191</v>
      </c>
      <c r="O922">
        <v>2401950.2326624701</v>
      </c>
      <c r="P922">
        <v>-17733575.064849898</v>
      </c>
      <c r="Q922">
        <v>-6110223.7723451098</v>
      </c>
      <c r="R922">
        <v>586071.29046766402</v>
      </c>
      <c r="S922">
        <v>193994.12002377</v>
      </c>
      <c r="T922">
        <v>2139758.9406670998</v>
      </c>
      <c r="U922">
        <v>5648757.1943814196</v>
      </c>
      <c r="V922">
        <v>7374698.8019698104</v>
      </c>
    </row>
    <row r="923" spans="1:22" x14ac:dyDescent="0.3">
      <c r="A923" t="str">
        <f t="shared" si="28"/>
        <v>RADLPrevisão</v>
      </c>
      <c r="B923" t="str">
        <f t="shared" si="29"/>
        <v>RADLPrevisãoMar-2023</v>
      </c>
      <c r="C923" t="s">
        <v>117</v>
      </c>
      <c r="D923" t="s">
        <v>118</v>
      </c>
      <c r="E923" t="s">
        <v>102</v>
      </c>
      <c r="F923" t="s">
        <v>736</v>
      </c>
      <c r="G923" t="s">
        <v>737</v>
      </c>
      <c r="H923" t="s">
        <v>738</v>
      </c>
      <c r="I923" t="s">
        <v>739</v>
      </c>
      <c r="J923" t="s">
        <v>739</v>
      </c>
      <c r="K923" s="2">
        <v>45015</v>
      </c>
      <c r="L923">
        <v>243207.02010792401</v>
      </c>
      <c r="M923">
        <v>18570095.937120199</v>
      </c>
      <c r="N923">
        <v>9779326.5034286901</v>
      </c>
      <c r="O923">
        <v>2541424.1550432001</v>
      </c>
      <c r="P923">
        <v>-18570095.937120199</v>
      </c>
      <c r="Q923">
        <v>-6421622.7614984997</v>
      </c>
      <c r="R923">
        <v>628160.85003793205</v>
      </c>
      <c r="S923">
        <v>203450.776181074</v>
      </c>
      <c r="T923">
        <v>2233445.9061314198</v>
      </c>
      <c r="U923">
        <v>5954380.6593468701</v>
      </c>
      <c r="V923">
        <v>7803446.6914117001</v>
      </c>
    </row>
    <row r="924" spans="1:22" x14ac:dyDescent="0.3">
      <c r="A924" t="str">
        <f t="shared" si="28"/>
        <v>RADLPrevisão</v>
      </c>
      <c r="B924" t="str">
        <f t="shared" si="29"/>
        <v>RADLPrevisãoJun-2023</v>
      </c>
      <c r="C924" t="s">
        <v>117</v>
      </c>
      <c r="D924" t="s">
        <v>118</v>
      </c>
      <c r="E924" t="s">
        <v>102</v>
      </c>
      <c r="F924" t="s">
        <v>736</v>
      </c>
      <c r="G924" t="s">
        <v>737</v>
      </c>
      <c r="H924" t="s">
        <v>738</v>
      </c>
      <c r="I924" t="s">
        <v>739</v>
      </c>
      <c r="J924" t="s">
        <v>739</v>
      </c>
      <c r="K924" s="2">
        <v>45107</v>
      </c>
      <c r="L924">
        <v>249898.22206859701</v>
      </c>
      <c r="M924">
        <v>19426900.927015699</v>
      </c>
      <c r="N924">
        <v>10339194.5599191</v>
      </c>
      <c r="O924">
        <v>2688367.5393092399</v>
      </c>
      <c r="P924">
        <v>-19426900.927015699</v>
      </c>
      <c r="Q924">
        <v>-6742922.6548273498</v>
      </c>
      <c r="R924">
        <v>673390.39283299202</v>
      </c>
      <c r="S924">
        <v>213341.04420371199</v>
      </c>
      <c r="T924">
        <v>2328942.73714412</v>
      </c>
      <c r="U924">
        <v>6285187.2063170997</v>
      </c>
      <c r="V924">
        <v>8257654.2777472297</v>
      </c>
    </row>
    <row r="925" spans="1:22" x14ac:dyDescent="0.3">
      <c r="A925" t="str">
        <f t="shared" si="28"/>
        <v>RADLPrevisão</v>
      </c>
      <c r="B925" t="str">
        <f t="shared" si="29"/>
        <v>RADLPrevisãoSet-2023</v>
      </c>
      <c r="C925" t="s">
        <v>117</v>
      </c>
      <c r="D925" t="s">
        <v>118</v>
      </c>
      <c r="E925" t="s">
        <v>102</v>
      </c>
      <c r="F925" t="s">
        <v>736</v>
      </c>
      <c r="G925" t="s">
        <v>737</v>
      </c>
      <c r="H925" t="s">
        <v>738</v>
      </c>
      <c r="I925" t="s">
        <v>739</v>
      </c>
      <c r="J925" t="s">
        <v>739</v>
      </c>
      <c r="K925" s="2">
        <v>45199</v>
      </c>
      <c r="L925">
        <v>256541.34825435799</v>
      </c>
      <c r="M925">
        <v>20303923.459038202</v>
      </c>
      <c r="N925">
        <v>10926417.058991799</v>
      </c>
      <c r="O925">
        <v>2843049.2323868801</v>
      </c>
      <c r="P925">
        <v>-20303923.459038202</v>
      </c>
      <c r="Q925">
        <v>-7074274.4702968197</v>
      </c>
      <c r="R925">
        <v>721897.67304753303</v>
      </c>
      <c r="S925">
        <v>223680.37825049099</v>
      </c>
      <c r="T925">
        <v>2426227.2478671302</v>
      </c>
      <c r="U925">
        <v>6642429.6182384798</v>
      </c>
      <c r="V925">
        <v>8738347.4756947402</v>
      </c>
    </row>
    <row r="926" spans="1:22" x14ac:dyDescent="0.3">
      <c r="A926" t="str">
        <f t="shared" si="28"/>
        <v>PFRMPrevisão</v>
      </c>
      <c r="B926" t="str">
        <f t="shared" si="29"/>
        <v>PFRMPrevisãoDez-2022</v>
      </c>
      <c r="C926" t="s">
        <v>123</v>
      </c>
      <c r="D926" t="s">
        <v>124</v>
      </c>
      <c r="E926" t="s">
        <v>102</v>
      </c>
      <c r="F926" t="s">
        <v>736</v>
      </c>
      <c r="G926" t="s">
        <v>737</v>
      </c>
      <c r="H926" t="s">
        <v>738</v>
      </c>
      <c r="I926" t="s">
        <v>739</v>
      </c>
      <c r="J926" t="s">
        <v>739</v>
      </c>
      <c r="K926" s="2">
        <v>44925</v>
      </c>
      <c r="L926">
        <v>45227.279093450299</v>
      </c>
      <c r="M926">
        <v>3765833.6994313002</v>
      </c>
      <c r="N926">
        <v>2951014.8986502802</v>
      </c>
      <c r="O926">
        <v>1210689.4707579699</v>
      </c>
      <c r="P926">
        <v>-3765833.6994313002</v>
      </c>
      <c r="Q926">
        <v>-1999764.09515324</v>
      </c>
      <c r="R926">
        <v>0</v>
      </c>
      <c r="S926">
        <v>76160.108649531394</v>
      </c>
      <c r="T926">
        <v>49645.159748822902</v>
      </c>
      <c r="U926">
        <v>1157615.02257873</v>
      </c>
      <c r="V926">
        <v>2081024.87114838</v>
      </c>
    </row>
    <row r="927" spans="1:22" x14ac:dyDescent="0.3">
      <c r="A927" t="str">
        <f t="shared" si="28"/>
        <v>PFRMPrevisão</v>
      </c>
      <c r="B927" t="str">
        <f t="shared" si="29"/>
        <v>PFRMPrevisãoMar-2023</v>
      </c>
      <c r="C927" t="s">
        <v>123</v>
      </c>
      <c r="D927" t="s">
        <v>124</v>
      </c>
      <c r="E927" t="s">
        <v>102</v>
      </c>
      <c r="F927" t="s">
        <v>736</v>
      </c>
      <c r="G927" t="s">
        <v>737</v>
      </c>
      <c r="H927" t="s">
        <v>738</v>
      </c>
      <c r="I927" t="s">
        <v>739</v>
      </c>
      <c r="J927" t="s">
        <v>739</v>
      </c>
      <c r="K927" s="2">
        <v>45015</v>
      </c>
      <c r="L927">
        <v>53342.580224220503</v>
      </c>
      <c r="M927">
        <v>3913516.8539747102</v>
      </c>
      <c r="N927">
        <v>3104946.0550450301</v>
      </c>
      <c r="O927">
        <v>1302211.4259951001</v>
      </c>
      <c r="P927">
        <v>-3913516.8539747102</v>
      </c>
      <c r="Q927">
        <v>-2087061.56548684</v>
      </c>
      <c r="R927">
        <v>0</v>
      </c>
      <c r="S927">
        <v>78834.7450682286</v>
      </c>
      <c r="T927">
        <v>34792.623778185101</v>
      </c>
      <c r="U927">
        <v>1163121.41956012</v>
      </c>
      <c r="V927">
        <v>2276237.9978801799</v>
      </c>
    </row>
    <row r="928" spans="1:22" x14ac:dyDescent="0.3">
      <c r="A928" t="str">
        <f t="shared" si="28"/>
        <v>PFRMPrevisão</v>
      </c>
      <c r="B928" t="str">
        <f t="shared" si="29"/>
        <v>PFRMPrevisãoJun-2023</v>
      </c>
      <c r="C928" t="s">
        <v>123</v>
      </c>
      <c r="D928" t="s">
        <v>124</v>
      </c>
      <c r="E928" t="s">
        <v>102</v>
      </c>
      <c r="F928" t="s">
        <v>736</v>
      </c>
      <c r="G928" t="s">
        <v>737</v>
      </c>
      <c r="H928" t="s">
        <v>738</v>
      </c>
      <c r="I928" t="s">
        <v>739</v>
      </c>
      <c r="J928" t="s">
        <v>739</v>
      </c>
      <c r="K928" s="2">
        <v>45107</v>
      </c>
      <c r="L928">
        <v>62125.996129569699</v>
      </c>
      <c r="M928">
        <v>4068207.7081683199</v>
      </c>
      <c r="N928">
        <v>3269534.52400397</v>
      </c>
      <c r="O928">
        <v>1402065.9334188199</v>
      </c>
      <c r="P928">
        <v>-4068207.7081683199</v>
      </c>
      <c r="Q928">
        <v>-2178286.0865437998</v>
      </c>
      <c r="R928">
        <v>0</v>
      </c>
      <c r="S928">
        <v>81611.413724261598</v>
      </c>
      <c r="T928">
        <v>19432.901383257002</v>
      </c>
      <c r="U928">
        <v>1166447.6408511701</v>
      </c>
      <c r="V928">
        <v>2491504.4366480401</v>
      </c>
    </row>
    <row r="929" spans="1:22" x14ac:dyDescent="0.3">
      <c r="A929" t="str">
        <f t="shared" si="28"/>
        <v>PFRMPrevisão</v>
      </c>
      <c r="B929" t="str">
        <f t="shared" si="29"/>
        <v>PFRMPrevisãoSet-2023</v>
      </c>
      <c r="C929" t="s">
        <v>123</v>
      </c>
      <c r="D929" t="s">
        <v>124</v>
      </c>
      <c r="E929" t="s">
        <v>102</v>
      </c>
      <c r="F929" t="s">
        <v>736</v>
      </c>
      <c r="G929" t="s">
        <v>737</v>
      </c>
      <c r="H929" t="s">
        <v>738</v>
      </c>
      <c r="I929" t="s">
        <v>739</v>
      </c>
      <c r="J929" t="s">
        <v>739</v>
      </c>
      <c r="K929" s="2">
        <v>45199</v>
      </c>
      <c r="L929">
        <v>71599.6050302199</v>
      </c>
      <c r="M929">
        <v>4230159.6525058998</v>
      </c>
      <c r="N929">
        <v>3445206.1916194698</v>
      </c>
      <c r="O929">
        <v>1510621.2720896299</v>
      </c>
      <c r="P929">
        <v>-4230159.6525058998</v>
      </c>
      <c r="Q929">
        <v>-2273569.8649123101</v>
      </c>
      <c r="R929">
        <v>0</v>
      </c>
      <c r="S929">
        <v>84494.540071554395</v>
      </c>
      <c r="T929">
        <v>3593.8700005698702</v>
      </c>
      <c r="U929">
        <v>1167473.34698244</v>
      </c>
      <c r="V929">
        <v>2727762.1663980298</v>
      </c>
    </row>
    <row r="930" spans="1:22" x14ac:dyDescent="0.3">
      <c r="A930" t="str">
        <f t="shared" si="28"/>
        <v>PETZPrevisão</v>
      </c>
      <c r="B930" t="str">
        <f t="shared" si="29"/>
        <v>PETZPrevisãoDez-2022</v>
      </c>
      <c r="C930" t="s">
        <v>121</v>
      </c>
      <c r="D930" t="s">
        <v>122</v>
      </c>
      <c r="E930" t="s">
        <v>102</v>
      </c>
      <c r="F930" t="s">
        <v>736</v>
      </c>
      <c r="G930" t="s">
        <v>737</v>
      </c>
      <c r="H930" t="s">
        <v>738</v>
      </c>
      <c r="I930" t="s">
        <v>739</v>
      </c>
      <c r="J930" t="s">
        <v>739</v>
      </c>
      <c r="K930" s="2">
        <v>44925</v>
      </c>
      <c r="L930">
        <v>3170.0476190476202</v>
      </c>
      <c r="M930">
        <v>3956513.4523809501</v>
      </c>
      <c r="N930">
        <v>1174313.2936507899</v>
      </c>
      <c r="O930">
        <v>304681.928571428</v>
      </c>
      <c r="P930">
        <v>-3956513.4523809501</v>
      </c>
      <c r="Q930">
        <v>-651937.23809524404</v>
      </c>
      <c r="R930">
        <v>81858.261904761501</v>
      </c>
      <c r="S930">
        <v>43677.142857142797</v>
      </c>
      <c r="T930">
        <v>73053.007936501803</v>
      </c>
      <c r="U930">
        <v>2198212.4603174599</v>
      </c>
      <c r="V930">
        <v>706681.66666666605</v>
      </c>
    </row>
    <row r="931" spans="1:22" x14ac:dyDescent="0.3">
      <c r="A931" t="str">
        <f t="shared" si="28"/>
        <v>PETZPrevisão</v>
      </c>
      <c r="B931" t="str">
        <f t="shared" si="29"/>
        <v>PETZPrevisãoMar-2023</v>
      </c>
      <c r="C931" t="s">
        <v>121</v>
      </c>
      <c r="D931" t="s">
        <v>122</v>
      </c>
      <c r="E931" t="s">
        <v>102</v>
      </c>
      <c r="F931" t="s">
        <v>736</v>
      </c>
      <c r="G931" t="s">
        <v>737</v>
      </c>
      <c r="H931" t="s">
        <v>738</v>
      </c>
      <c r="I931" t="s">
        <v>739</v>
      </c>
      <c r="J931" t="s">
        <v>739</v>
      </c>
      <c r="K931" s="2">
        <v>45015</v>
      </c>
      <c r="L931">
        <v>-9066.3571428570995</v>
      </c>
      <c r="M931">
        <v>4187213.3571428498</v>
      </c>
      <c r="N931">
        <v>1245199.76984126</v>
      </c>
      <c r="O931">
        <v>315531.61904761801</v>
      </c>
      <c r="P931">
        <v>-4187213.3571428498</v>
      </c>
      <c r="Q931">
        <v>-723360.88095238805</v>
      </c>
      <c r="R931">
        <v>82540.1190476185</v>
      </c>
      <c r="S931">
        <v>55743.595238095098</v>
      </c>
      <c r="T931">
        <v>17586.579365071299</v>
      </c>
      <c r="U931">
        <v>2349256.7698412798</v>
      </c>
      <c r="V931">
        <v>722799.83333333198</v>
      </c>
    </row>
    <row r="932" spans="1:22" x14ac:dyDescent="0.3">
      <c r="A932" t="str">
        <f t="shared" si="28"/>
        <v>PETZPrevisão</v>
      </c>
      <c r="B932" t="str">
        <f t="shared" si="29"/>
        <v>PETZPrevisãoJun-2023</v>
      </c>
      <c r="C932" t="s">
        <v>121</v>
      </c>
      <c r="D932" t="s">
        <v>122</v>
      </c>
      <c r="E932" t="s">
        <v>102</v>
      </c>
      <c r="F932" t="s">
        <v>736</v>
      </c>
      <c r="G932" t="s">
        <v>737</v>
      </c>
      <c r="H932" t="s">
        <v>738</v>
      </c>
      <c r="I932" t="s">
        <v>739</v>
      </c>
      <c r="J932" t="s">
        <v>739</v>
      </c>
      <c r="K932" s="2">
        <v>45107</v>
      </c>
      <c r="L932">
        <v>-26752.623376623302</v>
      </c>
      <c r="M932">
        <v>4312483.6839826899</v>
      </c>
      <c r="N932">
        <v>1322087.6053390999</v>
      </c>
      <c r="O932">
        <v>319993.45021644898</v>
      </c>
      <c r="P932">
        <v>-4312483.6839826899</v>
      </c>
      <c r="Q932">
        <v>-840700.27705628495</v>
      </c>
      <c r="R932">
        <v>81549.510822509998</v>
      </c>
      <c r="S932">
        <v>71847.069264069098</v>
      </c>
      <c r="T932">
        <v>-72389.927128437499</v>
      </c>
      <c r="U932">
        <v>2391919.6507936702</v>
      </c>
      <c r="V932">
        <v>725393.36363636097</v>
      </c>
    </row>
    <row r="933" spans="1:22" x14ac:dyDescent="0.3">
      <c r="A933" t="str">
        <f t="shared" si="28"/>
        <v>PETZPrevisão</v>
      </c>
      <c r="B933" t="str">
        <f t="shared" si="29"/>
        <v>PETZPrevisãoSet-2023</v>
      </c>
      <c r="C933" t="s">
        <v>121</v>
      </c>
      <c r="D933" t="s">
        <v>122</v>
      </c>
      <c r="E933" t="s">
        <v>102</v>
      </c>
      <c r="F933" t="s">
        <v>736</v>
      </c>
      <c r="G933" t="s">
        <v>737</v>
      </c>
      <c r="H933" t="s">
        <v>738</v>
      </c>
      <c r="I933" t="s">
        <v>739</v>
      </c>
      <c r="J933" t="s">
        <v>739</v>
      </c>
      <c r="K933" s="2">
        <v>45199</v>
      </c>
      <c r="L933">
        <v>-50771.281385281298</v>
      </c>
      <c r="M933">
        <v>4305788.4329004399</v>
      </c>
      <c r="N933">
        <v>1406094.7142857001</v>
      </c>
      <c r="O933">
        <v>316916.52813852602</v>
      </c>
      <c r="P933">
        <v>-4305788.4329004399</v>
      </c>
      <c r="Q933">
        <v>-1013919.80519481</v>
      </c>
      <c r="R933">
        <v>78638.922077920899</v>
      </c>
      <c r="S933">
        <v>92501.761904761603</v>
      </c>
      <c r="T933">
        <v>-203574.96103897301</v>
      </c>
      <c r="U933">
        <v>2300222.25974028</v>
      </c>
      <c r="V933">
        <v>712427.66666666302</v>
      </c>
    </row>
    <row r="934" spans="1:22" x14ac:dyDescent="0.3">
      <c r="A934" t="str">
        <f t="shared" si="28"/>
        <v>MBLYPrevisão</v>
      </c>
      <c r="B934" t="str">
        <f t="shared" si="29"/>
        <v>MBLYPrevisãoDez-2022</v>
      </c>
      <c r="C934" t="s">
        <v>137</v>
      </c>
      <c r="D934" t="s">
        <v>138</v>
      </c>
      <c r="E934" t="s">
        <v>102</v>
      </c>
      <c r="F934" t="s">
        <v>736</v>
      </c>
      <c r="G934" t="s">
        <v>737</v>
      </c>
      <c r="H934" t="s">
        <v>738</v>
      </c>
      <c r="I934" t="s">
        <v>739</v>
      </c>
      <c r="J934" t="s">
        <v>739</v>
      </c>
      <c r="K934" s="2">
        <v>44925</v>
      </c>
      <c r="L934">
        <v>-2311.8650793649299</v>
      </c>
      <c r="M934">
        <v>231850.68253966601</v>
      </c>
      <c r="N934">
        <v>-177018.62698411601</v>
      </c>
      <c r="O934">
        <v>0</v>
      </c>
      <c r="P934">
        <v>-231850.68253966601</v>
      </c>
      <c r="Q934">
        <v>-1952.42063492067</v>
      </c>
      <c r="R934">
        <v>334.57142857143799</v>
      </c>
      <c r="S934">
        <v>946.87301587300897</v>
      </c>
      <c r="T934">
        <v>0</v>
      </c>
      <c r="U934">
        <v>222332.11904762499</v>
      </c>
      <c r="V934">
        <v>-230.507936507903</v>
      </c>
    </row>
    <row r="935" spans="1:22" x14ac:dyDescent="0.3">
      <c r="A935" t="str">
        <f t="shared" si="28"/>
        <v>MBLYPrevisão</v>
      </c>
      <c r="B935" t="str">
        <f t="shared" si="29"/>
        <v>MBLYPrevisãoMar-2023</v>
      </c>
      <c r="C935" t="s">
        <v>137</v>
      </c>
      <c r="D935" t="s">
        <v>138</v>
      </c>
      <c r="E935" t="s">
        <v>102</v>
      </c>
      <c r="F935" t="s">
        <v>736</v>
      </c>
      <c r="G935" t="s">
        <v>737</v>
      </c>
      <c r="H935" t="s">
        <v>738</v>
      </c>
      <c r="I935" t="s">
        <v>739</v>
      </c>
      <c r="J935" t="s">
        <v>739</v>
      </c>
      <c r="K935" s="2">
        <v>45015</v>
      </c>
      <c r="L935">
        <v>24735.182539682701</v>
      </c>
      <c r="M935">
        <v>-184856.67460319999</v>
      </c>
      <c r="N935">
        <v>-316166.10317459202</v>
      </c>
      <c r="O935">
        <v>0</v>
      </c>
      <c r="P935">
        <v>184856.67460319999</v>
      </c>
      <c r="Q935">
        <v>-602.70634920639395</v>
      </c>
      <c r="R935">
        <v>-1490.95238095236</v>
      </c>
      <c r="S935">
        <v>785.73015873015197</v>
      </c>
      <c r="T935">
        <v>0</v>
      </c>
      <c r="U935">
        <v>-200946.80952380199</v>
      </c>
      <c r="V935">
        <v>31189.920634920501</v>
      </c>
    </row>
    <row r="936" spans="1:22" x14ac:dyDescent="0.3">
      <c r="A936" t="str">
        <f t="shared" si="28"/>
        <v>MBLYPrevisão</v>
      </c>
      <c r="B936" t="str">
        <f t="shared" si="29"/>
        <v>MBLYPrevisãoJun-2023</v>
      </c>
      <c r="C936" t="s">
        <v>137</v>
      </c>
      <c r="D936" t="s">
        <v>138</v>
      </c>
      <c r="E936" t="s">
        <v>102</v>
      </c>
      <c r="F936" t="s">
        <v>736</v>
      </c>
      <c r="G936" t="s">
        <v>737</v>
      </c>
      <c r="H936" t="s">
        <v>738</v>
      </c>
      <c r="I936" t="s">
        <v>739</v>
      </c>
      <c r="J936" t="s">
        <v>739</v>
      </c>
      <c r="K936" s="2">
        <v>45107</v>
      </c>
      <c r="L936">
        <v>64201.117604617699</v>
      </c>
      <c r="M936">
        <v>-756820.47546901403</v>
      </c>
      <c r="N936">
        <v>-423982.98412697302</v>
      </c>
      <c r="O936">
        <v>0</v>
      </c>
      <c r="P936">
        <v>756820.47546901403</v>
      </c>
      <c r="Q936">
        <v>1255.9559884559301</v>
      </c>
      <c r="R936">
        <v>-4162.3290043289699</v>
      </c>
      <c r="S936">
        <v>439.22799422798698</v>
      </c>
      <c r="T936">
        <v>0</v>
      </c>
      <c r="U936">
        <v>-787181.66450215597</v>
      </c>
      <c r="V936">
        <v>76771.7756132754</v>
      </c>
    </row>
    <row r="937" spans="1:22" x14ac:dyDescent="0.3">
      <c r="A937" t="str">
        <f t="shared" si="28"/>
        <v>MBLYPrevisão</v>
      </c>
      <c r="B937" t="str">
        <f t="shared" si="29"/>
        <v>MBLYPrevisãoSet-2023</v>
      </c>
      <c r="C937" t="s">
        <v>137</v>
      </c>
      <c r="D937" t="s">
        <v>138</v>
      </c>
      <c r="E937" t="s">
        <v>102</v>
      </c>
      <c r="F937" t="s">
        <v>736</v>
      </c>
      <c r="G937" t="s">
        <v>737</v>
      </c>
      <c r="H937" t="s">
        <v>738</v>
      </c>
      <c r="I937" t="s">
        <v>739</v>
      </c>
      <c r="J937" t="s">
        <v>739</v>
      </c>
      <c r="K937" s="2">
        <v>45199</v>
      </c>
      <c r="L937">
        <v>118043.329004329</v>
      </c>
      <c r="M937">
        <v>-1501708.19480524</v>
      </c>
      <c r="N937">
        <v>-484549.29004328197</v>
      </c>
      <c r="O937">
        <v>0</v>
      </c>
      <c r="P937">
        <v>1501708.19480524</v>
      </c>
      <c r="Q937">
        <v>3673.9350649350099</v>
      </c>
      <c r="R937">
        <v>-7808.2554112553698</v>
      </c>
      <c r="S937">
        <v>-128.98701298701599</v>
      </c>
      <c r="T937">
        <v>0</v>
      </c>
      <c r="U937">
        <v>-1555899.9307359201</v>
      </c>
      <c r="V937">
        <v>138720.56709956599</v>
      </c>
    </row>
    <row r="938" spans="1:22" x14ac:dyDescent="0.3">
      <c r="A938" t="str">
        <f t="shared" si="28"/>
        <v>AMARPrevisão</v>
      </c>
      <c r="B938" t="str">
        <f t="shared" si="29"/>
        <v>AMARPrevisãoDez-2022</v>
      </c>
      <c r="C938" t="s">
        <v>125</v>
      </c>
      <c r="D938" t="s">
        <v>126</v>
      </c>
      <c r="E938" t="s">
        <v>102</v>
      </c>
      <c r="F938" t="s">
        <v>736</v>
      </c>
      <c r="G938" t="s">
        <v>737</v>
      </c>
      <c r="H938" t="s">
        <v>738</v>
      </c>
      <c r="I938" t="s">
        <v>739</v>
      </c>
      <c r="J938" t="s">
        <v>739</v>
      </c>
      <c r="K938" s="2">
        <v>44925</v>
      </c>
      <c r="L938">
        <v>-46788.665563195398</v>
      </c>
      <c r="M938">
        <v>3011818.2549020401</v>
      </c>
      <c r="N938">
        <v>842239.75816999096</v>
      </c>
      <c r="O938">
        <v>271441.38833723398</v>
      </c>
      <c r="P938">
        <v>-3011818.2549020401</v>
      </c>
      <c r="Q938">
        <v>-877223.96689561103</v>
      </c>
      <c r="R938">
        <v>79351.245904423995</v>
      </c>
      <c r="S938">
        <v>35269.1435362138</v>
      </c>
      <c r="T938">
        <v>143643.779729829</v>
      </c>
      <c r="U938">
        <v>1114104.70817401</v>
      </c>
      <c r="V938">
        <v>560211.13725465396</v>
      </c>
    </row>
    <row r="939" spans="1:22" x14ac:dyDescent="0.3">
      <c r="A939" t="str">
        <f t="shared" si="28"/>
        <v>AMARPrevisão</v>
      </c>
      <c r="B939" t="str">
        <f t="shared" si="29"/>
        <v>AMARPrevisãoMar-2023</v>
      </c>
      <c r="C939" t="s">
        <v>125</v>
      </c>
      <c r="D939" t="s">
        <v>126</v>
      </c>
      <c r="E939" t="s">
        <v>102</v>
      </c>
      <c r="F939" t="s">
        <v>736</v>
      </c>
      <c r="G939" t="s">
        <v>737</v>
      </c>
      <c r="H939" t="s">
        <v>738</v>
      </c>
      <c r="I939" t="s">
        <v>739</v>
      </c>
      <c r="J939" t="s">
        <v>739</v>
      </c>
      <c r="K939" s="2">
        <v>45015</v>
      </c>
      <c r="L939">
        <v>-39250.084010673199</v>
      </c>
      <c r="M939">
        <v>3068258.2118253801</v>
      </c>
      <c r="N939">
        <v>826628.91760676401</v>
      </c>
      <c r="O939">
        <v>297029.59536551603</v>
      </c>
      <c r="P939">
        <v>-3068258.2118253801</v>
      </c>
      <c r="Q939">
        <v>-786383.29221783997</v>
      </c>
      <c r="R939">
        <v>76993.668453787905</v>
      </c>
      <c r="S939">
        <v>36559.392980464698</v>
      </c>
      <c r="T939">
        <v>189932.289485569</v>
      </c>
      <c r="U939">
        <v>1159875.3378824</v>
      </c>
      <c r="V939">
        <v>595603.55030634103</v>
      </c>
    </row>
    <row r="940" spans="1:22" x14ac:dyDescent="0.3">
      <c r="A940" t="str">
        <f t="shared" si="28"/>
        <v>AMARPrevisão</v>
      </c>
      <c r="B940" t="str">
        <f t="shared" si="29"/>
        <v>AMARPrevisãoJun-2023</v>
      </c>
      <c r="C940" t="s">
        <v>125</v>
      </c>
      <c r="D940" t="s">
        <v>126</v>
      </c>
      <c r="E940" t="s">
        <v>102</v>
      </c>
      <c r="F940" t="s">
        <v>736</v>
      </c>
      <c r="G940" t="s">
        <v>737</v>
      </c>
      <c r="H940" t="s">
        <v>738</v>
      </c>
      <c r="I940" t="s">
        <v>739</v>
      </c>
      <c r="J940" t="s">
        <v>739</v>
      </c>
      <c r="K940" s="2">
        <v>45107</v>
      </c>
      <c r="L940">
        <v>-30495.822105368501</v>
      </c>
      <c r="M940">
        <v>3129074.0144958398</v>
      </c>
      <c r="N940">
        <v>811247.28763360903</v>
      </c>
      <c r="O940">
        <v>326177.45454122202</v>
      </c>
      <c r="P940">
        <v>-3129074.0144958398</v>
      </c>
      <c r="Q940">
        <v>-679267.87911393202</v>
      </c>
      <c r="R940">
        <v>74245.000800046095</v>
      </c>
      <c r="S940">
        <v>38066.614314984799</v>
      </c>
      <c r="T940">
        <v>244970.63210610001</v>
      </c>
      <c r="U940">
        <v>1212671.6640240301</v>
      </c>
      <c r="V940">
        <v>636467.38209963602</v>
      </c>
    </row>
    <row r="941" spans="1:22" x14ac:dyDescent="0.3">
      <c r="A941" t="str">
        <f t="shared" si="28"/>
        <v>AMARPrevisão</v>
      </c>
      <c r="B941" t="str">
        <f t="shared" si="29"/>
        <v>AMARPrevisãoSet-2023</v>
      </c>
      <c r="C941" t="s">
        <v>125</v>
      </c>
      <c r="D941" t="s">
        <v>126</v>
      </c>
      <c r="E941" t="s">
        <v>102</v>
      </c>
      <c r="F941" t="s">
        <v>736</v>
      </c>
      <c r="G941" t="s">
        <v>737</v>
      </c>
      <c r="H941" t="s">
        <v>738</v>
      </c>
      <c r="I941" t="s">
        <v>739</v>
      </c>
      <c r="J941" t="s">
        <v>739</v>
      </c>
      <c r="K941" s="2">
        <v>45199</v>
      </c>
      <c r="L941">
        <v>-20472.7138774839</v>
      </c>
      <c r="M941">
        <v>3194499.1351944702</v>
      </c>
      <c r="N941">
        <v>796182.06030469097</v>
      </c>
      <c r="O941">
        <v>359074.59718330298</v>
      </c>
      <c r="P941">
        <v>-3194499.1351944702</v>
      </c>
      <c r="Q941">
        <v>-554986.92857573798</v>
      </c>
      <c r="R941">
        <v>71089.665290419696</v>
      </c>
      <c r="S941">
        <v>39803.751162389497</v>
      </c>
      <c r="T941">
        <v>309260.42102616001</v>
      </c>
      <c r="U941">
        <v>1272889.59400695</v>
      </c>
      <c r="V941">
        <v>683102.99219676596</v>
      </c>
    </row>
    <row r="942" spans="1:22" x14ac:dyDescent="0.3">
      <c r="A942" t="str">
        <f t="shared" si="28"/>
        <v>MGLUPrevisão</v>
      </c>
      <c r="B942" t="str">
        <f t="shared" si="29"/>
        <v>MGLUPrevisãoDez-2022</v>
      </c>
      <c r="C942" t="s">
        <v>111</v>
      </c>
      <c r="D942" t="s">
        <v>112</v>
      </c>
      <c r="E942" t="s">
        <v>102</v>
      </c>
      <c r="F942" t="s">
        <v>736</v>
      </c>
      <c r="G942" t="s">
        <v>737</v>
      </c>
      <c r="H942" t="s">
        <v>738</v>
      </c>
      <c r="I942" t="s">
        <v>739</v>
      </c>
      <c r="J942" t="s">
        <v>739</v>
      </c>
      <c r="K942" s="2">
        <v>44925</v>
      </c>
      <c r="L942">
        <v>-197447.787878765</v>
      </c>
      <c r="M942">
        <v>38568613.470926002</v>
      </c>
      <c r="N942">
        <v>20787076.917324498</v>
      </c>
      <c r="O942">
        <v>4025923.06213362</v>
      </c>
      <c r="P942">
        <v>-38568613.470926002</v>
      </c>
      <c r="Q942">
        <v>-11609323.7585942</v>
      </c>
      <c r="R942">
        <v>245335.112723859</v>
      </c>
      <c r="S942">
        <v>96857.641796105905</v>
      </c>
      <c r="T942">
        <v>2546704.7992529902</v>
      </c>
      <c r="U942">
        <v>13884901.268907201</v>
      </c>
      <c r="V942">
        <v>8641555.1689159106</v>
      </c>
    </row>
    <row r="943" spans="1:22" x14ac:dyDescent="0.3">
      <c r="A943" t="str">
        <f t="shared" si="28"/>
        <v>MGLUPrevisão</v>
      </c>
      <c r="B943" t="str">
        <f t="shared" si="29"/>
        <v>MGLUPrevisãoMar-2023</v>
      </c>
      <c r="C943" t="s">
        <v>111</v>
      </c>
      <c r="D943" t="s">
        <v>112</v>
      </c>
      <c r="E943" t="s">
        <v>102</v>
      </c>
      <c r="F943" t="s">
        <v>736</v>
      </c>
      <c r="G943" t="s">
        <v>737</v>
      </c>
      <c r="H943" t="s">
        <v>738</v>
      </c>
      <c r="I943" t="s">
        <v>739</v>
      </c>
      <c r="J943" t="s">
        <v>739</v>
      </c>
      <c r="K943" s="2">
        <v>45015</v>
      </c>
      <c r="L943">
        <v>-271076.47091857402</v>
      </c>
      <c r="M943">
        <v>42491236.199327298</v>
      </c>
      <c r="N943">
        <v>22693764.195000201</v>
      </c>
      <c r="O943">
        <v>4283700.0467790002</v>
      </c>
      <c r="P943">
        <v>-42491236.199327298</v>
      </c>
      <c r="Q943">
        <v>-12397262.6893094</v>
      </c>
      <c r="R943">
        <v>235389.66499193499</v>
      </c>
      <c r="S943">
        <v>80648.3887454941</v>
      </c>
      <c r="T943">
        <v>2799159.89835208</v>
      </c>
      <c r="U943">
        <v>15260802.301006399</v>
      </c>
      <c r="V943">
        <v>9118830.1341392994</v>
      </c>
    </row>
    <row r="944" spans="1:22" x14ac:dyDescent="0.3">
      <c r="A944" t="str">
        <f t="shared" si="28"/>
        <v>MGLUPrevisão</v>
      </c>
      <c r="B944" t="str">
        <f t="shared" si="29"/>
        <v>MGLUPrevisãoJun-2023</v>
      </c>
      <c r="C944" t="s">
        <v>111</v>
      </c>
      <c r="D944" t="s">
        <v>112</v>
      </c>
      <c r="E944" t="s">
        <v>102</v>
      </c>
      <c r="F944" t="s">
        <v>736</v>
      </c>
      <c r="G944" t="s">
        <v>737</v>
      </c>
      <c r="H944" t="s">
        <v>738</v>
      </c>
      <c r="I944" t="s">
        <v>739</v>
      </c>
      <c r="J944" t="s">
        <v>739</v>
      </c>
      <c r="K944" s="2">
        <v>45107</v>
      </c>
      <c r="L944">
        <v>-353382.03555897501</v>
      </c>
      <c r="M944">
        <v>46703935.212146498</v>
      </c>
      <c r="N944">
        <v>24727944.721491698</v>
      </c>
      <c r="O944">
        <v>4549657.8020530799</v>
      </c>
      <c r="P944">
        <v>-46703935.212146498</v>
      </c>
      <c r="Q944">
        <v>-13224698.400280301</v>
      </c>
      <c r="R944">
        <v>223484.587160408</v>
      </c>
      <c r="S944">
        <v>61618.028732867198</v>
      </c>
      <c r="T944">
        <v>3067113.0562388301</v>
      </c>
      <c r="U944">
        <v>16725229.3886579</v>
      </c>
      <c r="V944">
        <v>9614746.2336215805</v>
      </c>
    </row>
    <row r="945" spans="1:22" x14ac:dyDescent="0.3">
      <c r="A945" t="str">
        <f t="shared" si="28"/>
        <v>MGLUPrevisão</v>
      </c>
      <c r="B945" t="str">
        <f t="shared" si="29"/>
        <v>MGLUPrevisãoSet-2023</v>
      </c>
      <c r="C945" t="s">
        <v>111</v>
      </c>
      <c r="D945" t="s">
        <v>112</v>
      </c>
      <c r="E945" t="s">
        <v>102</v>
      </c>
      <c r="F945" t="s">
        <v>736</v>
      </c>
      <c r="G945" t="s">
        <v>737</v>
      </c>
      <c r="H945" t="s">
        <v>738</v>
      </c>
      <c r="I945" t="s">
        <v>739</v>
      </c>
      <c r="J945" t="s">
        <v>739</v>
      </c>
      <c r="K945" s="2">
        <v>45199</v>
      </c>
      <c r="L945">
        <v>-444766.55511994899</v>
      </c>
      <c r="M945">
        <v>51217179.0246135</v>
      </c>
      <c r="N945">
        <v>26893801.900576301</v>
      </c>
      <c r="O945">
        <v>4823749.4415287599</v>
      </c>
      <c r="P945">
        <v>-51217179.0246135</v>
      </c>
      <c r="Q945">
        <v>-14092586.3727495</v>
      </c>
      <c r="R945">
        <v>209522.78907508301</v>
      </c>
      <c r="S945">
        <v>39619.1520404685</v>
      </c>
      <c r="T945">
        <v>3351004.8345928099</v>
      </c>
      <c r="U945">
        <v>18280864.899139099</v>
      </c>
      <c r="V945">
        <v>10129591.346815201</v>
      </c>
    </row>
    <row r="946" spans="1:22" x14ac:dyDescent="0.3">
      <c r="A946" t="str">
        <f t="shared" si="28"/>
        <v>LRENPrevisão</v>
      </c>
      <c r="B946" t="str">
        <f t="shared" si="29"/>
        <v>LRENPrevisãoDez-2022</v>
      </c>
      <c r="C946" t="s">
        <v>115</v>
      </c>
      <c r="D946" t="s">
        <v>116</v>
      </c>
      <c r="E946" t="s">
        <v>102</v>
      </c>
      <c r="F946" t="s">
        <v>736</v>
      </c>
      <c r="G946" t="s">
        <v>737</v>
      </c>
      <c r="H946" t="s">
        <v>738</v>
      </c>
      <c r="I946" t="s">
        <v>739</v>
      </c>
      <c r="J946" t="s">
        <v>739</v>
      </c>
      <c r="K946" s="2">
        <v>44925</v>
      </c>
      <c r="L946">
        <v>225507.99567099099</v>
      </c>
      <c r="M946">
        <v>20514514.845938601</v>
      </c>
      <c r="N946">
        <v>11275985.070877001</v>
      </c>
      <c r="O946">
        <v>1987939.2385192199</v>
      </c>
      <c r="P946">
        <v>-20514514.845938601</v>
      </c>
      <c r="Q946">
        <v>-4501850.9376964699</v>
      </c>
      <c r="R946">
        <v>361138.95696459903</v>
      </c>
      <c r="S946">
        <v>136801.56226127801</v>
      </c>
      <c r="T946">
        <v>1213521.5475765499</v>
      </c>
      <c r="U946">
        <v>11621763.465493901</v>
      </c>
      <c r="V946">
        <v>2477901.6173498798</v>
      </c>
    </row>
    <row r="947" spans="1:22" x14ac:dyDescent="0.3">
      <c r="A947" t="str">
        <f t="shared" si="28"/>
        <v>LRENPrevisão</v>
      </c>
      <c r="B947" t="str">
        <f t="shared" si="29"/>
        <v>LRENPrevisãoMar-2023</v>
      </c>
      <c r="C947" t="s">
        <v>115</v>
      </c>
      <c r="D947" t="s">
        <v>116</v>
      </c>
      <c r="E947" t="s">
        <v>102</v>
      </c>
      <c r="F947" t="s">
        <v>736</v>
      </c>
      <c r="G947" t="s">
        <v>737</v>
      </c>
      <c r="H947" t="s">
        <v>738</v>
      </c>
      <c r="I947" t="s">
        <v>739</v>
      </c>
      <c r="J947" t="s">
        <v>739</v>
      </c>
      <c r="K947" s="2">
        <v>45015</v>
      </c>
      <c r="L947">
        <v>227559.27907280199</v>
      </c>
      <c r="M947">
        <v>22226311.322507702</v>
      </c>
      <c r="N947">
        <v>12437868.2523167</v>
      </c>
      <c r="O947">
        <v>2151569.8436231599</v>
      </c>
      <c r="P947">
        <v>-22226311.322507702</v>
      </c>
      <c r="Q947">
        <v>-4777937.1436992995</v>
      </c>
      <c r="R947">
        <v>378283.75078974798</v>
      </c>
      <c r="S947">
        <v>140105.995581536</v>
      </c>
      <c r="T947">
        <v>1272220.12769755</v>
      </c>
      <c r="U947">
        <v>12645124.3863192</v>
      </c>
      <c r="V947">
        <v>2638789.73505201</v>
      </c>
    </row>
    <row r="948" spans="1:22" x14ac:dyDescent="0.3">
      <c r="A948" t="str">
        <f t="shared" si="28"/>
        <v>LRENPrevisão</v>
      </c>
      <c r="B948" t="str">
        <f t="shared" si="29"/>
        <v>LRENPrevisãoJun-2023</v>
      </c>
      <c r="C948" t="s">
        <v>115</v>
      </c>
      <c r="D948" t="s">
        <v>116</v>
      </c>
      <c r="E948" t="s">
        <v>102</v>
      </c>
      <c r="F948" t="s">
        <v>736</v>
      </c>
      <c r="G948" t="s">
        <v>737</v>
      </c>
      <c r="H948" t="s">
        <v>738</v>
      </c>
      <c r="I948" t="s">
        <v>739</v>
      </c>
      <c r="J948" t="s">
        <v>739</v>
      </c>
      <c r="K948" s="2">
        <v>45107</v>
      </c>
      <c r="L948">
        <v>229088.95531138001</v>
      </c>
      <c r="M948">
        <v>24055993.366672199</v>
      </c>
      <c r="N948">
        <v>13692851.364266699</v>
      </c>
      <c r="O948">
        <v>2329616.2873440902</v>
      </c>
      <c r="P948">
        <v>-24055993.366672199</v>
      </c>
      <c r="Q948">
        <v>-5069529.0955402004</v>
      </c>
      <c r="R948">
        <v>396257.87256151601</v>
      </c>
      <c r="S948">
        <v>143705.873948505</v>
      </c>
      <c r="T948">
        <v>1334095.6595920301</v>
      </c>
      <c r="U948">
        <v>13739396.4900996</v>
      </c>
      <c r="V948">
        <v>2814559.9937458201</v>
      </c>
    </row>
    <row r="949" spans="1:22" x14ac:dyDescent="0.3">
      <c r="A949" t="str">
        <f t="shared" si="28"/>
        <v>LRENPrevisão</v>
      </c>
      <c r="B949" t="str">
        <f t="shared" si="29"/>
        <v>LRENPrevisãoSet-2023</v>
      </c>
      <c r="C949" t="s">
        <v>115</v>
      </c>
      <c r="D949" t="s">
        <v>116</v>
      </c>
      <c r="E949" t="s">
        <v>102</v>
      </c>
      <c r="F949" t="s">
        <v>736</v>
      </c>
      <c r="G949" t="s">
        <v>737</v>
      </c>
      <c r="H949" t="s">
        <v>738</v>
      </c>
      <c r="I949" t="s">
        <v>739</v>
      </c>
      <c r="J949" t="s">
        <v>739</v>
      </c>
      <c r="K949" s="2">
        <v>45199</v>
      </c>
      <c r="L949">
        <v>230066.50426015601</v>
      </c>
      <c r="M949">
        <v>26007800.575461999</v>
      </c>
      <c r="N949">
        <v>15044575.9054626</v>
      </c>
      <c r="O949">
        <v>2522733.5544501101</v>
      </c>
      <c r="P949">
        <v>-26007800.575461999</v>
      </c>
      <c r="Q949">
        <v>-5377137.3220814401</v>
      </c>
      <c r="R949">
        <v>415089.52671900799</v>
      </c>
      <c r="S949">
        <v>147619.06292083199</v>
      </c>
      <c r="T949">
        <v>1399247.35910558</v>
      </c>
      <c r="U949">
        <v>14907094.9098658</v>
      </c>
      <c r="V949">
        <v>3005936.8687111102</v>
      </c>
    </row>
    <row r="950" spans="1:22" x14ac:dyDescent="0.3">
      <c r="A950" t="str">
        <f t="shared" si="28"/>
        <v>LJQQPrevisão</v>
      </c>
      <c r="B950" t="str">
        <f t="shared" si="29"/>
        <v>LJQQPrevisãoDez-2022</v>
      </c>
      <c r="C950" t="s">
        <v>131</v>
      </c>
      <c r="D950" t="s">
        <v>132</v>
      </c>
      <c r="E950" t="s">
        <v>102</v>
      </c>
      <c r="F950" t="s">
        <v>736</v>
      </c>
      <c r="G950" t="s">
        <v>737</v>
      </c>
      <c r="H950" t="s">
        <v>738</v>
      </c>
      <c r="I950" t="s">
        <v>739</v>
      </c>
      <c r="J950" t="s">
        <v>739</v>
      </c>
      <c r="K950" s="2">
        <v>44925</v>
      </c>
      <c r="L950">
        <v>-2524.8888888905899</v>
      </c>
      <c r="M950">
        <v>1945646.3730158899</v>
      </c>
      <c r="N950">
        <v>896783.73809524998</v>
      </c>
      <c r="O950">
        <v>158765.46825397</v>
      </c>
      <c r="P950">
        <v>-1945646.3730158899</v>
      </c>
      <c r="Q950">
        <v>-677089.03968255594</v>
      </c>
      <c r="R950">
        <v>90342.309523808595</v>
      </c>
      <c r="S950">
        <v>20690.674603175001</v>
      </c>
      <c r="T950">
        <v>86167.4603174605</v>
      </c>
      <c r="U950">
        <v>496121.32539681799</v>
      </c>
      <c r="V950">
        <v>493692.37301587401</v>
      </c>
    </row>
    <row r="951" spans="1:22" x14ac:dyDescent="0.3">
      <c r="A951" t="str">
        <f t="shared" si="28"/>
        <v>LJQQPrevisão</v>
      </c>
      <c r="B951" t="str">
        <f t="shared" si="29"/>
        <v>LJQQPrevisãoMar-2023</v>
      </c>
      <c r="C951" t="s">
        <v>131</v>
      </c>
      <c r="D951" t="s">
        <v>132</v>
      </c>
      <c r="E951" t="s">
        <v>102</v>
      </c>
      <c r="F951" t="s">
        <v>736</v>
      </c>
      <c r="G951" t="s">
        <v>737</v>
      </c>
      <c r="H951" t="s">
        <v>738</v>
      </c>
      <c r="I951" t="s">
        <v>739</v>
      </c>
      <c r="J951" t="s">
        <v>739</v>
      </c>
      <c r="K951" s="2">
        <v>45015</v>
      </c>
      <c r="L951">
        <v>12143.2777777749</v>
      </c>
      <c r="M951">
        <v>1959910.89682542</v>
      </c>
      <c r="N951">
        <v>1079197.2142857199</v>
      </c>
      <c r="O951">
        <v>163980.015873019</v>
      </c>
      <c r="P951">
        <v>-1959910.89682542</v>
      </c>
      <c r="Q951">
        <v>-771699.73015875404</v>
      </c>
      <c r="R951">
        <v>111659.76190476</v>
      </c>
      <c r="S951">
        <v>34678.912698413202</v>
      </c>
      <c r="T951">
        <v>54119.103174603501</v>
      </c>
      <c r="U951">
        <v>486893.087301575</v>
      </c>
      <c r="V951">
        <v>558280.06349206402</v>
      </c>
    </row>
    <row r="952" spans="1:22" x14ac:dyDescent="0.3">
      <c r="A952" t="str">
        <f t="shared" si="28"/>
        <v>LJQQPrevisão</v>
      </c>
      <c r="B952" t="str">
        <f t="shared" si="29"/>
        <v>LJQQPrevisãoJun-2023</v>
      </c>
      <c r="C952" t="s">
        <v>131</v>
      </c>
      <c r="D952" t="s">
        <v>132</v>
      </c>
      <c r="E952" t="s">
        <v>102</v>
      </c>
      <c r="F952" t="s">
        <v>736</v>
      </c>
      <c r="G952" t="s">
        <v>737</v>
      </c>
      <c r="H952" t="s">
        <v>738</v>
      </c>
      <c r="I952" t="s">
        <v>739</v>
      </c>
      <c r="J952" t="s">
        <v>739</v>
      </c>
      <c r="K952" s="2">
        <v>45107</v>
      </c>
      <c r="L952">
        <v>38331.080808076498</v>
      </c>
      <c r="M952">
        <v>1989585.60678214</v>
      </c>
      <c r="N952">
        <v>1368063.39826841</v>
      </c>
      <c r="O952">
        <v>171001.087301591</v>
      </c>
      <c r="P952">
        <v>-1989585.60678214</v>
      </c>
      <c r="Q952">
        <v>-928683.95526698604</v>
      </c>
      <c r="R952">
        <v>142882.14502164201</v>
      </c>
      <c r="S952">
        <v>56883.057720058299</v>
      </c>
      <c r="T952">
        <v>1529.9689754695501</v>
      </c>
      <c r="U952">
        <v>492059.21500719502</v>
      </c>
      <c r="V952">
        <v>649636.78860028903</v>
      </c>
    </row>
    <row r="953" spans="1:22" x14ac:dyDescent="0.3">
      <c r="A953" t="str">
        <f t="shared" si="28"/>
        <v>LJQQPrevisão</v>
      </c>
      <c r="B953" t="str">
        <f t="shared" si="29"/>
        <v>LJQQPrevisãoSet-2023</v>
      </c>
      <c r="C953" t="s">
        <v>131</v>
      </c>
      <c r="D953" t="s">
        <v>132</v>
      </c>
      <c r="E953" t="s">
        <v>102</v>
      </c>
      <c r="F953" t="s">
        <v>736</v>
      </c>
      <c r="G953" t="s">
        <v>737</v>
      </c>
      <c r="H953" t="s">
        <v>738</v>
      </c>
      <c r="I953" t="s">
        <v>739</v>
      </c>
      <c r="J953" t="s">
        <v>739</v>
      </c>
      <c r="K953" s="2">
        <v>45199</v>
      </c>
      <c r="L953">
        <v>78390.151515145393</v>
      </c>
      <c r="M953">
        <v>2043063.2554113001</v>
      </c>
      <c r="N953">
        <v>1784997.25974027</v>
      </c>
      <c r="O953">
        <v>180629.632034637</v>
      </c>
      <c r="P953">
        <v>-2043063.2554113001</v>
      </c>
      <c r="Q953">
        <v>-1161115.70995674</v>
      </c>
      <c r="R953">
        <v>185782.39826839499</v>
      </c>
      <c r="S953">
        <v>88851.857142857596</v>
      </c>
      <c r="T953">
        <v>-74941.891774890697</v>
      </c>
      <c r="U953">
        <v>518456.35497832502</v>
      </c>
      <c r="V953">
        <v>773230.28571428498</v>
      </c>
    </row>
    <row r="954" spans="1:22" x14ac:dyDescent="0.3">
      <c r="A954" t="str">
        <f t="shared" si="28"/>
        <v>INTBPrevisão</v>
      </c>
      <c r="B954" t="str">
        <f t="shared" si="29"/>
        <v>INTBPrevisãoDez-2022</v>
      </c>
      <c r="C954" t="s">
        <v>119</v>
      </c>
      <c r="D954" t="s">
        <v>120</v>
      </c>
      <c r="E954" t="s">
        <v>102</v>
      </c>
      <c r="F954" t="s">
        <v>736</v>
      </c>
      <c r="G954" t="s">
        <v>737</v>
      </c>
      <c r="H954" t="s">
        <v>738</v>
      </c>
      <c r="I954" t="s">
        <v>739</v>
      </c>
      <c r="J954" t="s">
        <v>739</v>
      </c>
      <c r="K954" s="2">
        <v>44925</v>
      </c>
      <c r="L954">
        <v>183791.54761904801</v>
      </c>
      <c r="M954">
        <v>4111394.06349207</v>
      </c>
      <c r="N954">
        <v>2565759.2460317798</v>
      </c>
      <c r="O954">
        <v>758511.18253967899</v>
      </c>
      <c r="P954">
        <v>-4111394.06349207</v>
      </c>
      <c r="Q954">
        <v>-1276723.1984126901</v>
      </c>
      <c r="R954">
        <v>99889.269841269997</v>
      </c>
      <c r="S954">
        <v>51306.9603174605</v>
      </c>
      <c r="T954">
        <v>830737.18253968202</v>
      </c>
      <c r="U954">
        <v>1865552.57142857</v>
      </c>
      <c r="V954">
        <v>1071406.7063492101</v>
      </c>
    </row>
    <row r="955" spans="1:22" x14ac:dyDescent="0.3">
      <c r="A955" t="str">
        <f t="shared" si="28"/>
        <v>INTBPrevisão</v>
      </c>
      <c r="B955" t="str">
        <f t="shared" si="29"/>
        <v>INTBPrevisãoMar-2023</v>
      </c>
      <c r="C955" t="s">
        <v>119</v>
      </c>
      <c r="D955" t="s">
        <v>120</v>
      </c>
      <c r="E955" t="s">
        <v>102</v>
      </c>
      <c r="F955" t="s">
        <v>736</v>
      </c>
      <c r="G955" t="s">
        <v>737</v>
      </c>
      <c r="H955" t="s">
        <v>738</v>
      </c>
      <c r="I955" t="s">
        <v>739</v>
      </c>
      <c r="J955" t="s">
        <v>739</v>
      </c>
      <c r="K955" s="2">
        <v>45015</v>
      </c>
      <c r="L955">
        <v>278718.309523809</v>
      </c>
      <c r="M955">
        <v>4336623.8015873199</v>
      </c>
      <c r="N955">
        <v>2427445.4603175102</v>
      </c>
      <c r="O955">
        <v>807875.49206348695</v>
      </c>
      <c r="P955">
        <v>-4336623.8015873199</v>
      </c>
      <c r="Q955">
        <v>-1468596.1507936399</v>
      </c>
      <c r="R955">
        <v>101628.031746031</v>
      </c>
      <c r="S955">
        <v>88652.9365079368</v>
      </c>
      <c r="T955">
        <v>757892.15873015905</v>
      </c>
      <c r="U955">
        <v>1500182.8809523799</v>
      </c>
      <c r="V955">
        <v>1181261.5634920599</v>
      </c>
    </row>
    <row r="956" spans="1:22" x14ac:dyDescent="0.3">
      <c r="A956" t="str">
        <f t="shared" si="28"/>
        <v>INTBPrevisão</v>
      </c>
      <c r="B956" t="str">
        <f t="shared" si="29"/>
        <v>INTBPrevisãoJun-2023</v>
      </c>
      <c r="C956" t="s">
        <v>119</v>
      </c>
      <c r="D956" t="s">
        <v>120</v>
      </c>
      <c r="E956" t="s">
        <v>102</v>
      </c>
      <c r="F956" t="s">
        <v>736</v>
      </c>
      <c r="G956" t="s">
        <v>737</v>
      </c>
      <c r="H956" t="s">
        <v>738</v>
      </c>
      <c r="I956" t="s">
        <v>739</v>
      </c>
      <c r="J956" t="s">
        <v>739</v>
      </c>
      <c r="K956" s="2">
        <v>45107</v>
      </c>
      <c r="L956">
        <v>419309.209956709</v>
      </c>
      <c r="M956">
        <v>4558483.0375180496</v>
      </c>
      <c r="N956">
        <v>2222876.75901883</v>
      </c>
      <c r="O956">
        <v>860270.55483404698</v>
      </c>
      <c r="P956">
        <v>-4558483.0375180496</v>
      </c>
      <c r="Q956">
        <v>-1714116.7157286999</v>
      </c>
      <c r="R956">
        <v>104198.098845598</v>
      </c>
      <c r="S956">
        <v>141914.69624819601</v>
      </c>
      <c r="T956">
        <v>614493.02453102497</v>
      </c>
      <c r="U956">
        <v>943831.67099567095</v>
      </c>
      <c r="V956">
        <v>1313054.97041847</v>
      </c>
    </row>
    <row r="957" spans="1:22" x14ac:dyDescent="0.3">
      <c r="A957" t="str">
        <f t="shared" si="28"/>
        <v>INTBPrevisão</v>
      </c>
      <c r="B957" t="str">
        <f t="shared" si="29"/>
        <v>INTBPrevisãoSet-2023</v>
      </c>
      <c r="C957" t="s">
        <v>119</v>
      </c>
      <c r="D957" t="s">
        <v>120</v>
      </c>
      <c r="E957" t="s">
        <v>102</v>
      </c>
      <c r="F957" t="s">
        <v>736</v>
      </c>
      <c r="G957" t="s">
        <v>737</v>
      </c>
      <c r="H957" t="s">
        <v>738</v>
      </c>
      <c r="I957" t="s">
        <v>739</v>
      </c>
      <c r="J957" t="s">
        <v>739</v>
      </c>
      <c r="K957" s="2">
        <v>45199</v>
      </c>
      <c r="L957">
        <v>614074.35497835302</v>
      </c>
      <c r="M957">
        <v>4778137.1298701502</v>
      </c>
      <c r="N957">
        <v>1949209.35930745</v>
      </c>
      <c r="O957">
        <v>916336.38095236896</v>
      </c>
      <c r="P957">
        <v>-4778137.1298701502</v>
      </c>
      <c r="Q957">
        <v>-2020213.6709956599</v>
      </c>
      <c r="R957">
        <v>108107.567099566</v>
      </c>
      <c r="S957">
        <v>213687.441558441</v>
      </c>
      <c r="T957">
        <v>388250.35064935102</v>
      </c>
      <c r="U957">
        <v>172062.95670995201</v>
      </c>
      <c r="V957">
        <v>1470884.2554112601</v>
      </c>
    </row>
    <row r="958" spans="1:22" x14ac:dyDescent="0.3">
      <c r="A958" t="str">
        <f t="shared" si="28"/>
        <v>SBFGPrevisão</v>
      </c>
      <c r="B958" t="str">
        <f t="shared" si="29"/>
        <v>SBFGPrevisãoDez-2022</v>
      </c>
      <c r="C958" t="s">
        <v>129</v>
      </c>
      <c r="D958" t="s">
        <v>130</v>
      </c>
      <c r="E958" t="s">
        <v>102</v>
      </c>
      <c r="F958" t="s">
        <v>736</v>
      </c>
      <c r="G958" t="s">
        <v>737</v>
      </c>
      <c r="H958" t="s">
        <v>738</v>
      </c>
      <c r="I958" t="s">
        <v>739</v>
      </c>
      <c r="J958" t="s">
        <v>739</v>
      </c>
      <c r="K958" s="2">
        <v>44925</v>
      </c>
      <c r="L958">
        <v>-32875.767676766402</v>
      </c>
      <c r="M958">
        <v>2114776.84848481</v>
      </c>
      <c r="N958">
        <v>85163.1111111098</v>
      </c>
      <c r="O958">
        <v>30057.7777777745</v>
      </c>
      <c r="P958">
        <v>-2114776.84848481</v>
      </c>
      <c r="Q958">
        <v>550632.05050503497</v>
      </c>
      <c r="R958">
        <v>405.70707070704299</v>
      </c>
      <c r="S958">
        <v>396.78787878785198</v>
      </c>
      <c r="T958">
        <v>248641.69696969999</v>
      </c>
      <c r="U958">
        <v>2446643.3636361202</v>
      </c>
      <c r="V958">
        <v>-31234.898989897501</v>
      </c>
    </row>
    <row r="959" spans="1:22" x14ac:dyDescent="0.3">
      <c r="A959" t="str">
        <f t="shared" si="28"/>
        <v>SBFGPrevisão</v>
      </c>
      <c r="B959" t="str">
        <f t="shared" si="29"/>
        <v>SBFGPrevisãoMar-2023</v>
      </c>
      <c r="C959" t="s">
        <v>129</v>
      </c>
      <c r="D959" t="s">
        <v>130</v>
      </c>
      <c r="E959" t="s">
        <v>102</v>
      </c>
      <c r="F959" t="s">
        <v>736</v>
      </c>
      <c r="G959" t="s">
        <v>737</v>
      </c>
      <c r="H959" t="s">
        <v>738</v>
      </c>
      <c r="I959" t="s">
        <v>739</v>
      </c>
      <c r="J959" t="s">
        <v>739</v>
      </c>
      <c r="K959" s="2">
        <v>45015</v>
      </c>
      <c r="L959">
        <v>-117142.469308466</v>
      </c>
      <c r="M959">
        <v>1604064.81351976</v>
      </c>
      <c r="N959">
        <v>111083.72416472201</v>
      </c>
      <c r="O959">
        <v>7142.2299922258899</v>
      </c>
      <c r="P959">
        <v>-1604064.81351976</v>
      </c>
      <c r="Q959">
        <v>1270811.45376843</v>
      </c>
      <c r="R959">
        <v>487.02408702404898</v>
      </c>
      <c r="S959">
        <v>664.50116550112898</v>
      </c>
      <c r="T959">
        <v>320064.55011655402</v>
      </c>
      <c r="U959">
        <v>2621107.7832164601</v>
      </c>
      <c r="V959">
        <v>-114328.41414141101</v>
      </c>
    </row>
    <row r="960" spans="1:22" x14ac:dyDescent="0.3">
      <c r="A960" t="str">
        <f t="shared" si="28"/>
        <v>SBFGPrevisão</v>
      </c>
      <c r="B960" t="str">
        <f t="shared" si="29"/>
        <v>SBFGPrevisãoJun-2023</v>
      </c>
      <c r="C960" t="s">
        <v>129</v>
      </c>
      <c r="D960" t="s">
        <v>130</v>
      </c>
      <c r="E960" t="s">
        <v>102</v>
      </c>
      <c r="F960" t="s">
        <v>736</v>
      </c>
      <c r="G960" t="s">
        <v>737</v>
      </c>
      <c r="H960" t="s">
        <v>738</v>
      </c>
      <c r="I960" t="s">
        <v>739</v>
      </c>
      <c r="J960" t="s">
        <v>739</v>
      </c>
      <c r="K960" s="2">
        <v>45107</v>
      </c>
      <c r="L960">
        <v>-236261.113331108</v>
      </c>
      <c r="M960">
        <v>947226.10123202903</v>
      </c>
      <c r="N960">
        <v>146624.04018203801</v>
      </c>
      <c r="O960">
        <v>-23259.5578865629</v>
      </c>
      <c r="P960">
        <v>-947226.10123202903</v>
      </c>
      <c r="Q960">
        <v>2200336.1843711501</v>
      </c>
      <c r="R960">
        <v>598.22854922849899</v>
      </c>
      <c r="S960">
        <v>1037.27439227434</v>
      </c>
      <c r="T960">
        <v>402768.322344327</v>
      </c>
      <c r="U960">
        <v>2860270.3416579198</v>
      </c>
      <c r="V960">
        <v>-232186.94794094301</v>
      </c>
    </row>
    <row r="961" spans="1:22" x14ac:dyDescent="0.3">
      <c r="A961" t="str">
        <f t="shared" si="28"/>
        <v>SBFGPrevisão</v>
      </c>
      <c r="B961" t="str">
        <f t="shared" si="29"/>
        <v>SBFGPrevisãoSet-2023</v>
      </c>
      <c r="C961" t="s">
        <v>129</v>
      </c>
      <c r="D961" t="s">
        <v>130</v>
      </c>
      <c r="E961" t="s">
        <v>102</v>
      </c>
      <c r="F961" t="s">
        <v>736</v>
      </c>
      <c r="G961" t="s">
        <v>737</v>
      </c>
      <c r="H961" t="s">
        <v>738</v>
      </c>
      <c r="I961" t="s">
        <v>739</v>
      </c>
      <c r="J961" t="s">
        <v>739</v>
      </c>
      <c r="K961" s="2">
        <v>45199</v>
      </c>
      <c r="L961">
        <v>-395213.693528687</v>
      </c>
      <c r="M961">
        <v>133958.511155416</v>
      </c>
      <c r="N961">
        <v>192956.461649459</v>
      </c>
      <c r="O961">
        <v>-62218.397824403801</v>
      </c>
      <c r="P961">
        <v>-133958.511155416</v>
      </c>
      <c r="Q961">
        <v>3362775.6820956399</v>
      </c>
      <c r="R961">
        <v>744.02286602280299</v>
      </c>
      <c r="S961">
        <v>1529.9234099233399</v>
      </c>
      <c r="T961">
        <v>497422.40293040901</v>
      </c>
      <c r="U961">
        <v>3178308.37462484</v>
      </c>
      <c r="V961">
        <v>-389810.00543899799</v>
      </c>
    </row>
    <row r="962" spans="1:22" x14ac:dyDescent="0.3">
      <c r="A962" t="str">
        <f t="shared" ref="A962:A1025" si="30">_xlfn.CONCAT(D962,F962)</f>
        <v>CGRAPrevisão</v>
      </c>
      <c r="B962" t="str">
        <f t="shared" ref="B962:B1025" si="31">_xlfn.CONCAT(D962,F962,PROPER(TEXT(K962,"mmm-aaaa")))</f>
        <v>CGRAPrevisãoDez-2022</v>
      </c>
      <c r="C962" t="s">
        <v>133</v>
      </c>
      <c r="D962" t="s">
        <v>134</v>
      </c>
      <c r="E962" t="s">
        <v>102</v>
      </c>
      <c r="F962" t="s">
        <v>736</v>
      </c>
      <c r="G962" t="s">
        <v>737</v>
      </c>
      <c r="H962" t="s">
        <v>738</v>
      </c>
      <c r="I962" t="s">
        <v>739</v>
      </c>
      <c r="J962" t="s">
        <v>739</v>
      </c>
      <c r="K962" s="2">
        <v>44925</v>
      </c>
      <c r="L962">
        <v>4718685.6710789604</v>
      </c>
      <c r="M962">
        <v>-156196323.27114201</v>
      </c>
      <c r="N962">
        <v>-69359379.3893442</v>
      </c>
      <c r="O962">
        <v>-43294371.960902497</v>
      </c>
      <c r="P962">
        <v>156196323.27114201</v>
      </c>
      <c r="Q962">
        <v>19247981.844570901</v>
      </c>
      <c r="R962">
        <v>-1065182.2331711201</v>
      </c>
      <c r="S962">
        <v>-2289338.8540023402</v>
      </c>
      <c r="T962">
        <v>-51709421.5736119</v>
      </c>
      <c r="U962">
        <v>-117263434.14573599</v>
      </c>
      <c r="V962">
        <v>-20982773.319675598</v>
      </c>
    </row>
    <row r="963" spans="1:22" x14ac:dyDescent="0.3">
      <c r="A963" t="str">
        <f t="shared" si="30"/>
        <v>CGRAPrevisão</v>
      </c>
      <c r="B963" t="str">
        <f t="shared" si="31"/>
        <v>CGRAPrevisãoMar-2023</v>
      </c>
      <c r="C963" t="s">
        <v>133</v>
      </c>
      <c r="D963" t="s">
        <v>134</v>
      </c>
      <c r="E963" t="s">
        <v>102</v>
      </c>
      <c r="F963" t="s">
        <v>736</v>
      </c>
      <c r="G963" t="s">
        <v>737</v>
      </c>
      <c r="H963" t="s">
        <v>738</v>
      </c>
      <c r="I963" t="s">
        <v>739</v>
      </c>
      <c r="J963" t="s">
        <v>739</v>
      </c>
      <c r="K963" s="2">
        <v>45015</v>
      </c>
      <c r="L963">
        <v>2687674.0371097499</v>
      </c>
      <c r="M963">
        <v>-330742776.36974502</v>
      </c>
      <c r="N963">
        <v>-140656347.474439</v>
      </c>
      <c r="O963">
        <v>-83409161.869864196</v>
      </c>
      <c r="P963">
        <v>330742776.36974502</v>
      </c>
      <c r="Q963">
        <v>46739817.329634599</v>
      </c>
      <c r="R963">
        <v>-3278395.12581348</v>
      </c>
      <c r="S963">
        <v>-4307055.3371993201</v>
      </c>
      <c r="T963">
        <v>-106284071.253466</v>
      </c>
      <c r="U963">
        <v>-246349772.254412</v>
      </c>
      <c r="V963">
        <v>-44050194.099863097</v>
      </c>
    </row>
    <row r="964" spans="1:22" x14ac:dyDescent="0.3">
      <c r="A964" t="str">
        <f t="shared" si="30"/>
        <v>CGRAPrevisão</v>
      </c>
      <c r="B964" t="str">
        <f t="shared" si="31"/>
        <v>CGRAPrevisãoJun-2023</v>
      </c>
      <c r="C964" t="s">
        <v>133</v>
      </c>
      <c r="D964" t="s">
        <v>134</v>
      </c>
      <c r="E964" t="s">
        <v>102</v>
      </c>
      <c r="F964" t="s">
        <v>736</v>
      </c>
      <c r="G964" t="s">
        <v>737</v>
      </c>
      <c r="H964" t="s">
        <v>738</v>
      </c>
      <c r="I964" t="s">
        <v>739</v>
      </c>
      <c r="J964" t="s">
        <v>739</v>
      </c>
      <c r="K964" s="2">
        <v>45107</v>
      </c>
      <c r="L964">
        <v>423888.477512674</v>
      </c>
      <c r="M964">
        <v>-524053893.26717103</v>
      </c>
      <c r="N964">
        <v>-219197514.76479799</v>
      </c>
      <c r="O964">
        <v>-128052702.305739</v>
      </c>
      <c r="P964">
        <v>524053893.26717103</v>
      </c>
      <c r="Q964">
        <v>77226412.288607299</v>
      </c>
      <c r="R964">
        <v>-5767965.8111940399</v>
      </c>
      <c r="S964">
        <v>-6530555.7762293397</v>
      </c>
      <c r="T964">
        <v>-166750061.28176999</v>
      </c>
      <c r="U964">
        <v>-389214714.47374898</v>
      </c>
      <c r="V964">
        <v>-69436349.082989305</v>
      </c>
    </row>
    <row r="965" spans="1:22" x14ac:dyDescent="0.3">
      <c r="A965" t="str">
        <f t="shared" si="30"/>
        <v>CGRAPrevisão</v>
      </c>
      <c r="B965" t="str">
        <f t="shared" si="31"/>
        <v>CGRAPrevisãoSet-2023</v>
      </c>
      <c r="C965" t="s">
        <v>133</v>
      </c>
      <c r="D965" t="s">
        <v>134</v>
      </c>
      <c r="E965" t="s">
        <v>102</v>
      </c>
      <c r="F965" t="s">
        <v>736</v>
      </c>
      <c r="G965" t="s">
        <v>737</v>
      </c>
      <c r="H965" t="s">
        <v>738</v>
      </c>
      <c r="I965" t="s">
        <v>739</v>
      </c>
      <c r="J965" t="s">
        <v>739</v>
      </c>
      <c r="K965" s="2">
        <v>45199</v>
      </c>
      <c r="L965">
        <v>-2082941.15671</v>
      </c>
      <c r="M965">
        <v>-736939483.46334696</v>
      </c>
      <c r="N965">
        <v>-305279777.12140602</v>
      </c>
      <c r="O965">
        <v>-177426772.17038199</v>
      </c>
      <c r="P965">
        <v>736939483.46334696</v>
      </c>
      <c r="Q965">
        <v>110838140.55574401</v>
      </c>
      <c r="R965">
        <v>-8546995.4033105392</v>
      </c>
      <c r="S965">
        <v>-8968280.8712096401</v>
      </c>
      <c r="T965">
        <v>-233354283.633156</v>
      </c>
      <c r="U965">
        <v>-546450711.85604</v>
      </c>
      <c r="V965">
        <v>-97236728.527335495</v>
      </c>
    </row>
    <row r="966" spans="1:22" x14ac:dyDescent="0.3">
      <c r="A966" t="str">
        <f t="shared" si="30"/>
        <v>GSHPPrevisão</v>
      </c>
      <c r="B966" t="str">
        <f t="shared" si="31"/>
        <v>GSHPPrevisãoDez-2022</v>
      </c>
      <c r="C966" t="s">
        <v>147</v>
      </c>
      <c r="D966" t="s">
        <v>148</v>
      </c>
      <c r="E966" t="s">
        <v>102</v>
      </c>
      <c r="F966" t="s">
        <v>736</v>
      </c>
      <c r="G966" t="s">
        <v>737</v>
      </c>
      <c r="H966" t="s">
        <v>738</v>
      </c>
      <c r="I966" t="s">
        <v>739</v>
      </c>
      <c r="J966" t="s">
        <v>739</v>
      </c>
      <c r="K966" s="2">
        <v>44925</v>
      </c>
      <c r="L966">
        <v>-51406.912655968001</v>
      </c>
      <c r="M966">
        <v>-342857.03115220403</v>
      </c>
      <c r="N966">
        <v>35889.414141524998</v>
      </c>
      <c r="O966">
        <v>27771.3708513729</v>
      </c>
      <c r="P966">
        <v>342857.03115220403</v>
      </c>
      <c r="Q966">
        <v>-13391.847211607001</v>
      </c>
      <c r="R966">
        <v>2289.3588829475102</v>
      </c>
      <c r="S966">
        <v>28156.995331465201</v>
      </c>
      <c r="T966">
        <v>-326174.09065448702</v>
      </c>
      <c r="U966">
        <v>-1447197.0157881901</v>
      </c>
      <c r="V966">
        <v>-51010.2218826885</v>
      </c>
    </row>
    <row r="967" spans="1:22" x14ac:dyDescent="0.3">
      <c r="A967" t="str">
        <f t="shared" si="30"/>
        <v>GSHPPrevisão</v>
      </c>
      <c r="B967" t="str">
        <f t="shared" si="31"/>
        <v>GSHPPrevisãoMar-2023</v>
      </c>
      <c r="C967" t="s">
        <v>147</v>
      </c>
      <c r="D967" t="s">
        <v>148</v>
      </c>
      <c r="E967" t="s">
        <v>102</v>
      </c>
      <c r="F967" t="s">
        <v>736</v>
      </c>
      <c r="G967" t="s">
        <v>737</v>
      </c>
      <c r="H967" t="s">
        <v>738</v>
      </c>
      <c r="I967" t="s">
        <v>739</v>
      </c>
      <c r="J967" t="s">
        <v>739</v>
      </c>
      <c r="K967" s="2">
        <v>45015</v>
      </c>
      <c r="L967">
        <v>-43232.736020201199</v>
      </c>
      <c r="M967">
        <v>-435493.733510783</v>
      </c>
      <c r="N967">
        <v>49588.563598868903</v>
      </c>
      <c r="O967">
        <v>31922.880331823999</v>
      </c>
      <c r="P967">
        <v>435493.733510783</v>
      </c>
      <c r="Q967">
        <v>-3553.3086738358802</v>
      </c>
      <c r="R967">
        <v>2434.7632628813999</v>
      </c>
      <c r="S967">
        <v>29192.786307314502</v>
      </c>
      <c r="T967">
        <v>-416323.06524478103</v>
      </c>
      <c r="U967">
        <v>-1697779.6529776901</v>
      </c>
      <c r="V967">
        <v>-43380.803118621203</v>
      </c>
    </row>
    <row r="968" spans="1:22" x14ac:dyDescent="0.3">
      <c r="A968" t="str">
        <f t="shared" si="30"/>
        <v>GSHPPrevisão</v>
      </c>
      <c r="B968" t="str">
        <f t="shared" si="31"/>
        <v>GSHPPrevisãoJun-2023</v>
      </c>
      <c r="C968" t="s">
        <v>147</v>
      </c>
      <c r="D968" t="s">
        <v>148</v>
      </c>
      <c r="E968" t="s">
        <v>102</v>
      </c>
      <c r="F968" t="s">
        <v>736</v>
      </c>
      <c r="G968" t="s">
        <v>737</v>
      </c>
      <c r="H968" t="s">
        <v>738</v>
      </c>
      <c r="I968" t="s">
        <v>739</v>
      </c>
      <c r="J968" t="s">
        <v>739</v>
      </c>
      <c r="K968" s="2">
        <v>45107</v>
      </c>
      <c r="L968">
        <v>-33945.497746019297</v>
      </c>
      <c r="M968">
        <v>-528286.08032882202</v>
      </c>
      <c r="N968">
        <v>65543.105115275001</v>
      </c>
      <c r="O968">
        <v>36435.608960376703</v>
      </c>
      <c r="P968">
        <v>528286.08032882202</v>
      </c>
      <c r="Q968">
        <v>5494.8264920855199</v>
      </c>
      <c r="R968">
        <v>2602.7581159630399</v>
      </c>
      <c r="S968">
        <v>30168.641979881799</v>
      </c>
      <c r="T968">
        <v>-510748.00337630999</v>
      </c>
      <c r="U968">
        <v>-1965331.2247615799</v>
      </c>
      <c r="V968">
        <v>-34764.944173670701</v>
      </c>
    </row>
    <row r="969" spans="1:22" x14ac:dyDescent="0.3">
      <c r="A969" t="str">
        <f t="shared" si="30"/>
        <v>GSHPPrevisão</v>
      </c>
      <c r="B969" t="str">
        <f t="shared" si="31"/>
        <v>GSHPPrevisãoSet-2023</v>
      </c>
      <c r="C969" t="s">
        <v>147</v>
      </c>
      <c r="D969" t="s">
        <v>148</v>
      </c>
      <c r="E969" t="s">
        <v>102</v>
      </c>
      <c r="F969" t="s">
        <v>736</v>
      </c>
      <c r="G969" t="s">
        <v>737</v>
      </c>
      <c r="H969" t="s">
        <v>738</v>
      </c>
      <c r="I969" t="s">
        <v>739</v>
      </c>
      <c r="J969" t="s">
        <v>739</v>
      </c>
      <c r="K969" s="2">
        <v>45199</v>
      </c>
      <c r="L969">
        <v>-23496.443672541602</v>
      </c>
      <c r="M969">
        <v>-620928.23679592996</v>
      </c>
      <c r="N969">
        <v>83879.183829170594</v>
      </c>
      <c r="O969">
        <v>41323.6837722044</v>
      </c>
      <c r="P969">
        <v>620928.23679592996</v>
      </c>
      <c r="Q969">
        <v>13668.595221748499</v>
      </c>
      <c r="R969">
        <v>2794.5889447908799</v>
      </c>
      <c r="S969">
        <v>31078.4950651646</v>
      </c>
      <c r="T969">
        <v>-609409.75476057199</v>
      </c>
      <c r="U969">
        <v>-2250306.0829585399</v>
      </c>
      <c r="V969">
        <v>-25121.899069292402</v>
      </c>
    </row>
    <row r="970" spans="1:22" x14ac:dyDescent="0.3">
      <c r="A970" t="str">
        <f t="shared" si="30"/>
        <v>ENJUPrevisão</v>
      </c>
      <c r="B970" t="str">
        <f t="shared" si="31"/>
        <v>ENJUPrevisãoDez-2022</v>
      </c>
      <c r="C970" t="s">
        <v>139</v>
      </c>
      <c r="D970" t="s">
        <v>140</v>
      </c>
      <c r="E970" t="s">
        <v>102</v>
      </c>
      <c r="F970" t="s">
        <v>736</v>
      </c>
      <c r="G970" t="s">
        <v>737</v>
      </c>
      <c r="H970" t="s">
        <v>738</v>
      </c>
      <c r="I970" t="s">
        <v>739</v>
      </c>
      <c r="J970" t="s">
        <v>739</v>
      </c>
      <c r="K970" s="2">
        <v>44925</v>
      </c>
      <c r="L970">
        <v>11539.690476190101</v>
      </c>
      <c r="M970">
        <v>248244.40476188701</v>
      </c>
      <c r="N970">
        <v>179859.007936498</v>
      </c>
      <c r="O970">
        <v>22167.436507936702</v>
      </c>
      <c r="P970">
        <v>-248244.40476188701</v>
      </c>
      <c r="Q970">
        <v>-54112.095238095098</v>
      </c>
      <c r="R970">
        <v>15945.0793650794</v>
      </c>
      <c r="S970">
        <v>3819.1746031745101</v>
      </c>
      <c r="T970">
        <v>-44146.793650799802</v>
      </c>
      <c r="U970">
        <v>187479.14285714601</v>
      </c>
      <c r="V970">
        <v>40778.952380952302</v>
      </c>
    </row>
    <row r="971" spans="1:22" x14ac:dyDescent="0.3">
      <c r="A971" t="str">
        <f t="shared" si="30"/>
        <v>ENJUPrevisão</v>
      </c>
      <c r="B971" t="str">
        <f t="shared" si="31"/>
        <v>ENJUPrevisãoMar-2023</v>
      </c>
      <c r="C971" t="s">
        <v>139</v>
      </c>
      <c r="D971" t="s">
        <v>140</v>
      </c>
      <c r="E971" t="s">
        <v>102</v>
      </c>
      <c r="F971" t="s">
        <v>736</v>
      </c>
      <c r="G971" t="s">
        <v>737</v>
      </c>
      <c r="H971" t="s">
        <v>738</v>
      </c>
      <c r="I971" t="s">
        <v>739</v>
      </c>
      <c r="J971" t="s">
        <v>739</v>
      </c>
      <c r="K971" s="2">
        <v>45015</v>
      </c>
      <c r="L971">
        <v>39732.238095237699</v>
      </c>
      <c r="M971">
        <v>32127.880952354801</v>
      </c>
      <c r="N971">
        <v>-28951.753968269499</v>
      </c>
      <c r="O971">
        <v>16742.365079365401</v>
      </c>
      <c r="P971">
        <v>-32127.880952354801</v>
      </c>
      <c r="Q971">
        <v>-61620.4523809522</v>
      </c>
      <c r="R971">
        <v>15034.4603174604</v>
      </c>
      <c r="S971">
        <v>8462.0793650792293</v>
      </c>
      <c r="T971">
        <v>-108297.60317461099</v>
      </c>
      <c r="U971">
        <v>-34706.404761901496</v>
      </c>
      <c r="V971">
        <v>43913.690476190401</v>
      </c>
    </row>
    <row r="972" spans="1:22" x14ac:dyDescent="0.3">
      <c r="A972" t="str">
        <f t="shared" si="30"/>
        <v>ENJUPrevisão</v>
      </c>
      <c r="B972" t="str">
        <f t="shared" si="31"/>
        <v>ENJUPrevisãoJun-2023</v>
      </c>
      <c r="C972" t="s">
        <v>139</v>
      </c>
      <c r="D972" t="s">
        <v>140</v>
      </c>
      <c r="E972" t="s">
        <v>102</v>
      </c>
      <c r="F972" t="s">
        <v>736</v>
      </c>
      <c r="G972" t="s">
        <v>737</v>
      </c>
      <c r="H972" t="s">
        <v>738</v>
      </c>
      <c r="I972" t="s">
        <v>739</v>
      </c>
      <c r="J972" t="s">
        <v>739</v>
      </c>
      <c r="K972" s="2">
        <v>45107</v>
      </c>
      <c r="L972">
        <v>77153.809523809105</v>
      </c>
      <c r="M972">
        <v>-259211.98051951901</v>
      </c>
      <c r="N972">
        <v>-304701.94227996602</v>
      </c>
      <c r="O972">
        <v>6133.4321789327696</v>
      </c>
      <c r="P972">
        <v>259211.98051951901</v>
      </c>
      <c r="Q972">
        <v>-71459.056277056094</v>
      </c>
      <c r="R972">
        <v>12826.3650793652</v>
      </c>
      <c r="S972">
        <v>15357.269841269601</v>
      </c>
      <c r="T972">
        <v>-205182.25685426799</v>
      </c>
      <c r="U972">
        <v>-333538.885281383</v>
      </c>
      <c r="V972">
        <v>47090.729437229202</v>
      </c>
    </row>
    <row r="973" spans="1:22" x14ac:dyDescent="0.3">
      <c r="A973" t="str">
        <f t="shared" si="30"/>
        <v>ENJUPrevisão</v>
      </c>
      <c r="B973" t="str">
        <f t="shared" si="31"/>
        <v>ENJUPrevisãoSet-2023</v>
      </c>
      <c r="C973" t="s">
        <v>139</v>
      </c>
      <c r="D973" t="s">
        <v>140</v>
      </c>
      <c r="E973" t="s">
        <v>102</v>
      </c>
      <c r="F973" t="s">
        <v>736</v>
      </c>
      <c r="G973" t="s">
        <v>737</v>
      </c>
      <c r="H973" t="s">
        <v>738</v>
      </c>
      <c r="I973" t="s">
        <v>739</v>
      </c>
      <c r="J973" t="s">
        <v>739</v>
      </c>
      <c r="K973" s="2">
        <v>45199</v>
      </c>
      <c r="L973">
        <v>124844.238095237</v>
      </c>
      <c r="M973">
        <v>-632850.61904767295</v>
      </c>
      <c r="N973">
        <v>-652886.26406929805</v>
      </c>
      <c r="O973">
        <v>-10651.493506492599</v>
      </c>
      <c r="P973">
        <v>632850.61904767295</v>
      </c>
      <c r="Q973">
        <v>-84053.316017315694</v>
      </c>
      <c r="R973">
        <v>9102.2987012989106</v>
      </c>
      <c r="S973">
        <v>24875.432900432599</v>
      </c>
      <c r="T973">
        <v>-340507.22943724302</v>
      </c>
      <c r="U973">
        <v>-716358.26839826803</v>
      </c>
      <c r="V973">
        <v>50311.372294371999</v>
      </c>
    </row>
    <row r="974" spans="1:22" x14ac:dyDescent="0.3">
      <c r="A974" t="str">
        <f t="shared" si="30"/>
        <v>PNVLPrevisão</v>
      </c>
      <c r="B974" t="str">
        <f t="shared" si="31"/>
        <v>PNVLPrevisãoDez-2022</v>
      </c>
      <c r="C974" t="s">
        <v>127</v>
      </c>
      <c r="D974" t="s">
        <v>128</v>
      </c>
      <c r="E974" t="s">
        <v>102</v>
      </c>
      <c r="F974" t="s">
        <v>736</v>
      </c>
      <c r="G974" t="s">
        <v>737</v>
      </c>
      <c r="H974" t="s">
        <v>738</v>
      </c>
      <c r="I974" t="s">
        <v>739</v>
      </c>
      <c r="J974" t="s">
        <v>739</v>
      </c>
      <c r="K974" s="2">
        <v>44925</v>
      </c>
      <c r="L974">
        <v>21364.2400475344</v>
      </c>
      <c r="M974">
        <v>3002644.5638738899</v>
      </c>
      <c r="N974">
        <v>1603468.95755882</v>
      </c>
      <c r="O974">
        <v>466322.40047533199</v>
      </c>
      <c r="P974">
        <v>-3002644.5638738899</v>
      </c>
      <c r="Q974">
        <v>-888568.74042952701</v>
      </c>
      <c r="R974">
        <v>77606.389016212401</v>
      </c>
      <c r="S974">
        <v>39364.1599185124</v>
      </c>
      <c r="T974">
        <v>179370.07019777899</v>
      </c>
      <c r="U974">
        <v>1326785.74857828</v>
      </c>
      <c r="V974">
        <v>1052025.11883531</v>
      </c>
    </row>
    <row r="975" spans="1:22" x14ac:dyDescent="0.3">
      <c r="A975" t="str">
        <f t="shared" si="30"/>
        <v>PNVLPrevisão</v>
      </c>
      <c r="B975" t="str">
        <f t="shared" si="31"/>
        <v>PNVLPrevisãoMar-2023</v>
      </c>
      <c r="C975" t="s">
        <v>127</v>
      </c>
      <c r="D975" t="s">
        <v>128</v>
      </c>
      <c r="E975" t="s">
        <v>102</v>
      </c>
      <c r="F975" t="s">
        <v>736</v>
      </c>
      <c r="G975" t="s">
        <v>737</v>
      </c>
      <c r="H975" t="s">
        <v>738</v>
      </c>
      <c r="I975" t="s">
        <v>739</v>
      </c>
      <c r="J975" t="s">
        <v>739</v>
      </c>
      <c r="K975" s="2">
        <v>45015</v>
      </c>
      <c r="L975">
        <v>22231.631474867001</v>
      </c>
      <c r="M975">
        <v>3227972.05941755</v>
      </c>
      <c r="N975">
        <v>1705730.5068950299</v>
      </c>
      <c r="O975">
        <v>493123.87255015603</v>
      </c>
      <c r="P975">
        <v>-3227972.05941755</v>
      </c>
      <c r="Q975">
        <v>-938016.30436321197</v>
      </c>
      <c r="R975">
        <v>82500.354914119802</v>
      </c>
      <c r="S975">
        <v>41602.369025250802</v>
      </c>
      <c r="T975">
        <v>196121.692707226</v>
      </c>
      <c r="U975">
        <v>1434953.5522658599</v>
      </c>
      <c r="V975">
        <v>1116838.81685113</v>
      </c>
    </row>
    <row r="976" spans="1:22" x14ac:dyDescent="0.3">
      <c r="A976" t="str">
        <f t="shared" si="30"/>
        <v>PNVLPrevisão</v>
      </c>
      <c r="B976" t="str">
        <f t="shared" si="31"/>
        <v>PNVLPrevisãoJun-2023</v>
      </c>
      <c r="C976" t="s">
        <v>127</v>
      </c>
      <c r="D976" t="s">
        <v>128</v>
      </c>
      <c r="E976" t="s">
        <v>102</v>
      </c>
      <c r="F976" t="s">
        <v>736</v>
      </c>
      <c r="G976" t="s">
        <v>737</v>
      </c>
      <c r="H976" t="s">
        <v>738</v>
      </c>
      <c r="I976" t="s">
        <v>739</v>
      </c>
      <c r="J976" t="s">
        <v>739</v>
      </c>
      <c r="K976" s="2">
        <v>45107</v>
      </c>
      <c r="L976">
        <v>23166.131201202701</v>
      </c>
      <c r="M976">
        <v>3467536.2669442301</v>
      </c>
      <c r="N976">
        <v>1813762.1015051999</v>
      </c>
      <c r="O976">
        <v>521504.92857328901</v>
      </c>
      <c r="P976">
        <v>-3467536.2669442301</v>
      </c>
      <c r="Q976">
        <v>-990033.839970915</v>
      </c>
      <c r="R976">
        <v>87721.729534005703</v>
      </c>
      <c r="S976">
        <v>44056.553777490997</v>
      </c>
      <c r="T976">
        <v>214079.312386937</v>
      </c>
      <c r="U976">
        <v>1550820.52603394</v>
      </c>
      <c r="V976">
        <v>1186917.2766710001</v>
      </c>
    </row>
    <row r="977" spans="1:22" x14ac:dyDescent="0.3">
      <c r="A977" t="str">
        <f t="shared" si="30"/>
        <v>PNVLPrevisão</v>
      </c>
      <c r="B977" t="str">
        <f t="shared" si="31"/>
        <v>PNVLPrevisãoSet-2023</v>
      </c>
      <c r="C977" t="s">
        <v>127</v>
      </c>
      <c r="D977" t="s">
        <v>128</v>
      </c>
      <c r="E977" t="s">
        <v>102</v>
      </c>
      <c r="F977" t="s">
        <v>736</v>
      </c>
      <c r="G977" t="s">
        <v>737</v>
      </c>
      <c r="H977" t="s">
        <v>738</v>
      </c>
      <c r="I977" t="s">
        <v>739</v>
      </c>
      <c r="J977" t="s">
        <v>739</v>
      </c>
      <c r="K977" s="2">
        <v>45199</v>
      </c>
      <c r="L977">
        <v>24170.7378959983</v>
      </c>
      <c r="M977">
        <v>3721812.4793811501</v>
      </c>
      <c r="N977">
        <v>1927736.87797791</v>
      </c>
      <c r="O977">
        <v>551517.61854051298</v>
      </c>
      <c r="P977">
        <v>-3721812.4793811501</v>
      </c>
      <c r="Q977">
        <v>-1044699.8369137601</v>
      </c>
      <c r="R977">
        <v>93283.307136063595</v>
      </c>
      <c r="S977">
        <v>46736.332320148598</v>
      </c>
      <c r="T977">
        <v>233284.83711723101</v>
      </c>
      <c r="U977">
        <v>1674670.50082065</v>
      </c>
      <c r="V977">
        <v>1262490.2440242199</v>
      </c>
    </row>
    <row r="978" spans="1:22" x14ac:dyDescent="0.3">
      <c r="A978" t="str">
        <f t="shared" si="30"/>
        <v>DMVFPrevisão</v>
      </c>
      <c r="B978" t="str">
        <f t="shared" si="31"/>
        <v>DMVFPrevisãoDez-2022</v>
      </c>
      <c r="C978" t="s">
        <v>135</v>
      </c>
      <c r="D978" t="s">
        <v>136</v>
      </c>
      <c r="E978" t="s">
        <v>102</v>
      </c>
      <c r="F978" t="s">
        <v>736</v>
      </c>
      <c r="G978" t="s">
        <v>737</v>
      </c>
      <c r="H978" t="s">
        <v>738</v>
      </c>
      <c r="I978" t="s">
        <v>739</v>
      </c>
      <c r="J978" t="s">
        <v>739</v>
      </c>
      <c r="K978" s="2">
        <v>44925</v>
      </c>
      <c r="L978">
        <v>10342.5476190475</v>
      </c>
      <c r="M978">
        <v>874921.03174602997</v>
      </c>
      <c r="N978">
        <v>25590.253968255201</v>
      </c>
      <c r="O978">
        <v>641.95238095230798</v>
      </c>
      <c r="P978">
        <v>-874921.03174602997</v>
      </c>
      <c r="Q978">
        <v>1099.68253968261</v>
      </c>
      <c r="R978">
        <v>0</v>
      </c>
      <c r="S978">
        <v>482.92063492062499</v>
      </c>
      <c r="T978">
        <v>0</v>
      </c>
      <c r="U978">
        <v>876203.88095239305</v>
      </c>
      <c r="V978">
        <v>10318.4444444444</v>
      </c>
    </row>
    <row r="979" spans="1:22" x14ac:dyDescent="0.3">
      <c r="A979" t="str">
        <f t="shared" si="30"/>
        <v>DMVFPrevisão</v>
      </c>
      <c r="B979" t="str">
        <f t="shared" si="31"/>
        <v>DMVFPrevisãoMar-2023</v>
      </c>
      <c r="C979" t="s">
        <v>135</v>
      </c>
      <c r="D979" t="s">
        <v>136</v>
      </c>
      <c r="E979" t="s">
        <v>102</v>
      </c>
      <c r="F979" t="s">
        <v>736</v>
      </c>
      <c r="G979" t="s">
        <v>737</v>
      </c>
      <c r="H979" t="s">
        <v>738</v>
      </c>
      <c r="I979" t="s">
        <v>739</v>
      </c>
      <c r="J979" t="s">
        <v>739</v>
      </c>
      <c r="K979" s="2">
        <v>45015</v>
      </c>
      <c r="L979">
        <v>14853.309523809399</v>
      </c>
      <c r="M979">
        <v>943200.81746031297</v>
      </c>
      <c r="N979">
        <v>51814.373015874298</v>
      </c>
      <c r="O979">
        <v>-4757.9761904762599</v>
      </c>
      <c r="P979">
        <v>-943200.81746031297</v>
      </c>
      <c r="Q979">
        <v>2674.3253968255299</v>
      </c>
      <c r="R979">
        <v>0</v>
      </c>
      <c r="S979">
        <v>762.53968253966605</v>
      </c>
      <c r="T979">
        <v>0</v>
      </c>
      <c r="U979">
        <v>946403.476190491</v>
      </c>
      <c r="V979">
        <v>15294.4444444444</v>
      </c>
    </row>
    <row r="980" spans="1:22" x14ac:dyDescent="0.3">
      <c r="A980" t="str">
        <f t="shared" si="30"/>
        <v>DMVFPrevisão</v>
      </c>
      <c r="B980" t="str">
        <f t="shared" si="31"/>
        <v>DMVFPrevisãoJun-2023</v>
      </c>
      <c r="C980" t="s">
        <v>135</v>
      </c>
      <c r="D980" t="s">
        <v>136</v>
      </c>
      <c r="E980" t="s">
        <v>102</v>
      </c>
      <c r="F980" t="s">
        <v>736</v>
      </c>
      <c r="G980" t="s">
        <v>737</v>
      </c>
      <c r="H980" t="s">
        <v>738</v>
      </c>
      <c r="I980" t="s">
        <v>739</v>
      </c>
      <c r="J980" t="s">
        <v>739</v>
      </c>
      <c r="K980" s="2">
        <v>45107</v>
      </c>
      <c r="L980">
        <v>20021.664502164302</v>
      </c>
      <c r="M980">
        <v>1061558.2005771899</v>
      </c>
      <c r="N980">
        <v>99904.453102453903</v>
      </c>
      <c r="O980">
        <v>-13283.043290043301</v>
      </c>
      <c r="P980">
        <v>-1061558.2005771899</v>
      </c>
      <c r="Q980">
        <v>4400.2669552671696</v>
      </c>
      <c r="R980">
        <v>0</v>
      </c>
      <c r="S980">
        <v>1152.3167388167101</v>
      </c>
      <c r="T980">
        <v>0</v>
      </c>
      <c r="U980">
        <v>1067065.01298703</v>
      </c>
      <c r="V980">
        <v>21124.186868686698</v>
      </c>
    </row>
    <row r="981" spans="1:22" x14ac:dyDescent="0.3">
      <c r="A981" t="str">
        <f t="shared" si="30"/>
        <v>DMVFPrevisão</v>
      </c>
      <c r="B981" t="str">
        <f t="shared" si="31"/>
        <v>DMVFPrevisãoSet-2023</v>
      </c>
      <c r="C981" t="s">
        <v>135</v>
      </c>
      <c r="D981" t="s">
        <v>136</v>
      </c>
      <c r="E981" t="s">
        <v>102</v>
      </c>
      <c r="F981" t="s">
        <v>736</v>
      </c>
      <c r="G981" t="s">
        <v>737</v>
      </c>
      <c r="H981" t="s">
        <v>738</v>
      </c>
      <c r="I981" t="s">
        <v>739</v>
      </c>
      <c r="J981" t="s">
        <v>739</v>
      </c>
      <c r="K981" s="2">
        <v>45199</v>
      </c>
      <c r="L981">
        <v>25889.991341991001</v>
      </c>
      <c r="M981">
        <v>1242763.6406926201</v>
      </c>
      <c r="N981">
        <v>174602.67099567101</v>
      </c>
      <c r="O981">
        <v>-25486.2640692641</v>
      </c>
      <c r="P981">
        <v>-1242763.6406926201</v>
      </c>
      <c r="Q981">
        <v>6238.8658008661196</v>
      </c>
      <c r="R981">
        <v>0</v>
      </c>
      <c r="S981">
        <v>1669.7012987012599</v>
      </c>
      <c r="T981">
        <v>0</v>
      </c>
      <c r="U981">
        <v>1250975.5670995801</v>
      </c>
      <c r="V981">
        <v>27877.939393939199</v>
      </c>
    </row>
    <row r="982" spans="1:22" x14ac:dyDescent="0.3">
      <c r="A982" t="str">
        <f t="shared" si="30"/>
        <v>PCARPrevisão</v>
      </c>
      <c r="B982" t="str">
        <f t="shared" si="31"/>
        <v>PCARPrevisãoDez-2022</v>
      </c>
      <c r="C982" t="s">
        <v>113</v>
      </c>
      <c r="D982" t="s">
        <v>114</v>
      </c>
      <c r="E982" t="s">
        <v>102</v>
      </c>
      <c r="F982" t="s">
        <v>736</v>
      </c>
      <c r="G982" t="s">
        <v>737</v>
      </c>
      <c r="H982" t="s">
        <v>738</v>
      </c>
      <c r="I982" t="s">
        <v>739</v>
      </c>
      <c r="J982" t="s">
        <v>739</v>
      </c>
      <c r="K982" s="2">
        <v>44925</v>
      </c>
      <c r="L982">
        <v>135255.44588738799</v>
      </c>
      <c r="M982">
        <v>35969399.172394402</v>
      </c>
      <c r="N982">
        <v>6982290.4154140297</v>
      </c>
      <c r="O982">
        <v>1128228.1656909101</v>
      </c>
      <c r="P982">
        <v>-35969399.172394402</v>
      </c>
      <c r="Q982">
        <v>-6523942.2129686903</v>
      </c>
      <c r="R982">
        <v>306177.27366094</v>
      </c>
      <c r="S982">
        <v>374302.99363382399</v>
      </c>
      <c r="T982">
        <v>8722405.6277906802</v>
      </c>
      <c r="U982">
        <v>15340818.2414914</v>
      </c>
      <c r="V982">
        <v>3702817.17358481</v>
      </c>
    </row>
    <row r="983" spans="1:22" x14ac:dyDescent="0.3">
      <c r="A983" t="str">
        <f t="shared" si="30"/>
        <v>PCARPrevisão</v>
      </c>
      <c r="B983" t="str">
        <f t="shared" si="31"/>
        <v>PCARPrevisãoMar-2023</v>
      </c>
      <c r="C983" t="s">
        <v>113</v>
      </c>
      <c r="D983" t="s">
        <v>114</v>
      </c>
      <c r="E983" t="s">
        <v>102</v>
      </c>
      <c r="F983" t="s">
        <v>736</v>
      </c>
      <c r="G983" t="s">
        <v>737</v>
      </c>
      <c r="H983" t="s">
        <v>738</v>
      </c>
      <c r="I983" t="s">
        <v>739</v>
      </c>
      <c r="J983" t="s">
        <v>739</v>
      </c>
      <c r="K983" s="2">
        <v>45015</v>
      </c>
      <c r="L983">
        <v>118284.025505949</v>
      </c>
      <c r="M983">
        <v>37001238.536581203</v>
      </c>
      <c r="N983">
        <v>6426985.0920461603</v>
      </c>
      <c r="O983">
        <v>1100846.33480427</v>
      </c>
      <c r="P983">
        <v>-37001238.536581203</v>
      </c>
      <c r="Q983">
        <v>-6379937.76247002</v>
      </c>
      <c r="R983">
        <v>277609.94943984499</v>
      </c>
      <c r="S983">
        <v>390249.241777313</v>
      </c>
      <c r="T983">
        <v>9549860.6558364909</v>
      </c>
      <c r="U983">
        <v>15993348.415051</v>
      </c>
      <c r="V983">
        <v>3180156.6030371999</v>
      </c>
    </row>
    <row r="984" spans="1:22" x14ac:dyDescent="0.3">
      <c r="A984" t="str">
        <f t="shared" si="30"/>
        <v>PCARPrevisão</v>
      </c>
      <c r="B984" t="str">
        <f t="shared" si="31"/>
        <v>PCARPrevisãoJun-2023</v>
      </c>
      <c r="C984" t="s">
        <v>113</v>
      </c>
      <c r="D984" t="s">
        <v>114</v>
      </c>
      <c r="E984" t="s">
        <v>102</v>
      </c>
      <c r="F984" t="s">
        <v>736</v>
      </c>
      <c r="G984" t="s">
        <v>737</v>
      </c>
      <c r="H984" t="s">
        <v>738</v>
      </c>
      <c r="I984" t="s">
        <v>739</v>
      </c>
      <c r="J984" t="s">
        <v>739</v>
      </c>
      <c r="K984" s="2">
        <v>45107</v>
      </c>
      <c r="L984">
        <v>98435.847955171703</v>
      </c>
      <c r="M984">
        <v>38073160.438377202</v>
      </c>
      <c r="N984">
        <v>5780433.4252485102</v>
      </c>
      <c r="O984">
        <v>1064624.98085141</v>
      </c>
      <c r="P984">
        <v>-38073160.438377202</v>
      </c>
      <c r="Q984">
        <v>-6228019.9216948403</v>
      </c>
      <c r="R984">
        <v>245929.95962754299</v>
      </c>
      <c r="S984">
        <v>406696.59278853802</v>
      </c>
      <c r="T984">
        <v>10454824.6310381</v>
      </c>
      <c r="U984">
        <v>16704792.831931001</v>
      </c>
      <c r="V984">
        <v>2604244.14765066</v>
      </c>
    </row>
    <row r="985" spans="1:22" x14ac:dyDescent="0.3">
      <c r="A985" t="str">
        <f t="shared" si="30"/>
        <v>PCARPrevisão</v>
      </c>
      <c r="B985" t="str">
        <f t="shared" si="31"/>
        <v>PCARPrevisãoSet-2023</v>
      </c>
      <c r="C985" t="s">
        <v>113</v>
      </c>
      <c r="D985" t="s">
        <v>114</v>
      </c>
      <c r="E985" t="s">
        <v>102</v>
      </c>
      <c r="F985" t="s">
        <v>736</v>
      </c>
      <c r="G985" t="s">
        <v>737</v>
      </c>
      <c r="H985" t="s">
        <v>738</v>
      </c>
      <c r="I985" t="s">
        <v>739</v>
      </c>
      <c r="J985" t="s">
        <v>739</v>
      </c>
      <c r="K985" s="2">
        <v>45199</v>
      </c>
      <c r="L985">
        <v>75545.479022042695</v>
      </c>
      <c r="M985">
        <v>39186162.291515402</v>
      </c>
      <c r="N985">
        <v>5038004.3064284204</v>
      </c>
      <c r="O985">
        <v>1019032.87382598</v>
      </c>
      <c r="P985">
        <v>-39186162.291515402</v>
      </c>
      <c r="Q985">
        <v>-6068542.5385638503</v>
      </c>
      <c r="R985">
        <v>211019.74290387199</v>
      </c>
      <c r="S985">
        <v>423645.75883269298</v>
      </c>
      <c r="T985">
        <v>11440942.2880386</v>
      </c>
      <c r="U985">
        <v>17478029.482572298</v>
      </c>
      <c r="V985">
        <v>1973055.6075094901</v>
      </c>
    </row>
    <row r="986" spans="1:22" x14ac:dyDescent="0.3">
      <c r="A986" t="str">
        <f t="shared" si="30"/>
        <v>AMERPrevisão</v>
      </c>
      <c r="B986" t="str">
        <f t="shared" si="31"/>
        <v>AMERPrevisãoDez-2022</v>
      </c>
      <c r="C986" t="s">
        <v>103</v>
      </c>
      <c r="D986" t="s">
        <v>104</v>
      </c>
      <c r="E986" t="s">
        <v>102</v>
      </c>
      <c r="F986" t="s">
        <v>736</v>
      </c>
      <c r="G986" t="s">
        <v>737</v>
      </c>
      <c r="H986" t="s">
        <v>738</v>
      </c>
      <c r="I986" t="s">
        <v>739</v>
      </c>
      <c r="J986" t="s">
        <v>739</v>
      </c>
      <c r="K986" s="2">
        <v>44925</v>
      </c>
      <c r="L986">
        <v>-66116.1887785461</v>
      </c>
      <c r="M986">
        <v>51580470.860452101</v>
      </c>
      <c r="N986">
        <v>23606319.980816498</v>
      </c>
      <c r="O986">
        <v>6457825.1684063403</v>
      </c>
      <c r="P986">
        <v>-51580470.860452101</v>
      </c>
      <c r="Q986">
        <v>-14291009.140821399</v>
      </c>
      <c r="R986">
        <v>283034.47746380803</v>
      </c>
      <c r="S986">
        <v>247075.25982514099</v>
      </c>
      <c r="T986">
        <v>970399.85824630002</v>
      </c>
      <c r="U986">
        <v>19411631.548679199</v>
      </c>
      <c r="V986">
        <v>7217128.4081150601</v>
      </c>
    </row>
    <row r="987" spans="1:22" x14ac:dyDescent="0.3">
      <c r="A987" t="str">
        <f t="shared" si="30"/>
        <v>AMERPrevisão</v>
      </c>
      <c r="B987" t="str">
        <f t="shared" si="31"/>
        <v>AMERPrevisãoMar-2023</v>
      </c>
      <c r="C987" t="s">
        <v>103</v>
      </c>
      <c r="D987" t="s">
        <v>104</v>
      </c>
      <c r="E987" t="s">
        <v>102</v>
      </c>
      <c r="F987" t="s">
        <v>736</v>
      </c>
      <c r="G987" t="s">
        <v>737</v>
      </c>
      <c r="H987" t="s">
        <v>738</v>
      </c>
      <c r="I987" t="s">
        <v>739</v>
      </c>
      <c r="J987" t="s">
        <v>739</v>
      </c>
      <c r="K987" s="2">
        <v>45015</v>
      </c>
      <c r="L987">
        <v>-63256.0970022818</v>
      </c>
      <c r="M987">
        <v>56961818.363910601</v>
      </c>
      <c r="N987">
        <v>25504513.557303499</v>
      </c>
      <c r="O987">
        <v>7329502.3278774703</v>
      </c>
      <c r="P987">
        <v>-56961818.363910601</v>
      </c>
      <c r="Q987">
        <v>-15909174.9963197</v>
      </c>
      <c r="R987">
        <v>324353.462659868</v>
      </c>
      <c r="S987">
        <v>277537.33107133198</v>
      </c>
      <c r="T987">
        <v>1117629.14341</v>
      </c>
      <c r="U987">
        <v>21493172.297982302</v>
      </c>
      <c r="V987">
        <v>8121299.30805944</v>
      </c>
    </row>
    <row r="988" spans="1:22" x14ac:dyDescent="0.3">
      <c r="A988" t="str">
        <f t="shared" si="30"/>
        <v>AMERPrevisão</v>
      </c>
      <c r="B988" t="str">
        <f t="shared" si="31"/>
        <v>AMERPrevisãoJun-2023</v>
      </c>
      <c r="C988" t="s">
        <v>103</v>
      </c>
      <c r="D988" t="s">
        <v>104</v>
      </c>
      <c r="E988" t="s">
        <v>102</v>
      </c>
      <c r="F988" t="s">
        <v>736</v>
      </c>
      <c r="G988" t="s">
        <v>737</v>
      </c>
      <c r="H988" t="s">
        <v>738</v>
      </c>
      <c r="I988" t="s">
        <v>739</v>
      </c>
      <c r="J988" t="s">
        <v>739</v>
      </c>
      <c r="K988" s="2">
        <v>45107</v>
      </c>
      <c r="L988">
        <v>-60535.651395568297</v>
      </c>
      <c r="M988">
        <v>62763985.322120897</v>
      </c>
      <c r="N988">
        <v>27509298.658275601</v>
      </c>
      <c r="O988">
        <v>8272821.0822126996</v>
      </c>
      <c r="P988">
        <v>-62763985.322120897</v>
      </c>
      <c r="Q988">
        <v>-17660871.716185499</v>
      </c>
      <c r="R988">
        <v>369757.20667920599</v>
      </c>
      <c r="S988">
        <v>310486.60168209998</v>
      </c>
      <c r="T988">
        <v>1277690.6647636101</v>
      </c>
      <c r="U988">
        <v>23739155.851148698</v>
      </c>
      <c r="V988">
        <v>9111154.0803712197</v>
      </c>
    </row>
    <row r="989" spans="1:22" x14ac:dyDescent="0.3">
      <c r="A989" t="str">
        <f t="shared" si="30"/>
        <v>AMERPrevisão</v>
      </c>
      <c r="B989" t="str">
        <f t="shared" si="31"/>
        <v>AMERPrevisãoSet-2023</v>
      </c>
      <c r="C989" t="s">
        <v>103</v>
      </c>
      <c r="D989" t="s">
        <v>104</v>
      </c>
      <c r="E989" t="s">
        <v>102</v>
      </c>
      <c r="F989" t="s">
        <v>736</v>
      </c>
      <c r="G989" t="s">
        <v>737</v>
      </c>
      <c r="H989" t="s">
        <v>738</v>
      </c>
      <c r="I989" t="s">
        <v>739</v>
      </c>
      <c r="J989" t="s">
        <v>739</v>
      </c>
      <c r="K989" s="2">
        <v>45199</v>
      </c>
      <c r="L989">
        <v>-57986.258944403897</v>
      </c>
      <c r="M989">
        <v>69003200.934325993</v>
      </c>
      <c r="N989">
        <v>29623519.825950202</v>
      </c>
      <c r="O989">
        <v>9290426.3691407796</v>
      </c>
      <c r="P989">
        <v>-69003200.934325993</v>
      </c>
      <c r="Q989">
        <v>-19551374.0718759</v>
      </c>
      <c r="R989">
        <v>419427.21680417901</v>
      </c>
      <c r="S989">
        <v>346019.53664563101</v>
      </c>
      <c r="T989">
        <v>1451083.6035873201</v>
      </c>
      <c r="U989">
        <v>26155979.087804299</v>
      </c>
      <c r="V989">
        <v>10190406.342217499</v>
      </c>
    </row>
    <row r="990" spans="1:22" x14ac:dyDescent="0.3">
      <c r="A990" t="str">
        <f t="shared" si="30"/>
        <v>ITUBPrevisão</v>
      </c>
      <c r="B990" t="str">
        <f t="shared" si="31"/>
        <v>ITUBPrevisãoDez-2022</v>
      </c>
      <c r="C990" t="s">
        <v>41</v>
      </c>
      <c r="D990" t="s">
        <v>42</v>
      </c>
      <c r="E990" t="s">
        <v>40</v>
      </c>
      <c r="F990" t="s">
        <v>736</v>
      </c>
      <c r="G990" t="s">
        <v>737</v>
      </c>
      <c r="H990" t="s">
        <v>738</v>
      </c>
      <c r="I990" t="s">
        <v>739</v>
      </c>
      <c r="J990" t="s">
        <v>739</v>
      </c>
      <c r="K990" s="2">
        <v>44925</v>
      </c>
      <c r="L990">
        <v>7562087.02919883</v>
      </c>
      <c r="M990">
        <v>211858000.45156601</v>
      </c>
      <c r="N990">
        <v>38244724.008913197</v>
      </c>
      <c r="O990">
        <v>0</v>
      </c>
      <c r="P990">
        <v>-211858000.45156601</v>
      </c>
      <c r="Q990">
        <v>-15872487.1763849</v>
      </c>
      <c r="R990">
        <v>0</v>
      </c>
      <c r="S990">
        <v>0</v>
      </c>
      <c r="T990">
        <v>78363573.519901901</v>
      </c>
      <c r="U990">
        <v>153651259.71845001</v>
      </c>
      <c r="V990">
        <v>7523555.6381461099</v>
      </c>
    </row>
    <row r="991" spans="1:22" x14ac:dyDescent="0.3">
      <c r="A991" t="str">
        <f t="shared" si="30"/>
        <v>ITUBPrevisão</v>
      </c>
      <c r="B991" t="str">
        <f t="shared" si="31"/>
        <v>ITUBPrevisãoMar-2023</v>
      </c>
      <c r="C991" t="s">
        <v>41</v>
      </c>
      <c r="D991" t="s">
        <v>42</v>
      </c>
      <c r="E991" t="s">
        <v>40</v>
      </c>
      <c r="F991" t="s">
        <v>736</v>
      </c>
      <c r="G991" t="s">
        <v>737</v>
      </c>
      <c r="H991" t="s">
        <v>738</v>
      </c>
      <c r="I991" t="s">
        <v>739</v>
      </c>
      <c r="J991" t="s">
        <v>739</v>
      </c>
      <c r="K991" s="2">
        <v>45015</v>
      </c>
      <c r="L991">
        <v>7920182.7536360798</v>
      </c>
      <c r="M991">
        <v>211084522.01046801</v>
      </c>
      <c r="N991">
        <v>42578549.742593303</v>
      </c>
      <c r="O991">
        <v>0</v>
      </c>
      <c r="P991">
        <v>-211084522.01046801</v>
      </c>
      <c r="Q991">
        <v>-15043916.2466879</v>
      </c>
      <c r="R991">
        <v>0</v>
      </c>
      <c r="S991">
        <v>0</v>
      </c>
      <c r="T991">
        <v>87211266.698512599</v>
      </c>
      <c r="U991">
        <v>156898847.39426601</v>
      </c>
      <c r="V991">
        <v>7994468.77175349</v>
      </c>
    </row>
    <row r="992" spans="1:22" x14ac:dyDescent="0.3">
      <c r="A992" t="str">
        <f t="shared" si="30"/>
        <v>ITUBPrevisão</v>
      </c>
      <c r="B992" t="str">
        <f t="shared" si="31"/>
        <v>ITUBPrevisãoJun-2023</v>
      </c>
      <c r="C992" t="s">
        <v>41</v>
      </c>
      <c r="D992" t="s">
        <v>42</v>
      </c>
      <c r="E992" t="s">
        <v>40</v>
      </c>
      <c r="F992" t="s">
        <v>736</v>
      </c>
      <c r="G992" t="s">
        <v>737</v>
      </c>
      <c r="H992" t="s">
        <v>738</v>
      </c>
      <c r="I992" t="s">
        <v>739</v>
      </c>
      <c r="J992" t="s">
        <v>739</v>
      </c>
      <c r="K992" s="2">
        <v>45107</v>
      </c>
      <c r="L992">
        <v>8311658.3513046298</v>
      </c>
      <c r="M992">
        <v>209810029.72641</v>
      </c>
      <c r="N992">
        <v>47350616.544207402</v>
      </c>
      <c r="O992">
        <v>0</v>
      </c>
      <c r="P992">
        <v>-209810029.72641</v>
      </c>
      <c r="Q992">
        <v>-14043691.905138999</v>
      </c>
      <c r="R992">
        <v>0</v>
      </c>
      <c r="S992">
        <v>0</v>
      </c>
      <c r="T992">
        <v>96874885.403208807</v>
      </c>
      <c r="U992">
        <v>160321605.85717401</v>
      </c>
      <c r="V992">
        <v>8505565.0522166807</v>
      </c>
    </row>
    <row r="993" spans="1:22" x14ac:dyDescent="0.3">
      <c r="A993" t="str">
        <f t="shared" si="30"/>
        <v>ITUBPrevisão</v>
      </c>
      <c r="B993" t="str">
        <f t="shared" si="31"/>
        <v>ITUBPrevisãoSet-2023</v>
      </c>
      <c r="C993" t="s">
        <v>41</v>
      </c>
      <c r="D993" t="s">
        <v>42</v>
      </c>
      <c r="E993" t="s">
        <v>40</v>
      </c>
      <c r="F993" t="s">
        <v>736</v>
      </c>
      <c r="G993" t="s">
        <v>737</v>
      </c>
      <c r="H993" t="s">
        <v>738</v>
      </c>
      <c r="I993" t="s">
        <v>739</v>
      </c>
      <c r="J993" t="s">
        <v>739</v>
      </c>
      <c r="K993" s="2">
        <v>45199</v>
      </c>
      <c r="L993">
        <v>8738283.8859867491</v>
      </c>
      <c r="M993">
        <v>208013863.82692501</v>
      </c>
      <c r="N993">
        <v>52580602.526955001</v>
      </c>
      <c r="O993">
        <v>0</v>
      </c>
      <c r="P993">
        <v>-208013863.82692501</v>
      </c>
      <c r="Q993">
        <v>-12863417.3472875</v>
      </c>
      <c r="R993">
        <v>0</v>
      </c>
      <c r="S993">
        <v>0</v>
      </c>
      <c r="T993">
        <v>107386855.542025</v>
      </c>
      <c r="U993">
        <v>163929627.30092001</v>
      </c>
      <c r="V993">
        <v>9058735.8312258292</v>
      </c>
    </row>
    <row r="994" spans="1:22" x14ac:dyDescent="0.3">
      <c r="A994" t="str">
        <f t="shared" si="30"/>
        <v>FIGEPrevisão</v>
      </c>
      <c r="B994" t="str">
        <f t="shared" si="31"/>
        <v>FIGEPrevisãoDez-2022</v>
      </c>
      <c r="C994" t="s">
        <v>83</v>
      </c>
      <c r="D994" t="s">
        <v>84</v>
      </c>
      <c r="E994" t="s">
        <v>40</v>
      </c>
      <c r="F994" t="s">
        <v>736</v>
      </c>
      <c r="G994" t="s">
        <v>737</v>
      </c>
      <c r="H994" t="s">
        <v>738</v>
      </c>
      <c r="I994" t="s">
        <v>739</v>
      </c>
      <c r="J994" t="s">
        <v>739</v>
      </c>
      <c r="K994" s="2">
        <v>44925</v>
      </c>
      <c r="L994">
        <v>-1204.94244970726</v>
      </c>
      <c r="M994">
        <v>164164.32306254999</v>
      </c>
      <c r="N994">
        <v>4182.39096846347</v>
      </c>
      <c r="O994">
        <v>-2950.0401494039702</v>
      </c>
      <c r="P994">
        <v>-164164.32306254999</v>
      </c>
      <c r="Q994">
        <v>361.54239877870702</v>
      </c>
      <c r="R994">
        <v>-103.614973261982</v>
      </c>
      <c r="S994">
        <v>-79.947797300780707</v>
      </c>
      <c r="T994">
        <v>51362.092097451001</v>
      </c>
      <c r="U994">
        <v>163425.95747390599</v>
      </c>
      <c r="V994">
        <v>-666.45335710266397</v>
      </c>
    </row>
    <row r="995" spans="1:22" x14ac:dyDescent="0.3">
      <c r="A995" t="str">
        <f t="shared" si="30"/>
        <v>FIGEPrevisão</v>
      </c>
      <c r="B995" t="str">
        <f t="shared" si="31"/>
        <v>FIGEPrevisãoMar-2023</v>
      </c>
      <c r="C995" t="s">
        <v>83</v>
      </c>
      <c r="D995" t="s">
        <v>84</v>
      </c>
      <c r="E995" t="s">
        <v>40</v>
      </c>
      <c r="F995" t="s">
        <v>736</v>
      </c>
      <c r="G995" t="s">
        <v>737</v>
      </c>
      <c r="H995" t="s">
        <v>738</v>
      </c>
      <c r="I995" t="s">
        <v>739</v>
      </c>
      <c r="J995" t="s">
        <v>739</v>
      </c>
      <c r="K995" s="2">
        <v>45015</v>
      </c>
      <c r="L995">
        <v>-1674.32177096889</v>
      </c>
      <c r="M995">
        <v>148581.14454789899</v>
      </c>
      <c r="N995">
        <v>4502.1135749488303</v>
      </c>
      <c r="O995">
        <v>-4233.27377799242</v>
      </c>
      <c r="P995">
        <v>-148581.14454789899</v>
      </c>
      <c r="Q995">
        <v>503.20245149777497</v>
      </c>
      <c r="R995">
        <v>-137.93464511104801</v>
      </c>
      <c r="S995">
        <v>-103.242169595159</v>
      </c>
      <c r="T995">
        <v>40003.536835540799</v>
      </c>
      <c r="U995">
        <v>147824.64706571199</v>
      </c>
      <c r="V995">
        <v>-1094.8889829504001</v>
      </c>
    </row>
    <row r="996" spans="1:22" x14ac:dyDescent="0.3">
      <c r="A996" t="str">
        <f t="shared" si="30"/>
        <v>FIGEPrevisão</v>
      </c>
      <c r="B996" t="str">
        <f t="shared" si="31"/>
        <v>FIGEPrevisãoJun-2023</v>
      </c>
      <c r="C996" t="s">
        <v>83</v>
      </c>
      <c r="D996" t="s">
        <v>84</v>
      </c>
      <c r="E996" t="s">
        <v>40</v>
      </c>
      <c r="F996" t="s">
        <v>736</v>
      </c>
      <c r="G996" t="s">
        <v>737</v>
      </c>
      <c r="H996" t="s">
        <v>738</v>
      </c>
      <c r="I996" t="s">
        <v>739</v>
      </c>
      <c r="J996" t="s">
        <v>739</v>
      </c>
      <c r="K996" s="2">
        <v>45107</v>
      </c>
      <c r="L996">
        <v>-2175.2057785742099</v>
      </c>
      <c r="M996">
        <v>131020.333374493</v>
      </c>
      <c r="N996">
        <v>6114.1534661915703</v>
      </c>
      <c r="O996">
        <v>-5733.5526508522598</v>
      </c>
      <c r="P996">
        <v>-131020.333374493</v>
      </c>
      <c r="Q996">
        <v>660.85243967119595</v>
      </c>
      <c r="R996">
        <v>-175.19552675581099</v>
      </c>
      <c r="S996">
        <v>-127.71459795613799</v>
      </c>
      <c r="T996">
        <v>27187.0160810577</v>
      </c>
      <c r="U996">
        <v>130219.30843332301</v>
      </c>
      <c r="V996">
        <v>-1592.84039530158</v>
      </c>
    </row>
    <row r="997" spans="1:22" x14ac:dyDescent="0.3">
      <c r="A997" t="str">
        <f t="shared" si="30"/>
        <v>FIGEPrevisão</v>
      </c>
      <c r="B997" t="str">
        <f t="shared" si="31"/>
        <v>FIGEPrevisãoSet-2023</v>
      </c>
      <c r="C997" t="s">
        <v>83</v>
      </c>
      <c r="D997" t="s">
        <v>84</v>
      </c>
      <c r="E997" t="s">
        <v>40</v>
      </c>
      <c r="F997" t="s">
        <v>736</v>
      </c>
      <c r="G997" t="s">
        <v>737</v>
      </c>
      <c r="H997" t="s">
        <v>738</v>
      </c>
      <c r="I997" t="s">
        <v>739</v>
      </c>
      <c r="J997" t="s">
        <v>739</v>
      </c>
      <c r="K997" s="2">
        <v>45199</v>
      </c>
      <c r="L997">
        <v>-2708.4293661320999</v>
      </c>
      <c r="M997">
        <v>111394.034737065</v>
      </c>
      <c r="N997">
        <v>9116.1107374260591</v>
      </c>
      <c r="O997">
        <v>-7464.7654687824997</v>
      </c>
      <c r="P997">
        <v>-111394.034737065</v>
      </c>
      <c r="Q997">
        <v>835.35450511776605</v>
      </c>
      <c r="R997">
        <v>-215.50818564739501</v>
      </c>
      <c r="S997">
        <v>-153.415150464748</v>
      </c>
      <c r="T997">
        <v>12841.7425271559</v>
      </c>
      <c r="U997">
        <v>110520.31589560999</v>
      </c>
      <c r="V997">
        <v>-2164.3630265397901</v>
      </c>
    </row>
    <row r="998" spans="1:22" x14ac:dyDescent="0.3">
      <c r="A998" t="str">
        <f t="shared" si="30"/>
        <v>CRIVPrevisão</v>
      </c>
      <c r="B998" t="str">
        <f t="shared" si="31"/>
        <v>CRIVPrevisãoDez-2022</v>
      </c>
      <c r="C998" t="s">
        <v>79</v>
      </c>
      <c r="D998" t="s">
        <v>80</v>
      </c>
      <c r="E998" t="s">
        <v>40</v>
      </c>
      <c r="F998" t="s">
        <v>736</v>
      </c>
      <c r="G998" t="s">
        <v>737</v>
      </c>
      <c r="H998" t="s">
        <v>738</v>
      </c>
      <c r="I998" t="s">
        <v>739</v>
      </c>
      <c r="J998" t="s">
        <v>739</v>
      </c>
      <c r="K998" s="2">
        <v>44925</v>
      </c>
      <c r="L998">
        <v>-7602.2709447361904</v>
      </c>
      <c r="M998">
        <v>9818874.9413456507</v>
      </c>
      <c r="N998">
        <v>-953752.72803654999</v>
      </c>
      <c r="O998">
        <v>0</v>
      </c>
      <c r="P998">
        <v>-9818874.9413456507</v>
      </c>
      <c r="Q998">
        <v>482799.42526063899</v>
      </c>
      <c r="R998">
        <v>0</v>
      </c>
      <c r="S998">
        <v>0</v>
      </c>
      <c r="T998">
        <v>544646.11654358997</v>
      </c>
      <c r="U998">
        <v>1103889.79662162</v>
      </c>
      <c r="V998">
        <v>44847.334521684301</v>
      </c>
    </row>
    <row r="999" spans="1:22" x14ac:dyDescent="0.3">
      <c r="A999" t="str">
        <f t="shared" si="30"/>
        <v>CRIVPrevisão</v>
      </c>
      <c r="B999" t="str">
        <f t="shared" si="31"/>
        <v>CRIVPrevisãoMar-2023</v>
      </c>
      <c r="C999" t="s">
        <v>79</v>
      </c>
      <c r="D999" t="s">
        <v>80</v>
      </c>
      <c r="E999" t="s">
        <v>40</v>
      </c>
      <c r="F999" t="s">
        <v>736</v>
      </c>
      <c r="G999" t="s">
        <v>737</v>
      </c>
      <c r="H999" t="s">
        <v>738</v>
      </c>
      <c r="I999" t="s">
        <v>739</v>
      </c>
      <c r="J999" t="s">
        <v>739</v>
      </c>
      <c r="K999" s="2">
        <v>45015</v>
      </c>
      <c r="L999">
        <v>-11527.4207461809</v>
      </c>
      <c r="M999">
        <v>10598711.7777244</v>
      </c>
      <c r="N999">
        <v>-1552260.32868073</v>
      </c>
      <c r="O999">
        <v>0</v>
      </c>
      <c r="P999">
        <v>-10598711.7777244</v>
      </c>
      <c r="Q999">
        <v>808378.09547166002</v>
      </c>
      <c r="R999">
        <v>0</v>
      </c>
      <c r="S999">
        <v>0</v>
      </c>
      <c r="T999">
        <v>552310.85568150703</v>
      </c>
      <c r="U999">
        <v>1127336.3353245701</v>
      </c>
      <c r="V999">
        <v>58797.304927536497</v>
      </c>
    </row>
    <row r="1000" spans="1:22" x14ac:dyDescent="0.3">
      <c r="A1000" t="str">
        <f t="shared" si="30"/>
        <v>CRIVPrevisão</v>
      </c>
      <c r="B1000" t="str">
        <f t="shared" si="31"/>
        <v>CRIVPrevisãoJun-2023</v>
      </c>
      <c r="C1000" t="s">
        <v>79</v>
      </c>
      <c r="D1000" t="s">
        <v>80</v>
      </c>
      <c r="E1000" t="s">
        <v>40</v>
      </c>
      <c r="F1000" t="s">
        <v>736</v>
      </c>
      <c r="G1000" t="s">
        <v>737</v>
      </c>
      <c r="H1000" t="s">
        <v>738</v>
      </c>
      <c r="I1000" t="s">
        <v>739</v>
      </c>
      <c r="J1000" t="s">
        <v>739</v>
      </c>
      <c r="K1000" s="2">
        <v>45107</v>
      </c>
      <c r="L1000">
        <v>-15887.179920095999</v>
      </c>
      <c r="M1000">
        <v>11459405.5989055</v>
      </c>
      <c r="N1000">
        <v>-2197709.4046080098</v>
      </c>
      <c r="O1000">
        <v>0</v>
      </c>
      <c r="P1000">
        <v>-11459405.5989055</v>
      </c>
      <c r="Q1000">
        <v>1153877.26024796</v>
      </c>
      <c r="R1000">
        <v>0</v>
      </c>
      <c r="S1000">
        <v>0</v>
      </c>
      <c r="T1000">
        <v>560065.01771363104</v>
      </c>
      <c r="U1000">
        <v>1152074.3545643799</v>
      </c>
      <c r="V1000">
        <v>73750.730022285905</v>
      </c>
    </row>
    <row r="1001" spans="1:22" x14ac:dyDescent="0.3">
      <c r="A1001" t="str">
        <f t="shared" si="30"/>
        <v>CRIVPrevisão</v>
      </c>
      <c r="B1001" t="str">
        <f t="shared" si="31"/>
        <v>CRIVPrevisãoSet-2023</v>
      </c>
      <c r="C1001" t="s">
        <v>79</v>
      </c>
      <c r="D1001" t="s">
        <v>80</v>
      </c>
      <c r="E1001" t="s">
        <v>40</v>
      </c>
      <c r="F1001" t="s">
        <v>736</v>
      </c>
      <c r="G1001" t="s">
        <v>737</v>
      </c>
      <c r="H1001" t="s">
        <v>738</v>
      </c>
      <c r="I1001" t="s">
        <v>739</v>
      </c>
      <c r="J1001" t="s">
        <v>739</v>
      </c>
      <c r="K1001" s="2">
        <v>45199</v>
      </c>
      <c r="L1001">
        <v>-20702.888859332499</v>
      </c>
      <c r="M1001">
        <v>12404800.024938</v>
      </c>
      <c r="N1001">
        <v>-2891613.4662519102</v>
      </c>
      <c r="O1001">
        <v>0</v>
      </c>
      <c r="P1001">
        <v>-12404800.024938</v>
      </c>
      <c r="Q1001">
        <v>1519659.2575441301</v>
      </c>
      <c r="R1001">
        <v>0</v>
      </c>
      <c r="S1001">
        <v>0</v>
      </c>
      <c r="T1001">
        <v>567912.65284561506</v>
      </c>
      <c r="U1001">
        <v>1178165.19404163</v>
      </c>
      <c r="V1001">
        <v>89737.499466946203</v>
      </c>
    </row>
    <row r="1002" spans="1:22" x14ac:dyDescent="0.3">
      <c r="A1002" t="str">
        <f t="shared" si="30"/>
        <v>FNCNPrevisão</v>
      </c>
      <c r="B1002" t="str">
        <f t="shared" si="31"/>
        <v>FNCNPrevisãoDez-2017</v>
      </c>
      <c r="C1002" t="s">
        <v>719</v>
      </c>
      <c r="D1002" t="s">
        <v>54</v>
      </c>
      <c r="E1002" t="s">
        <v>40</v>
      </c>
      <c r="F1002" t="s">
        <v>736</v>
      </c>
      <c r="G1002" t="s">
        <v>737</v>
      </c>
      <c r="H1002" t="s">
        <v>738</v>
      </c>
      <c r="I1002" t="s">
        <v>739</v>
      </c>
      <c r="J1002" t="s">
        <v>739</v>
      </c>
      <c r="K1002" s="2">
        <v>43099</v>
      </c>
      <c r="L1002">
        <v>119.44486885736499</v>
      </c>
      <c r="M1002">
        <v>9459.4755963069401</v>
      </c>
      <c r="N1002">
        <v>1736.0725744736001</v>
      </c>
      <c r="O1002">
        <v>0</v>
      </c>
      <c r="P1002">
        <v>-9459.4755963069401</v>
      </c>
      <c r="Q1002">
        <v>1566.6023257797699</v>
      </c>
      <c r="R1002">
        <v>0</v>
      </c>
      <c r="S1002">
        <v>0</v>
      </c>
      <c r="T1002">
        <v>-878.17349969778502</v>
      </c>
      <c r="U1002">
        <v>10706.6985824572</v>
      </c>
      <c r="V1002">
        <v>-828.47508700452897</v>
      </c>
    </row>
    <row r="1003" spans="1:22" x14ac:dyDescent="0.3">
      <c r="A1003" t="str">
        <f t="shared" si="30"/>
        <v>FNCNPrevisão</v>
      </c>
      <c r="B1003" t="str">
        <f t="shared" si="31"/>
        <v>FNCNPrevisãoMar-2018</v>
      </c>
      <c r="C1003" t="s">
        <v>719</v>
      </c>
      <c r="D1003" t="s">
        <v>54</v>
      </c>
      <c r="E1003" t="s">
        <v>40</v>
      </c>
      <c r="F1003" t="s">
        <v>736</v>
      </c>
      <c r="G1003" t="s">
        <v>737</v>
      </c>
      <c r="H1003" t="s">
        <v>738</v>
      </c>
      <c r="I1003" t="s">
        <v>739</v>
      </c>
      <c r="J1003" t="s">
        <v>739</v>
      </c>
      <c r="K1003" s="2">
        <v>43189</v>
      </c>
      <c r="L1003">
        <v>228.335459983459</v>
      </c>
      <c r="M1003">
        <v>4800.8484068566104</v>
      </c>
      <c r="N1003">
        <v>-3197.6957721789399</v>
      </c>
      <c r="O1003">
        <v>0</v>
      </c>
      <c r="P1003">
        <v>-4800.8484068566104</v>
      </c>
      <c r="Q1003">
        <v>3164.9136562089502</v>
      </c>
      <c r="R1003">
        <v>0</v>
      </c>
      <c r="S1003">
        <v>0</v>
      </c>
      <c r="T1003">
        <v>-2686.3368938019198</v>
      </c>
      <c r="U1003">
        <v>7975.7928914328204</v>
      </c>
      <c r="V1003">
        <v>-663.81775281777198</v>
      </c>
    </row>
    <row r="1004" spans="1:22" x14ac:dyDescent="0.3">
      <c r="A1004" t="str">
        <f t="shared" si="30"/>
        <v>FNCNPrevisão</v>
      </c>
      <c r="B1004" t="str">
        <f t="shared" si="31"/>
        <v>FNCNPrevisãoJun-2018</v>
      </c>
      <c r="C1004" t="s">
        <v>719</v>
      </c>
      <c r="D1004" t="s">
        <v>54</v>
      </c>
      <c r="E1004" t="s">
        <v>40</v>
      </c>
      <c r="F1004" t="s">
        <v>736</v>
      </c>
      <c r="G1004" t="s">
        <v>737</v>
      </c>
      <c r="H1004" t="s">
        <v>738</v>
      </c>
      <c r="I1004" t="s">
        <v>739</v>
      </c>
      <c r="J1004" t="s">
        <v>739</v>
      </c>
      <c r="K1004" s="2">
        <v>43281</v>
      </c>
      <c r="L1004">
        <v>358.76522314719898</v>
      </c>
      <c r="M1004">
        <v>-451.11185041292902</v>
      </c>
      <c r="N1004">
        <v>-8750.3107932573002</v>
      </c>
      <c r="O1004">
        <v>0</v>
      </c>
      <c r="P1004">
        <v>451.11185041292902</v>
      </c>
      <c r="Q1004">
        <v>4949.6618176229504</v>
      </c>
      <c r="R1004">
        <v>0</v>
      </c>
      <c r="S1004">
        <v>0</v>
      </c>
      <c r="T1004">
        <v>-4725.8568039251004</v>
      </c>
      <c r="U1004">
        <v>4883.0273513348902</v>
      </c>
      <c r="V1004">
        <v>-475.49527079248702</v>
      </c>
    </row>
    <row r="1005" spans="1:22" x14ac:dyDescent="0.3">
      <c r="A1005" t="str">
        <f t="shared" si="30"/>
        <v>FNCNPrevisão</v>
      </c>
      <c r="B1005" t="str">
        <f t="shared" si="31"/>
        <v>FNCNPrevisãoSet-2018</v>
      </c>
      <c r="C1005" t="s">
        <v>719</v>
      </c>
      <c r="D1005" t="s">
        <v>54</v>
      </c>
      <c r="E1005" t="s">
        <v>40</v>
      </c>
      <c r="F1005" t="s">
        <v>736</v>
      </c>
      <c r="G1005" t="s">
        <v>737</v>
      </c>
      <c r="H1005" t="s">
        <v>738</v>
      </c>
      <c r="I1005" t="s">
        <v>739</v>
      </c>
      <c r="J1005" t="s">
        <v>739</v>
      </c>
      <c r="K1005" s="2">
        <v>43373</v>
      </c>
      <c r="L1005">
        <v>512.11983556709004</v>
      </c>
      <c r="M1005">
        <v>-6324.3834727925996</v>
      </c>
      <c r="N1005">
        <v>-14950.981108886501</v>
      </c>
      <c r="O1005">
        <v>0</v>
      </c>
      <c r="P1005">
        <v>6324.3834727925996</v>
      </c>
      <c r="Q1005">
        <v>6929.0515424122696</v>
      </c>
      <c r="R1005">
        <v>0</v>
      </c>
      <c r="S1005">
        <v>0</v>
      </c>
      <c r="T1005">
        <v>-7007.6745802594296</v>
      </c>
      <c r="U1005">
        <v>1410.82637830914</v>
      </c>
      <c r="V1005">
        <v>-262.33770622314103</v>
      </c>
    </row>
    <row r="1006" spans="1:22" x14ac:dyDescent="0.3">
      <c r="A1006" t="str">
        <f t="shared" si="30"/>
        <v>MERCPrevisão</v>
      </c>
      <c r="B1006" t="str">
        <f t="shared" si="31"/>
        <v>MERCPrevisãoDez-2017</v>
      </c>
      <c r="C1006" t="s">
        <v>721</v>
      </c>
      <c r="D1006" t="s">
        <v>82</v>
      </c>
      <c r="E1006" t="s">
        <v>40</v>
      </c>
      <c r="F1006" t="s">
        <v>736</v>
      </c>
      <c r="G1006" t="s">
        <v>737</v>
      </c>
      <c r="H1006" t="s">
        <v>738</v>
      </c>
      <c r="I1006" t="s">
        <v>739</v>
      </c>
      <c r="J1006" t="s">
        <v>739</v>
      </c>
      <c r="K1006" s="2">
        <v>43099</v>
      </c>
      <c r="L1006">
        <v>8173.7083439435301</v>
      </c>
      <c r="M1006">
        <v>567943.06408742198</v>
      </c>
      <c r="N1006">
        <v>338435.78397366602</v>
      </c>
      <c r="O1006">
        <v>0</v>
      </c>
      <c r="P1006">
        <v>-567943.06408742198</v>
      </c>
      <c r="Q1006">
        <v>-218893.42755306399</v>
      </c>
      <c r="R1006">
        <v>0</v>
      </c>
      <c r="S1006">
        <v>0</v>
      </c>
      <c r="T1006">
        <v>81660.263390211694</v>
      </c>
      <c r="U1006">
        <v>250042.59511076799</v>
      </c>
      <c r="V1006">
        <v>-47370.711909014397</v>
      </c>
    </row>
    <row r="1007" spans="1:22" x14ac:dyDescent="0.3">
      <c r="A1007" t="str">
        <f t="shared" si="30"/>
        <v>MERCPrevisão</v>
      </c>
      <c r="B1007" t="str">
        <f t="shared" si="31"/>
        <v>MERCPrevisãoMar-2018</v>
      </c>
      <c r="C1007" t="s">
        <v>721</v>
      </c>
      <c r="D1007" t="s">
        <v>82</v>
      </c>
      <c r="E1007" t="s">
        <v>40</v>
      </c>
      <c r="F1007" t="s">
        <v>736</v>
      </c>
      <c r="G1007" t="s">
        <v>737</v>
      </c>
      <c r="H1007" t="s">
        <v>738</v>
      </c>
      <c r="I1007" t="s">
        <v>739</v>
      </c>
      <c r="J1007" t="s">
        <v>739</v>
      </c>
      <c r="K1007" s="2">
        <v>43189</v>
      </c>
      <c r="L1007">
        <v>9442.3141843140402</v>
      </c>
      <c r="M1007">
        <v>362937.13650368602</v>
      </c>
      <c r="N1007">
        <v>275955.64494303201</v>
      </c>
      <c r="O1007">
        <v>0</v>
      </c>
      <c r="P1007">
        <v>-362937.13650368602</v>
      </c>
      <c r="Q1007">
        <v>-63399.800528781197</v>
      </c>
      <c r="R1007">
        <v>0</v>
      </c>
      <c r="S1007">
        <v>0</v>
      </c>
      <c r="T1007">
        <v>88190.596599664204</v>
      </c>
      <c r="U1007">
        <v>267256.91999944602</v>
      </c>
      <c r="V1007">
        <v>-48673.975427689402</v>
      </c>
    </row>
    <row r="1008" spans="1:22" x14ac:dyDescent="0.3">
      <c r="A1008" t="str">
        <f t="shared" si="30"/>
        <v>MERCPrevisão</v>
      </c>
      <c r="B1008" t="str">
        <f t="shared" si="31"/>
        <v>MERCPrevisãoJun-2018</v>
      </c>
      <c r="C1008" t="s">
        <v>721</v>
      </c>
      <c r="D1008" t="s">
        <v>82</v>
      </c>
      <c r="E1008" t="s">
        <v>40</v>
      </c>
      <c r="F1008" t="s">
        <v>736</v>
      </c>
      <c r="G1008" t="s">
        <v>737</v>
      </c>
      <c r="H1008" t="s">
        <v>738</v>
      </c>
      <c r="I1008" t="s">
        <v>739</v>
      </c>
      <c r="J1008" t="s">
        <v>739</v>
      </c>
      <c r="K1008" s="2">
        <v>43281</v>
      </c>
      <c r="L1008">
        <v>10830.8172134579</v>
      </c>
      <c r="M1008">
        <v>125379.116448563</v>
      </c>
      <c r="N1008">
        <v>202131.52572888101</v>
      </c>
      <c r="O1008">
        <v>0</v>
      </c>
      <c r="P1008">
        <v>-125379.116448563</v>
      </c>
      <c r="Q1008">
        <v>115961.61281308001</v>
      </c>
      <c r="R1008">
        <v>0</v>
      </c>
      <c r="S1008">
        <v>0</v>
      </c>
      <c r="T1008">
        <v>95819.515059640296</v>
      </c>
      <c r="U1008">
        <v>286520.689093375</v>
      </c>
      <c r="V1008">
        <v>-49760.923286568803</v>
      </c>
    </row>
    <row r="1009" spans="1:22" x14ac:dyDescent="0.3">
      <c r="A1009" t="str">
        <f t="shared" si="30"/>
        <v>MERCPrevisão</v>
      </c>
      <c r="B1009" t="str">
        <f t="shared" si="31"/>
        <v>MERCPrevisãoSet-2018</v>
      </c>
      <c r="C1009" t="s">
        <v>721</v>
      </c>
      <c r="D1009" t="s">
        <v>82</v>
      </c>
      <c r="E1009" t="s">
        <v>40</v>
      </c>
      <c r="F1009" t="s">
        <v>736</v>
      </c>
      <c r="G1009" t="s">
        <v>737</v>
      </c>
      <c r="H1009" t="s">
        <v>738</v>
      </c>
      <c r="I1009" t="s">
        <v>739</v>
      </c>
      <c r="J1009" t="s">
        <v>739</v>
      </c>
      <c r="K1009" s="2">
        <v>43373</v>
      </c>
      <c r="L1009">
        <v>12343.7309168669</v>
      </c>
      <c r="M1009">
        <v>-146474.545189942</v>
      </c>
      <c r="N1009">
        <v>116324.71148262599</v>
      </c>
      <c r="O1009">
        <v>0</v>
      </c>
      <c r="P1009">
        <v>146474.545189942</v>
      </c>
      <c r="Q1009">
        <v>320445.90774656797</v>
      </c>
      <c r="R1009">
        <v>0</v>
      </c>
      <c r="S1009">
        <v>0</v>
      </c>
      <c r="T1009">
        <v>104605.286009905</v>
      </c>
      <c r="U1009">
        <v>307924.42573408002</v>
      </c>
      <c r="V1009">
        <v>-50611.346882951701</v>
      </c>
    </row>
    <row r="1010" spans="1:22" x14ac:dyDescent="0.3">
      <c r="A1010" t="str">
        <f t="shared" si="30"/>
        <v>BSLIPrevisão</v>
      </c>
      <c r="B1010" t="str">
        <f t="shared" si="31"/>
        <v>BSLIPrevisãoDez-2022</v>
      </c>
      <c r="C1010" t="s">
        <v>77</v>
      </c>
      <c r="D1010" t="s">
        <v>78</v>
      </c>
      <c r="E1010" t="s">
        <v>40</v>
      </c>
      <c r="F1010" t="s">
        <v>736</v>
      </c>
      <c r="G1010" t="s">
        <v>737</v>
      </c>
      <c r="H1010" t="s">
        <v>738</v>
      </c>
      <c r="I1010" t="s">
        <v>739</v>
      </c>
      <c r="J1010" t="s">
        <v>739</v>
      </c>
      <c r="K1010" s="2">
        <v>44925</v>
      </c>
      <c r="L1010">
        <v>-46576.1282573434</v>
      </c>
      <c r="M1010">
        <v>44119452.073594101</v>
      </c>
      <c r="N1010">
        <v>-2734415.1746037002</v>
      </c>
      <c r="O1010">
        <v>0</v>
      </c>
      <c r="P1010">
        <v>-44119452.073594101</v>
      </c>
      <c r="Q1010">
        <v>3754722.2640692801</v>
      </c>
      <c r="R1010">
        <v>0</v>
      </c>
      <c r="S1010">
        <v>0</v>
      </c>
      <c r="T1010">
        <v>1130324.30837757</v>
      </c>
      <c r="U1010">
        <v>2635967.7294796598</v>
      </c>
      <c r="V1010">
        <v>226365.86461248901</v>
      </c>
    </row>
    <row r="1011" spans="1:22" x14ac:dyDescent="0.3">
      <c r="A1011" t="str">
        <f t="shared" si="30"/>
        <v>BSLIPrevisão</v>
      </c>
      <c r="B1011" t="str">
        <f t="shared" si="31"/>
        <v>BSLIPrevisãoMar-2023</v>
      </c>
      <c r="C1011" t="s">
        <v>77</v>
      </c>
      <c r="D1011" t="s">
        <v>78</v>
      </c>
      <c r="E1011" t="s">
        <v>40</v>
      </c>
      <c r="F1011" t="s">
        <v>736</v>
      </c>
      <c r="G1011" t="s">
        <v>737</v>
      </c>
      <c r="H1011" t="s">
        <v>738</v>
      </c>
      <c r="I1011" t="s">
        <v>739</v>
      </c>
      <c r="J1011" t="s">
        <v>739</v>
      </c>
      <c r="K1011" s="2">
        <v>45015</v>
      </c>
      <c r="L1011">
        <v>-69026.904126415306</v>
      </c>
      <c r="M1011">
        <v>48482509.680247203</v>
      </c>
      <c r="N1011">
        <v>-3827973.44631236</v>
      </c>
      <c r="O1011">
        <v>0</v>
      </c>
      <c r="P1011">
        <v>-48482509.680247203</v>
      </c>
      <c r="Q1011">
        <v>5431985.3520602798</v>
      </c>
      <c r="R1011">
        <v>0</v>
      </c>
      <c r="S1011">
        <v>0</v>
      </c>
      <c r="T1011">
        <v>1155106.14417817</v>
      </c>
      <c r="U1011">
        <v>2778727.3611013601</v>
      </c>
      <c r="V1011">
        <v>295179.09279024298</v>
      </c>
    </row>
    <row r="1012" spans="1:22" x14ac:dyDescent="0.3">
      <c r="A1012" t="str">
        <f t="shared" si="30"/>
        <v>BSLIPrevisão</v>
      </c>
      <c r="B1012" t="str">
        <f t="shared" si="31"/>
        <v>BSLIPrevisãoJun-2023</v>
      </c>
      <c r="C1012" t="s">
        <v>77</v>
      </c>
      <c r="D1012" t="s">
        <v>78</v>
      </c>
      <c r="E1012" t="s">
        <v>40</v>
      </c>
      <c r="F1012" t="s">
        <v>736</v>
      </c>
      <c r="G1012" t="s">
        <v>737</v>
      </c>
      <c r="H1012" t="s">
        <v>738</v>
      </c>
      <c r="I1012" t="s">
        <v>739</v>
      </c>
      <c r="J1012" t="s">
        <v>739</v>
      </c>
      <c r="K1012" s="2">
        <v>45107</v>
      </c>
      <c r="L1012">
        <v>-94038.000792059203</v>
      </c>
      <c r="M1012">
        <v>53227966.107712999</v>
      </c>
      <c r="N1012">
        <v>-4997056.7145305704</v>
      </c>
      <c r="O1012">
        <v>0</v>
      </c>
      <c r="P1012">
        <v>-53227966.107712999</v>
      </c>
      <c r="Q1012">
        <v>7251681.6645759698</v>
      </c>
      <c r="R1012">
        <v>0</v>
      </c>
      <c r="S1012">
        <v>0</v>
      </c>
      <c r="T1012">
        <v>1176821.1386255</v>
      </c>
      <c r="U1012">
        <v>2930763.8459599898</v>
      </c>
      <c r="V1012">
        <v>369655.60054213001</v>
      </c>
    </row>
    <row r="1013" spans="1:22" x14ac:dyDescent="0.3">
      <c r="A1013" t="str">
        <f t="shared" si="30"/>
        <v>BSLIPrevisão</v>
      </c>
      <c r="B1013" t="str">
        <f t="shared" si="31"/>
        <v>BSLIPrevisãoSet-2023</v>
      </c>
      <c r="C1013" t="s">
        <v>77</v>
      </c>
      <c r="D1013" t="s">
        <v>78</v>
      </c>
      <c r="E1013" t="s">
        <v>40</v>
      </c>
      <c r="F1013" t="s">
        <v>736</v>
      </c>
      <c r="G1013" t="s">
        <v>737</v>
      </c>
      <c r="H1013" t="s">
        <v>738</v>
      </c>
      <c r="I1013" t="s">
        <v>739</v>
      </c>
      <c r="J1013" t="s">
        <v>739</v>
      </c>
      <c r="K1013" s="2">
        <v>45199</v>
      </c>
      <c r="L1013">
        <v>-121729.840524258</v>
      </c>
      <c r="M1013">
        <v>58371912.932871997</v>
      </c>
      <c r="N1013">
        <v>-6243705.1457472797</v>
      </c>
      <c r="O1013">
        <v>0</v>
      </c>
      <c r="P1013">
        <v>-58371912.932871997</v>
      </c>
      <c r="Q1013">
        <v>9219028.4306469206</v>
      </c>
      <c r="R1013">
        <v>0</v>
      </c>
      <c r="S1013">
        <v>0</v>
      </c>
      <c r="T1013">
        <v>1195213.78634942</v>
      </c>
      <c r="U1013">
        <v>3092421.83849756</v>
      </c>
      <c r="V1013">
        <v>449991.07629318</v>
      </c>
    </row>
    <row r="1014" spans="1:22" x14ac:dyDescent="0.3">
      <c r="A1014" t="str">
        <f t="shared" si="30"/>
        <v>SANBPrevisão</v>
      </c>
      <c r="B1014" t="str">
        <f t="shared" si="31"/>
        <v>SANBPrevisãoDez-2022</v>
      </c>
      <c r="C1014" t="s">
        <v>51</v>
      </c>
      <c r="D1014" t="s">
        <v>52</v>
      </c>
      <c r="E1014" t="s">
        <v>40</v>
      </c>
      <c r="F1014" t="s">
        <v>736</v>
      </c>
      <c r="G1014" t="s">
        <v>737</v>
      </c>
      <c r="H1014" t="s">
        <v>738</v>
      </c>
      <c r="I1014" t="s">
        <v>739</v>
      </c>
      <c r="J1014" t="s">
        <v>739</v>
      </c>
      <c r="K1014" s="2">
        <v>44925</v>
      </c>
      <c r="L1014">
        <v>3273632.4798401101</v>
      </c>
      <c r="M1014">
        <v>1053731712.854</v>
      </c>
      <c r="N1014">
        <v>514272564.42388499</v>
      </c>
      <c r="O1014">
        <v>0</v>
      </c>
      <c r="P1014">
        <v>-1053731712.854</v>
      </c>
      <c r="Q1014">
        <v>-564609348.12989604</v>
      </c>
      <c r="R1014">
        <v>0</v>
      </c>
      <c r="S1014">
        <v>0</v>
      </c>
      <c r="T1014">
        <v>35487242.272557199</v>
      </c>
      <c r="U1014">
        <v>85734365.6276173</v>
      </c>
      <c r="V1014">
        <v>-1437785.55759266</v>
      </c>
    </row>
    <row r="1015" spans="1:22" x14ac:dyDescent="0.3">
      <c r="A1015" t="str">
        <f t="shared" si="30"/>
        <v>SANBPrevisão</v>
      </c>
      <c r="B1015" t="str">
        <f t="shared" si="31"/>
        <v>SANBPrevisãoMar-2023</v>
      </c>
      <c r="C1015" t="s">
        <v>51</v>
      </c>
      <c r="D1015" t="s">
        <v>52</v>
      </c>
      <c r="E1015" t="s">
        <v>40</v>
      </c>
      <c r="F1015" t="s">
        <v>736</v>
      </c>
      <c r="G1015" t="s">
        <v>737</v>
      </c>
      <c r="H1015" t="s">
        <v>738</v>
      </c>
      <c r="I1015" t="s">
        <v>739</v>
      </c>
      <c r="J1015" t="s">
        <v>739</v>
      </c>
      <c r="K1015" s="2">
        <v>45015</v>
      </c>
      <c r="L1015">
        <v>3168136.9348053299</v>
      </c>
      <c r="M1015">
        <v>1071072487.0867701</v>
      </c>
      <c r="N1015">
        <v>515576793.70596701</v>
      </c>
      <c r="O1015">
        <v>0</v>
      </c>
      <c r="P1015">
        <v>-1071072487.0867701</v>
      </c>
      <c r="Q1015">
        <v>-562653561.07996595</v>
      </c>
      <c r="R1015">
        <v>0</v>
      </c>
      <c r="S1015">
        <v>0</v>
      </c>
      <c r="T1015">
        <v>38638152.769160703</v>
      </c>
      <c r="U1015">
        <v>87415152.7359308</v>
      </c>
      <c r="V1015">
        <v>-1474286.03860764</v>
      </c>
    </row>
    <row r="1016" spans="1:22" x14ac:dyDescent="0.3">
      <c r="A1016" t="str">
        <f t="shared" si="30"/>
        <v>SANBPrevisão</v>
      </c>
      <c r="B1016" t="str">
        <f t="shared" si="31"/>
        <v>SANBPrevisãoJun-2023</v>
      </c>
      <c r="C1016" t="s">
        <v>51</v>
      </c>
      <c r="D1016" t="s">
        <v>52</v>
      </c>
      <c r="E1016" t="s">
        <v>40</v>
      </c>
      <c r="F1016" t="s">
        <v>736</v>
      </c>
      <c r="G1016" t="s">
        <v>737</v>
      </c>
      <c r="H1016" t="s">
        <v>738</v>
      </c>
      <c r="I1016" t="s">
        <v>739</v>
      </c>
      <c r="J1016" t="s">
        <v>739</v>
      </c>
      <c r="K1016" s="2">
        <v>45107</v>
      </c>
      <c r="L1016">
        <v>3032987.4584322199</v>
      </c>
      <c r="M1016">
        <v>1088120394.1084399</v>
      </c>
      <c r="N1016">
        <v>516317504.02797902</v>
      </c>
      <c r="O1016">
        <v>0</v>
      </c>
      <c r="P1016">
        <v>-1088120394.1084399</v>
      </c>
      <c r="Q1016">
        <v>-559855863.29398894</v>
      </c>
      <c r="R1016">
        <v>0</v>
      </c>
      <c r="S1016">
        <v>0</v>
      </c>
      <c r="T1016">
        <v>41976166.346602596</v>
      </c>
      <c r="U1016">
        <v>89100930.643837899</v>
      </c>
      <c r="V1016">
        <v>-1521865.76674207</v>
      </c>
    </row>
    <row r="1017" spans="1:22" x14ac:dyDescent="0.3">
      <c r="A1017" t="str">
        <f t="shared" si="30"/>
        <v>SANBPrevisão</v>
      </c>
      <c r="B1017" t="str">
        <f t="shared" si="31"/>
        <v>SANBPrevisãoSet-2023</v>
      </c>
      <c r="C1017" t="s">
        <v>51</v>
      </c>
      <c r="D1017" t="s">
        <v>52</v>
      </c>
      <c r="E1017" t="s">
        <v>40</v>
      </c>
      <c r="F1017" t="s">
        <v>736</v>
      </c>
      <c r="G1017" t="s">
        <v>737</v>
      </c>
      <c r="H1017" t="s">
        <v>738</v>
      </c>
      <c r="I1017" t="s">
        <v>739</v>
      </c>
      <c r="J1017" t="s">
        <v>739</v>
      </c>
      <c r="K1017" s="2">
        <v>45199</v>
      </c>
      <c r="L1017">
        <v>2866575.9937427398</v>
      </c>
      <c r="M1017">
        <v>1104854674.83657</v>
      </c>
      <c r="N1017">
        <v>516482884.04786003</v>
      </c>
      <c r="O1017">
        <v>0</v>
      </c>
      <c r="P1017">
        <v>-1104854674.83657</v>
      </c>
      <c r="Q1017">
        <v>-556202250.74874794</v>
      </c>
      <c r="R1017">
        <v>0</v>
      </c>
      <c r="S1017">
        <v>0</v>
      </c>
      <c r="T1017">
        <v>45506652.324940003</v>
      </c>
      <c r="U1017">
        <v>90786907.596147999</v>
      </c>
      <c r="V1017">
        <v>-1581055.24374569</v>
      </c>
    </row>
    <row r="1018" spans="1:22" x14ac:dyDescent="0.3">
      <c r="A1018" t="str">
        <f t="shared" si="30"/>
        <v>PINEPrevisão</v>
      </c>
      <c r="B1018" t="str">
        <f t="shared" si="31"/>
        <v>PINEPrevisãoDez-2017</v>
      </c>
      <c r="C1018" t="s">
        <v>725</v>
      </c>
      <c r="D1018" t="s">
        <v>50</v>
      </c>
      <c r="E1018" t="s">
        <v>40</v>
      </c>
      <c r="F1018" t="s">
        <v>736</v>
      </c>
      <c r="G1018" t="s">
        <v>737</v>
      </c>
      <c r="H1018" t="s">
        <v>738</v>
      </c>
      <c r="I1018" t="s">
        <v>739</v>
      </c>
      <c r="J1018" t="s">
        <v>739</v>
      </c>
      <c r="K1018" s="2">
        <v>43099</v>
      </c>
      <c r="L1018">
        <v>-150831.601307228</v>
      </c>
      <c r="M1018">
        <v>9639339.6951040197</v>
      </c>
      <c r="N1018">
        <v>1304877.3553180399</v>
      </c>
      <c r="O1018">
        <v>0</v>
      </c>
      <c r="P1018">
        <v>-9639339.6951040197</v>
      </c>
      <c r="Q1018">
        <v>-3066016.9595114901</v>
      </c>
      <c r="R1018">
        <v>0</v>
      </c>
      <c r="S1018">
        <v>0</v>
      </c>
      <c r="T1018">
        <v>-95768.834054863706</v>
      </c>
      <c r="U1018">
        <v>872276.26712478697</v>
      </c>
      <c r="V1018">
        <v>-36841.061709532703</v>
      </c>
    </row>
    <row r="1019" spans="1:22" x14ac:dyDescent="0.3">
      <c r="A1019" t="str">
        <f t="shared" si="30"/>
        <v>PINEPrevisão</v>
      </c>
      <c r="B1019" t="str">
        <f t="shared" si="31"/>
        <v>PINEPrevisãoMar-2018</v>
      </c>
      <c r="C1019" t="s">
        <v>725</v>
      </c>
      <c r="D1019" t="s">
        <v>50</v>
      </c>
      <c r="E1019" t="s">
        <v>40</v>
      </c>
      <c r="F1019" t="s">
        <v>736</v>
      </c>
      <c r="G1019" t="s">
        <v>737</v>
      </c>
      <c r="H1019" t="s">
        <v>738</v>
      </c>
      <c r="I1019" t="s">
        <v>739</v>
      </c>
      <c r="J1019" t="s">
        <v>739</v>
      </c>
      <c r="K1019" s="2">
        <v>43189</v>
      </c>
      <c r="L1019">
        <v>-187003.65218163899</v>
      </c>
      <c r="M1019">
        <v>10011405.978382399</v>
      </c>
      <c r="N1019">
        <v>63434.263803177499</v>
      </c>
      <c r="O1019">
        <v>0</v>
      </c>
      <c r="P1019">
        <v>-10011405.978382399</v>
      </c>
      <c r="Q1019">
        <v>-2603960.2779722</v>
      </c>
      <c r="R1019">
        <v>0</v>
      </c>
      <c r="S1019">
        <v>0</v>
      </c>
      <c r="T1019">
        <v>-161116.078364877</v>
      </c>
      <c r="U1019">
        <v>767164.32393173699</v>
      </c>
      <c r="V1019">
        <v>-37118.574796339999</v>
      </c>
    </row>
    <row r="1020" spans="1:22" x14ac:dyDescent="0.3">
      <c r="A1020" t="str">
        <f t="shared" si="30"/>
        <v>PINEPrevisão</v>
      </c>
      <c r="B1020" t="str">
        <f t="shared" si="31"/>
        <v>PINEPrevisãoJun-2018</v>
      </c>
      <c r="C1020" t="s">
        <v>725</v>
      </c>
      <c r="D1020" t="s">
        <v>50</v>
      </c>
      <c r="E1020" t="s">
        <v>40</v>
      </c>
      <c r="F1020" t="s">
        <v>736</v>
      </c>
      <c r="G1020" t="s">
        <v>737</v>
      </c>
      <c r="H1020" t="s">
        <v>738</v>
      </c>
      <c r="I1020" t="s">
        <v>739</v>
      </c>
      <c r="J1020" t="s">
        <v>739</v>
      </c>
      <c r="K1020" s="2">
        <v>43281</v>
      </c>
      <c r="L1020">
        <v>-226961.45892027399</v>
      </c>
      <c r="M1020">
        <v>10474005.4343006</v>
      </c>
      <c r="N1020">
        <v>-1323690.8682683499</v>
      </c>
      <c r="O1020">
        <v>0</v>
      </c>
      <c r="P1020">
        <v>-10474005.4343006</v>
      </c>
      <c r="Q1020">
        <v>-2105310.9882286498</v>
      </c>
      <c r="R1020">
        <v>0</v>
      </c>
      <c r="S1020">
        <v>0</v>
      </c>
      <c r="T1020">
        <v>-233724.64869553701</v>
      </c>
      <c r="U1020">
        <v>646999.70970859798</v>
      </c>
      <c r="V1020">
        <v>-37550.572361071398</v>
      </c>
    </row>
    <row r="1021" spans="1:22" x14ac:dyDescent="0.3">
      <c r="A1021" t="str">
        <f t="shared" si="30"/>
        <v>PINEPrevisão</v>
      </c>
      <c r="B1021" t="str">
        <f t="shared" si="31"/>
        <v>PINEPrevisãoSet-2018</v>
      </c>
      <c r="C1021" t="s">
        <v>725</v>
      </c>
      <c r="D1021" t="s">
        <v>50</v>
      </c>
      <c r="E1021" t="s">
        <v>40</v>
      </c>
      <c r="F1021" t="s">
        <v>736</v>
      </c>
      <c r="G1021" t="s">
        <v>737</v>
      </c>
      <c r="H1021" t="s">
        <v>738</v>
      </c>
      <c r="I1021" t="s">
        <v>739</v>
      </c>
      <c r="J1021" t="s">
        <v>739</v>
      </c>
      <c r="K1021" s="2">
        <v>43373</v>
      </c>
      <c r="L1021">
        <v>-270868.281802463</v>
      </c>
      <c r="M1021">
        <v>11032909.9733488</v>
      </c>
      <c r="N1021">
        <v>-2863130.2905883202</v>
      </c>
      <c r="O1021">
        <v>0</v>
      </c>
      <c r="P1021">
        <v>-11032909.9733488</v>
      </c>
      <c r="Q1021">
        <v>-1569146.0725380401</v>
      </c>
      <c r="R1021">
        <v>0</v>
      </c>
      <c r="S1021">
        <v>0</v>
      </c>
      <c r="T1021">
        <v>-313898.40067930502</v>
      </c>
      <c r="U1021">
        <v>511027.61275670701</v>
      </c>
      <c r="V1021">
        <v>-38148.494234993399</v>
      </c>
    </row>
    <row r="1022" spans="1:22" x14ac:dyDescent="0.3">
      <c r="A1022" t="str">
        <f t="shared" si="30"/>
        <v>BPANPrevisão</v>
      </c>
      <c r="B1022" t="str">
        <f t="shared" si="31"/>
        <v>BPANPrevisãoDez-2022</v>
      </c>
      <c r="C1022" t="s">
        <v>47</v>
      </c>
      <c r="D1022" t="s">
        <v>48</v>
      </c>
      <c r="E1022" t="s">
        <v>40</v>
      </c>
      <c r="F1022" t="s">
        <v>736</v>
      </c>
      <c r="G1022" t="s">
        <v>737</v>
      </c>
      <c r="H1022" t="s">
        <v>738</v>
      </c>
      <c r="I1022" t="s">
        <v>739</v>
      </c>
      <c r="J1022" t="s">
        <v>739</v>
      </c>
      <c r="K1022" s="2">
        <v>44925</v>
      </c>
      <c r="L1022">
        <v>171422.10932865299</v>
      </c>
      <c r="M1022">
        <v>61373680.900613502</v>
      </c>
      <c r="N1022">
        <v>31483756.153636899</v>
      </c>
      <c r="O1022">
        <v>0</v>
      </c>
      <c r="P1022">
        <v>-61373680.900613502</v>
      </c>
      <c r="Q1022">
        <v>-28598659.534337401</v>
      </c>
      <c r="R1022">
        <v>0</v>
      </c>
      <c r="S1022">
        <v>0</v>
      </c>
      <c r="T1022">
        <v>1774055.30048383</v>
      </c>
      <c r="U1022">
        <v>8448091.0827605892</v>
      </c>
      <c r="V1022">
        <v>-1705905.2981919399</v>
      </c>
    </row>
    <row r="1023" spans="1:22" x14ac:dyDescent="0.3">
      <c r="A1023" t="str">
        <f t="shared" si="30"/>
        <v>BPANPrevisão</v>
      </c>
      <c r="B1023" t="str">
        <f t="shared" si="31"/>
        <v>BPANPrevisãoMar-2023</v>
      </c>
      <c r="C1023" t="s">
        <v>47</v>
      </c>
      <c r="D1023" t="s">
        <v>48</v>
      </c>
      <c r="E1023" t="s">
        <v>40</v>
      </c>
      <c r="F1023" t="s">
        <v>736</v>
      </c>
      <c r="G1023" t="s">
        <v>737</v>
      </c>
      <c r="H1023" t="s">
        <v>738</v>
      </c>
      <c r="I1023" t="s">
        <v>739</v>
      </c>
      <c r="J1023" t="s">
        <v>739</v>
      </c>
      <c r="K1023" s="2">
        <v>45015</v>
      </c>
      <c r="L1023">
        <v>160220.86853553701</v>
      </c>
      <c r="M1023">
        <v>66248632.7161339</v>
      </c>
      <c r="N1023">
        <v>34515649.578512996</v>
      </c>
      <c r="O1023">
        <v>0</v>
      </c>
      <c r="P1023">
        <v>-66248632.7161339</v>
      </c>
      <c r="Q1023">
        <v>-30455930.942324501</v>
      </c>
      <c r="R1023">
        <v>0</v>
      </c>
      <c r="S1023">
        <v>0</v>
      </c>
      <c r="T1023">
        <v>1996311.21949909</v>
      </c>
      <c r="U1023">
        <v>9069601.8754433598</v>
      </c>
      <c r="V1023">
        <v>-1795541.2888388301</v>
      </c>
    </row>
    <row r="1024" spans="1:22" x14ac:dyDescent="0.3">
      <c r="A1024" t="str">
        <f t="shared" si="30"/>
        <v>BPANPrevisão</v>
      </c>
      <c r="B1024" t="str">
        <f t="shared" si="31"/>
        <v>BPANPrevisãoJun-2023</v>
      </c>
      <c r="C1024" t="s">
        <v>47</v>
      </c>
      <c r="D1024" t="s">
        <v>48</v>
      </c>
      <c r="E1024" t="s">
        <v>40</v>
      </c>
      <c r="F1024" t="s">
        <v>736</v>
      </c>
      <c r="G1024" t="s">
        <v>737</v>
      </c>
      <c r="H1024" t="s">
        <v>738</v>
      </c>
      <c r="I1024" t="s">
        <v>739</v>
      </c>
      <c r="J1024" t="s">
        <v>739</v>
      </c>
      <c r="K1024" s="2">
        <v>45107</v>
      </c>
      <c r="L1024">
        <v>145485.242135754</v>
      </c>
      <c r="M1024">
        <v>71560436.203211993</v>
      </c>
      <c r="N1024">
        <v>37827341.588191599</v>
      </c>
      <c r="O1024">
        <v>0</v>
      </c>
      <c r="P1024">
        <v>-71560436.203211993</v>
      </c>
      <c r="Q1024">
        <v>-32501657.3310096</v>
      </c>
      <c r="R1024">
        <v>0</v>
      </c>
      <c r="S1024">
        <v>0</v>
      </c>
      <c r="T1024">
        <v>2235661.2487708498</v>
      </c>
      <c r="U1024">
        <v>9742832.6410567295</v>
      </c>
      <c r="V1024">
        <v>-1891119.72907009</v>
      </c>
    </row>
    <row r="1025" spans="1:22" x14ac:dyDescent="0.3">
      <c r="A1025" t="str">
        <f t="shared" si="30"/>
        <v>BPANPrevisão</v>
      </c>
      <c r="B1025" t="str">
        <f t="shared" si="31"/>
        <v>BPANPrevisãoSet-2023</v>
      </c>
      <c r="C1025" t="s">
        <v>47</v>
      </c>
      <c r="D1025" t="s">
        <v>48</v>
      </c>
      <c r="E1025" t="s">
        <v>40</v>
      </c>
      <c r="F1025" t="s">
        <v>736</v>
      </c>
      <c r="G1025" t="s">
        <v>737</v>
      </c>
      <c r="H1025" t="s">
        <v>738</v>
      </c>
      <c r="I1025" t="s">
        <v>739</v>
      </c>
      <c r="J1025" t="s">
        <v>739</v>
      </c>
      <c r="K1025" s="2">
        <v>45199</v>
      </c>
      <c r="L1025">
        <v>127003.39208874801</v>
      </c>
      <c r="M1025">
        <v>77329136.2524454</v>
      </c>
      <c r="N1025">
        <v>41431390.616831101</v>
      </c>
      <c r="O1025">
        <v>0</v>
      </c>
      <c r="P1025">
        <v>-77329136.2524454</v>
      </c>
      <c r="Q1025">
        <v>-34745887.3323083</v>
      </c>
      <c r="R1025">
        <v>0</v>
      </c>
      <c r="S1025">
        <v>0</v>
      </c>
      <c r="T1025">
        <v>2492705.7246096199</v>
      </c>
      <c r="U1025">
        <v>10470055.1090349</v>
      </c>
      <c r="V1025">
        <v>-1992908.9314734901</v>
      </c>
    </row>
    <row r="1026" spans="1:22" x14ac:dyDescent="0.3">
      <c r="A1026" t="str">
        <f t="shared" ref="A1026:A1089" si="32">_xlfn.CONCAT(D1026,F1026)</f>
        <v>BNBRPrevisão</v>
      </c>
      <c r="B1026" t="str">
        <f t="shared" ref="B1026:B1089" si="33">_xlfn.CONCAT(D1026,F1026,PROPER(TEXT(K1026,"mmm-aaaa")))</f>
        <v>BNBRPrevisãoDez-2022</v>
      </c>
      <c r="C1026" t="s">
        <v>75</v>
      </c>
      <c r="D1026" t="s">
        <v>76</v>
      </c>
      <c r="E1026" t="s">
        <v>40</v>
      </c>
      <c r="F1026" t="s">
        <v>736</v>
      </c>
      <c r="G1026" t="s">
        <v>737</v>
      </c>
      <c r="H1026" t="s">
        <v>738</v>
      </c>
      <c r="I1026" t="s">
        <v>739</v>
      </c>
      <c r="J1026" t="s">
        <v>739</v>
      </c>
      <c r="K1026" s="2">
        <v>44925</v>
      </c>
      <c r="L1026">
        <v>-98247.842118646804</v>
      </c>
      <c r="M1026">
        <v>62403276.1010985</v>
      </c>
      <c r="N1026">
        <v>-5559163.8650353504</v>
      </c>
      <c r="O1026">
        <v>0</v>
      </c>
      <c r="P1026">
        <v>-62403276.1010985</v>
      </c>
      <c r="Q1026">
        <v>6217808.33995385</v>
      </c>
      <c r="R1026">
        <v>0</v>
      </c>
      <c r="S1026">
        <v>0</v>
      </c>
      <c r="T1026">
        <v>1148492.5120952399</v>
      </c>
      <c r="U1026">
        <v>9505550.2833375297</v>
      </c>
      <c r="V1026">
        <v>1039830.19259826</v>
      </c>
    </row>
    <row r="1027" spans="1:22" x14ac:dyDescent="0.3">
      <c r="A1027" t="str">
        <f t="shared" si="32"/>
        <v>BNBRPrevisão</v>
      </c>
      <c r="B1027" t="str">
        <f t="shared" si="33"/>
        <v>BNBRPrevisãoMar-2023</v>
      </c>
      <c r="C1027" t="s">
        <v>75</v>
      </c>
      <c r="D1027" t="s">
        <v>76</v>
      </c>
      <c r="E1027" t="s">
        <v>40</v>
      </c>
      <c r="F1027" t="s">
        <v>736</v>
      </c>
      <c r="G1027" t="s">
        <v>737</v>
      </c>
      <c r="H1027" t="s">
        <v>738</v>
      </c>
      <c r="I1027" t="s">
        <v>739</v>
      </c>
      <c r="J1027" t="s">
        <v>739</v>
      </c>
      <c r="K1027" s="2">
        <v>45015</v>
      </c>
      <c r="L1027">
        <v>-168856.92794168799</v>
      </c>
      <c r="M1027">
        <v>61807862.751647197</v>
      </c>
      <c r="N1027">
        <v>-8869687.5747644193</v>
      </c>
      <c r="O1027">
        <v>0</v>
      </c>
      <c r="P1027">
        <v>-61807862.751647197</v>
      </c>
      <c r="Q1027">
        <v>9949826.2479987293</v>
      </c>
      <c r="R1027">
        <v>0</v>
      </c>
      <c r="S1027">
        <v>0</v>
      </c>
      <c r="T1027">
        <v>984500.41616195999</v>
      </c>
      <c r="U1027">
        <v>10162701.336772099</v>
      </c>
      <c r="V1027">
        <v>1220428.65062621</v>
      </c>
    </row>
    <row r="1028" spans="1:22" x14ac:dyDescent="0.3">
      <c r="A1028" t="str">
        <f t="shared" si="32"/>
        <v>BNBRPrevisão</v>
      </c>
      <c r="B1028" t="str">
        <f t="shared" si="33"/>
        <v>BNBRPrevisãoJun-2023</v>
      </c>
      <c r="C1028" t="s">
        <v>75</v>
      </c>
      <c r="D1028" t="s">
        <v>76</v>
      </c>
      <c r="E1028" t="s">
        <v>40</v>
      </c>
      <c r="F1028" t="s">
        <v>736</v>
      </c>
      <c r="G1028" t="s">
        <v>737</v>
      </c>
      <c r="H1028" t="s">
        <v>738</v>
      </c>
      <c r="I1028" t="s">
        <v>739</v>
      </c>
      <c r="J1028" t="s">
        <v>739</v>
      </c>
      <c r="K1028" s="2">
        <v>45107</v>
      </c>
      <c r="L1028">
        <v>-248102.626947496</v>
      </c>
      <c r="M1028">
        <v>61011144.0076074</v>
      </c>
      <c r="N1028">
        <v>-12410779.0155681</v>
      </c>
      <c r="O1028">
        <v>0</v>
      </c>
      <c r="P1028">
        <v>-61011144.0076074</v>
      </c>
      <c r="Q1028">
        <v>14025715.992845001</v>
      </c>
      <c r="R1028">
        <v>0</v>
      </c>
      <c r="S1028">
        <v>0</v>
      </c>
      <c r="T1028">
        <v>794756.95832846698</v>
      </c>
      <c r="U1028">
        <v>10862750.64896</v>
      </c>
      <c r="V1028">
        <v>1416906.14135405</v>
      </c>
    </row>
    <row r="1029" spans="1:22" x14ac:dyDescent="0.3">
      <c r="A1029" t="str">
        <f t="shared" si="32"/>
        <v>BNBRPrevisão</v>
      </c>
      <c r="B1029" t="str">
        <f t="shared" si="33"/>
        <v>BNBRPrevisãoSet-2023</v>
      </c>
      <c r="C1029" t="s">
        <v>75</v>
      </c>
      <c r="D1029" t="s">
        <v>76</v>
      </c>
      <c r="E1029" t="s">
        <v>40</v>
      </c>
      <c r="F1029" t="s">
        <v>736</v>
      </c>
      <c r="G1029" t="s">
        <v>737</v>
      </c>
      <c r="H1029" t="s">
        <v>738</v>
      </c>
      <c r="I1029" t="s">
        <v>739</v>
      </c>
      <c r="J1029" t="s">
        <v>739</v>
      </c>
      <c r="K1029" s="2">
        <v>45199</v>
      </c>
      <c r="L1029">
        <v>-336399.864145706</v>
      </c>
      <c r="M1029">
        <v>60004193.548747398</v>
      </c>
      <c r="N1029">
        <v>-16188250.6350495</v>
      </c>
      <c r="O1029">
        <v>0</v>
      </c>
      <c r="P1029">
        <v>-60004193.548747398</v>
      </c>
      <c r="Q1029">
        <v>18458702.8920056</v>
      </c>
      <c r="R1029">
        <v>0</v>
      </c>
      <c r="S1029">
        <v>0</v>
      </c>
      <c r="T1029">
        <v>578030.14173560496</v>
      </c>
      <c r="U1029">
        <v>11607136.807644</v>
      </c>
      <c r="V1029">
        <v>1629889.82371899</v>
      </c>
    </row>
    <row r="1030" spans="1:22" x14ac:dyDescent="0.3">
      <c r="A1030" t="str">
        <f t="shared" si="32"/>
        <v>BMEBPrevisão</v>
      </c>
      <c r="B1030" t="str">
        <f t="shared" si="33"/>
        <v>BMEBPrevisãoDez-2022</v>
      </c>
      <c r="C1030" t="s">
        <v>73</v>
      </c>
      <c r="D1030" t="s">
        <v>74</v>
      </c>
      <c r="E1030" t="s">
        <v>40</v>
      </c>
      <c r="F1030" t="s">
        <v>736</v>
      </c>
      <c r="G1030" t="s">
        <v>737</v>
      </c>
      <c r="H1030" t="s">
        <v>738</v>
      </c>
      <c r="I1030" t="s">
        <v>739</v>
      </c>
      <c r="J1030" t="s">
        <v>739</v>
      </c>
      <c r="K1030" s="2">
        <v>44925</v>
      </c>
      <c r="L1030">
        <v>6911.0325099289103</v>
      </c>
      <c r="M1030">
        <v>16874414.1016022</v>
      </c>
      <c r="N1030">
        <v>2551560.9300560001</v>
      </c>
      <c r="O1030">
        <v>0</v>
      </c>
      <c r="P1030">
        <v>-16874414.1016022</v>
      </c>
      <c r="Q1030">
        <v>-2214185.3881673198</v>
      </c>
      <c r="R1030">
        <v>0</v>
      </c>
      <c r="S1030">
        <v>0</v>
      </c>
      <c r="T1030">
        <v>620380.27739573503</v>
      </c>
      <c r="U1030">
        <v>1368235.7547746201</v>
      </c>
      <c r="V1030">
        <v>-112051.753161842</v>
      </c>
    </row>
    <row r="1031" spans="1:22" x14ac:dyDescent="0.3">
      <c r="A1031" t="str">
        <f t="shared" si="32"/>
        <v>BMEBPrevisão</v>
      </c>
      <c r="B1031" t="str">
        <f t="shared" si="33"/>
        <v>BMEBPrevisãoMar-2023</v>
      </c>
      <c r="C1031" t="s">
        <v>73</v>
      </c>
      <c r="D1031" t="s">
        <v>74</v>
      </c>
      <c r="E1031" t="s">
        <v>40</v>
      </c>
      <c r="F1031" t="s">
        <v>736</v>
      </c>
      <c r="G1031" t="s">
        <v>737</v>
      </c>
      <c r="H1031" t="s">
        <v>738</v>
      </c>
      <c r="I1031" t="s">
        <v>739</v>
      </c>
      <c r="J1031" t="s">
        <v>739</v>
      </c>
      <c r="K1031" s="2">
        <v>45015</v>
      </c>
      <c r="L1031">
        <v>-2197.3949052726398</v>
      </c>
      <c r="M1031">
        <v>18547462.651096702</v>
      </c>
      <c r="N1031">
        <v>2306436.1468295502</v>
      </c>
      <c r="O1031">
        <v>0</v>
      </c>
      <c r="P1031">
        <v>-18547462.651096702</v>
      </c>
      <c r="Q1031">
        <v>-2207997.1231138599</v>
      </c>
      <c r="R1031">
        <v>0</v>
      </c>
      <c r="S1031">
        <v>0</v>
      </c>
      <c r="T1031">
        <v>665042.53641333</v>
      </c>
      <c r="U1031">
        <v>1449431.51080873</v>
      </c>
      <c r="V1031">
        <v>-73276.786740867698</v>
      </c>
    </row>
    <row r="1032" spans="1:22" x14ac:dyDescent="0.3">
      <c r="A1032" t="str">
        <f t="shared" si="32"/>
        <v>BMEBPrevisão</v>
      </c>
      <c r="B1032" t="str">
        <f t="shared" si="33"/>
        <v>BMEBPrevisãoJun-2023</v>
      </c>
      <c r="C1032" t="s">
        <v>73</v>
      </c>
      <c r="D1032" t="s">
        <v>74</v>
      </c>
      <c r="E1032" t="s">
        <v>40</v>
      </c>
      <c r="F1032" t="s">
        <v>736</v>
      </c>
      <c r="G1032" t="s">
        <v>737</v>
      </c>
      <c r="H1032" t="s">
        <v>738</v>
      </c>
      <c r="I1032" t="s">
        <v>739</v>
      </c>
      <c r="J1032" t="s">
        <v>739</v>
      </c>
      <c r="K1032" s="2">
        <v>45107</v>
      </c>
      <c r="L1032">
        <v>-12830.9770786671</v>
      </c>
      <c r="M1032">
        <v>20426424.296874002</v>
      </c>
      <c r="N1032">
        <v>2067332.2640414301</v>
      </c>
      <c r="O1032">
        <v>0</v>
      </c>
      <c r="P1032">
        <v>-20426424.296874002</v>
      </c>
      <c r="Q1032">
        <v>-2214049.95881814</v>
      </c>
      <c r="R1032">
        <v>0</v>
      </c>
      <c r="S1032">
        <v>0</v>
      </c>
      <c r="T1032">
        <v>712886.78555292601</v>
      </c>
      <c r="U1032">
        <v>1537202.2712084299</v>
      </c>
      <c r="V1032">
        <v>-30000.658067534299</v>
      </c>
    </row>
    <row r="1033" spans="1:22" x14ac:dyDescent="0.3">
      <c r="A1033" t="str">
        <f t="shared" si="32"/>
        <v>BMEBPrevisão</v>
      </c>
      <c r="B1033" t="str">
        <f t="shared" si="33"/>
        <v>BMEBPrevisãoSet-2023</v>
      </c>
      <c r="C1033" t="s">
        <v>73</v>
      </c>
      <c r="D1033" t="s">
        <v>74</v>
      </c>
      <c r="E1033" t="s">
        <v>40</v>
      </c>
      <c r="F1033" t="s">
        <v>736</v>
      </c>
      <c r="G1033" t="s">
        <v>737</v>
      </c>
      <c r="H1033" t="s">
        <v>738</v>
      </c>
      <c r="I1033" t="s">
        <v>739</v>
      </c>
      <c r="J1033" t="s">
        <v>739</v>
      </c>
      <c r="K1033" s="2">
        <v>45199</v>
      </c>
      <c r="L1033">
        <v>-25075.056045138601</v>
      </c>
      <c r="M1033">
        <v>22521284.113850299</v>
      </c>
      <c r="N1033">
        <v>1835205.1328692201</v>
      </c>
      <c r="O1033">
        <v>0</v>
      </c>
      <c r="P1033">
        <v>-22521284.113850299</v>
      </c>
      <c r="Q1033">
        <v>-2233023.9838808202</v>
      </c>
      <c r="R1033">
        <v>0</v>
      </c>
      <c r="S1033">
        <v>0</v>
      </c>
      <c r="T1033">
        <v>764001.19465014397</v>
      </c>
      <c r="U1033">
        <v>1631796.00691001</v>
      </c>
      <c r="V1033">
        <v>17971.2820905154</v>
      </c>
    </row>
    <row r="1034" spans="1:22" x14ac:dyDescent="0.3">
      <c r="A1034" t="str">
        <f t="shared" si="32"/>
        <v>BMINPrevisão</v>
      </c>
      <c r="B1034" t="str">
        <f t="shared" si="33"/>
        <v>BMINPrevisãoDez-2022</v>
      </c>
      <c r="C1034" t="s">
        <v>71</v>
      </c>
      <c r="D1034" t="s">
        <v>72</v>
      </c>
      <c r="E1034" t="s">
        <v>40</v>
      </c>
      <c r="F1034" t="s">
        <v>736</v>
      </c>
      <c r="G1034" t="s">
        <v>737</v>
      </c>
      <c r="H1034" t="s">
        <v>738</v>
      </c>
      <c r="I1034" t="s">
        <v>739</v>
      </c>
      <c r="J1034" t="s">
        <v>739</v>
      </c>
      <c r="K1034" s="2">
        <v>44925</v>
      </c>
      <c r="L1034">
        <v>1023.32221373383</v>
      </c>
      <c r="M1034">
        <v>143503.08437395701</v>
      </c>
      <c r="N1034">
        <v>-101771.662506637</v>
      </c>
      <c r="O1034">
        <v>0</v>
      </c>
      <c r="P1034">
        <v>-143503.08437395701</v>
      </c>
      <c r="Q1034">
        <v>6874.63763701263</v>
      </c>
      <c r="R1034">
        <v>0</v>
      </c>
      <c r="S1034">
        <v>0</v>
      </c>
      <c r="T1034">
        <v>35044.355148121998</v>
      </c>
      <c r="U1034">
        <v>108654.435531783</v>
      </c>
      <c r="V1034">
        <v>2526.34640522878</v>
      </c>
    </row>
    <row r="1035" spans="1:22" x14ac:dyDescent="0.3">
      <c r="A1035" t="str">
        <f t="shared" si="32"/>
        <v>BMINPrevisão</v>
      </c>
      <c r="B1035" t="str">
        <f t="shared" si="33"/>
        <v>BMINPrevisãoMar-2023</v>
      </c>
      <c r="C1035" t="s">
        <v>71</v>
      </c>
      <c r="D1035" t="s">
        <v>72</v>
      </c>
      <c r="E1035" t="s">
        <v>40</v>
      </c>
      <c r="F1035" t="s">
        <v>736</v>
      </c>
      <c r="G1035" t="s">
        <v>737</v>
      </c>
      <c r="H1035" t="s">
        <v>738</v>
      </c>
      <c r="I1035" t="s">
        <v>739</v>
      </c>
      <c r="J1035" t="s">
        <v>739</v>
      </c>
      <c r="K1035" s="2">
        <v>45015</v>
      </c>
      <c r="L1035">
        <v>1223.66609772473</v>
      </c>
      <c r="M1035">
        <v>88673.048372399702</v>
      </c>
      <c r="N1035">
        <v>-166833.63882437599</v>
      </c>
      <c r="O1035">
        <v>0</v>
      </c>
      <c r="P1035">
        <v>-88673.048372399702</v>
      </c>
      <c r="Q1035">
        <v>29980.684622917699</v>
      </c>
      <c r="R1035">
        <v>0</v>
      </c>
      <c r="S1035">
        <v>0</v>
      </c>
      <c r="T1035">
        <v>36294.617200855202</v>
      </c>
      <c r="U1035">
        <v>102782.613502728</v>
      </c>
      <c r="V1035">
        <v>3592.0942286824702</v>
      </c>
    </row>
    <row r="1036" spans="1:22" x14ac:dyDescent="0.3">
      <c r="A1036" t="str">
        <f t="shared" si="32"/>
        <v>BMINPrevisão</v>
      </c>
      <c r="B1036" t="str">
        <f t="shared" si="33"/>
        <v>BMINPrevisãoJun-2023</v>
      </c>
      <c r="C1036" t="s">
        <v>71</v>
      </c>
      <c r="D1036" t="s">
        <v>72</v>
      </c>
      <c r="E1036" t="s">
        <v>40</v>
      </c>
      <c r="F1036" t="s">
        <v>736</v>
      </c>
      <c r="G1036" t="s">
        <v>737</v>
      </c>
      <c r="H1036" t="s">
        <v>738</v>
      </c>
      <c r="I1036" t="s">
        <v>739</v>
      </c>
      <c r="J1036" t="s">
        <v>739</v>
      </c>
      <c r="K1036" s="2">
        <v>45107</v>
      </c>
      <c r="L1036">
        <v>1445.2591854447101</v>
      </c>
      <c r="M1036">
        <v>23018.959550543401</v>
      </c>
      <c r="N1036">
        <v>-242996.52267905901</v>
      </c>
      <c r="O1036">
        <v>0</v>
      </c>
      <c r="P1036">
        <v>-23018.959550543401</v>
      </c>
      <c r="Q1036">
        <v>57575.574391821399</v>
      </c>
      <c r="R1036">
        <v>0</v>
      </c>
      <c r="S1036">
        <v>0</v>
      </c>
      <c r="T1036">
        <v>37697.629928512499</v>
      </c>
      <c r="U1036">
        <v>96334.865408692902</v>
      </c>
      <c r="V1036">
        <v>4762.6130535666098</v>
      </c>
    </row>
    <row r="1037" spans="1:22" x14ac:dyDescent="0.3">
      <c r="A1037" t="str">
        <f t="shared" si="32"/>
        <v>BMINPrevisão</v>
      </c>
      <c r="B1037" t="str">
        <f t="shared" si="33"/>
        <v>BMINPrevisãoSet-2023</v>
      </c>
      <c r="C1037" t="s">
        <v>71</v>
      </c>
      <c r="D1037" t="s">
        <v>72</v>
      </c>
      <c r="E1037" t="s">
        <v>40</v>
      </c>
      <c r="F1037" t="s">
        <v>736</v>
      </c>
      <c r="G1037" t="s">
        <v>737</v>
      </c>
      <c r="H1037" t="s">
        <v>738</v>
      </c>
      <c r="I1037" t="s">
        <v>739</v>
      </c>
      <c r="J1037" t="s">
        <v>739</v>
      </c>
      <c r="K1037" s="2">
        <v>45199</v>
      </c>
      <c r="L1037">
        <v>1688.8772590193901</v>
      </c>
      <c r="M1037">
        <v>-54179.253161599103</v>
      </c>
      <c r="N1037">
        <v>-330986.20931334799</v>
      </c>
      <c r="O1037">
        <v>0</v>
      </c>
      <c r="P1037">
        <v>54179.253161599103</v>
      </c>
      <c r="Q1037">
        <v>89967.947511979801</v>
      </c>
      <c r="R1037">
        <v>0</v>
      </c>
      <c r="S1037">
        <v>0</v>
      </c>
      <c r="T1037">
        <v>39261.555614249897</v>
      </c>
      <c r="U1037">
        <v>89300.5017123609</v>
      </c>
      <c r="V1037">
        <v>6042.0634808250497</v>
      </c>
    </row>
    <row r="1038" spans="1:22" x14ac:dyDescent="0.3">
      <c r="A1038" t="str">
        <f t="shared" si="32"/>
        <v>BRSRPrevisão</v>
      </c>
      <c r="B1038" t="str">
        <f t="shared" si="33"/>
        <v>BRSRPrevisãoDez-2022</v>
      </c>
      <c r="C1038" t="s">
        <v>69</v>
      </c>
      <c r="D1038" t="s">
        <v>70</v>
      </c>
      <c r="E1038" t="s">
        <v>40</v>
      </c>
      <c r="F1038" t="s">
        <v>736</v>
      </c>
      <c r="G1038" t="s">
        <v>737</v>
      </c>
      <c r="H1038" t="s">
        <v>738</v>
      </c>
      <c r="I1038" t="s">
        <v>739</v>
      </c>
      <c r="J1038" t="s">
        <v>739</v>
      </c>
      <c r="K1038" s="2">
        <v>44925</v>
      </c>
      <c r="L1038">
        <v>-148356.99745356399</v>
      </c>
      <c r="M1038">
        <v>119096980.586025</v>
      </c>
      <c r="N1038">
        <v>-23428868.213644002</v>
      </c>
      <c r="O1038">
        <v>0</v>
      </c>
      <c r="P1038">
        <v>-119096980.586025</v>
      </c>
      <c r="Q1038">
        <v>15062662.1044046</v>
      </c>
      <c r="R1038">
        <v>0</v>
      </c>
      <c r="S1038">
        <v>0</v>
      </c>
      <c r="T1038">
        <v>4393914.2139037298</v>
      </c>
      <c r="U1038">
        <v>9321160.8629148491</v>
      </c>
      <c r="V1038">
        <v>674018.02351244399</v>
      </c>
    </row>
    <row r="1039" spans="1:22" x14ac:dyDescent="0.3">
      <c r="A1039" t="str">
        <f t="shared" si="32"/>
        <v>BRSRPrevisão</v>
      </c>
      <c r="B1039" t="str">
        <f t="shared" si="33"/>
        <v>BRSRPrevisãoMar-2023</v>
      </c>
      <c r="C1039" t="s">
        <v>69</v>
      </c>
      <c r="D1039" t="s">
        <v>70</v>
      </c>
      <c r="E1039" t="s">
        <v>40</v>
      </c>
      <c r="F1039" t="s">
        <v>736</v>
      </c>
      <c r="G1039" t="s">
        <v>737</v>
      </c>
      <c r="H1039" t="s">
        <v>738</v>
      </c>
      <c r="I1039" t="s">
        <v>739</v>
      </c>
      <c r="J1039" t="s">
        <v>739</v>
      </c>
      <c r="K1039" s="2">
        <v>45015</v>
      </c>
      <c r="L1039">
        <v>-211881.97096337299</v>
      </c>
      <c r="M1039">
        <v>124802560.90002</v>
      </c>
      <c r="N1039">
        <v>-34978344.629593499</v>
      </c>
      <c r="O1039">
        <v>0</v>
      </c>
      <c r="P1039">
        <v>-124802560.90002</v>
      </c>
      <c r="Q1039">
        <v>23304249.413911901</v>
      </c>
      <c r="R1039">
        <v>0</v>
      </c>
      <c r="S1039">
        <v>0</v>
      </c>
      <c r="T1039">
        <v>4586837.7234323602</v>
      </c>
      <c r="U1039">
        <v>9465401.0649534091</v>
      </c>
      <c r="V1039">
        <v>857450.82870037004</v>
      </c>
    </row>
    <row r="1040" spans="1:22" x14ac:dyDescent="0.3">
      <c r="A1040" t="str">
        <f t="shared" si="32"/>
        <v>BRSRPrevisão</v>
      </c>
      <c r="B1040" t="str">
        <f t="shared" si="33"/>
        <v>BRSRPrevisãoJun-2023</v>
      </c>
      <c r="C1040" t="s">
        <v>69</v>
      </c>
      <c r="D1040" t="s">
        <v>70</v>
      </c>
      <c r="E1040" t="s">
        <v>40</v>
      </c>
      <c r="F1040" t="s">
        <v>736</v>
      </c>
      <c r="G1040" t="s">
        <v>737</v>
      </c>
      <c r="H1040" t="s">
        <v>738</v>
      </c>
      <c r="I1040" t="s">
        <v>739</v>
      </c>
      <c r="J1040" t="s">
        <v>739</v>
      </c>
      <c r="K1040" s="2">
        <v>45107</v>
      </c>
      <c r="L1040">
        <v>-281764.210721982</v>
      </c>
      <c r="M1040">
        <v>130953779.98014501</v>
      </c>
      <c r="N1040">
        <v>-47698311.026712999</v>
      </c>
      <c r="O1040">
        <v>0</v>
      </c>
      <c r="P1040">
        <v>-130953779.98014501</v>
      </c>
      <c r="Q1040">
        <v>32355403.18894</v>
      </c>
      <c r="R1040">
        <v>0</v>
      </c>
      <c r="S1040">
        <v>0</v>
      </c>
      <c r="T1040">
        <v>4788104.9809633996</v>
      </c>
      <c r="U1040">
        <v>9607853.8058901802</v>
      </c>
      <c r="V1040">
        <v>1056202.10267081</v>
      </c>
    </row>
    <row r="1041" spans="1:22" x14ac:dyDescent="0.3">
      <c r="A1041" t="str">
        <f t="shared" si="32"/>
        <v>BRSRPrevisão</v>
      </c>
      <c r="B1041" t="str">
        <f t="shared" si="33"/>
        <v>BRSRPrevisãoSet-2023</v>
      </c>
      <c r="C1041" t="s">
        <v>69</v>
      </c>
      <c r="D1041" t="s">
        <v>70</v>
      </c>
      <c r="E1041" t="s">
        <v>40</v>
      </c>
      <c r="F1041" t="s">
        <v>736</v>
      </c>
      <c r="G1041" t="s">
        <v>737</v>
      </c>
      <c r="H1041" t="s">
        <v>738</v>
      </c>
      <c r="I1041" t="s">
        <v>739</v>
      </c>
      <c r="J1041" t="s">
        <v>739</v>
      </c>
      <c r="K1041" s="2">
        <v>45199</v>
      </c>
      <c r="L1041">
        <v>-358281.70805625198</v>
      </c>
      <c r="M1041">
        <v>137571963.051139</v>
      </c>
      <c r="N1041">
        <v>-61637400.652194798</v>
      </c>
      <c r="O1041">
        <v>0</v>
      </c>
      <c r="P1041">
        <v>-137571963.051139</v>
      </c>
      <c r="Q1041">
        <v>42250033.792654701</v>
      </c>
      <c r="R1041">
        <v>0</v>
      </c>
      <c r="S1041">
        <v>0</v>
      </c>
      <c r="T1041">
        <v>4997962.2108041598</v>
      </c>
      <c r="U1041">
        <v>9748386.0244815405</v>
      </c>
      <c r="V1041">
        <v>1270816.86438088</v>
      </c>
    </row>
    <row r="1042" spans="1:22" x14ac:dyDescent="0.3">
      <c r="A1042" t="str">
        <f t="shared" si="32"/>
        <v>BPARPrevisão</v>
      </c>
      <c r="B1042" t="str">
        <f t="shared" si="33"/>
        <v>BPARPrevisãoDez-2022</v>
      </c>
      <c r="C1042" t="s">
        <v>67</v>
      </c>
      <c r="D1042" t="s">
        <v>68</v>
      </c>
      <c r="E1042" t="s">
        <v>40</v>
      </c>
      <c r="F1042" t="s">
        <v>736</v>
      </c>
      <c r="G1042" t="s">
        <v>737</v>
      </c>
      <c r="H1042" t="s">
        <v>738</v>
      </c>
      <c r="I1042" t="s">
        <v>739</v>
      </c>
      <c r="J1042" t="s">
        <v>739</v>
      </c>
      <c r="K1042" s="2">
        <v>44925</v>
      </c>
      <c r="L1042">
        <v>-42350.218996696902</v>
      </c>
      <c r="M1042">
        <v>17498834.8876158</v>
      </c>
      <c r="N1042">
        <v>-2276885.3999659899</v>
      </c>
      <c r="O1042">
        <v>0</v>
      </c>
      <c r="P1042">
        <v>-17498834.8876158</v>
      </c>
      <c r="Q1042">
        <v>2388584.5384939299</v>
      </c>
      <c r="R1042">
        <v>0</v>
      </c>
      <c r="S1042">
        <v>0</v>
      </c>
      <c r="T1042">
        <v>26052.4890925691</v>
      </c>
      <c r="U1042">
        <v>1763421.0123079501</v>
      </c>
      <c r="V1042">
        <v>160876.06731177101</v>
      </c>
    </row>
    <row r="1043" spans="1:22" x14ac:dyDescent="0.3">
      <c r="A1043" t="str">
        <f t="shared" si="32"/>
        <v>BPARPrevisão</v>
      </c>
      <c r="B1043" t="str">
        <f t="shared" si="33"/>
        <v>BPARPrevisãoMar-2023</v>
      </c>
      <c r="C1043" t="s">
        <v>67</v>
      </c>
      <c r="D1043" t="s">
        <v>68</v>
      </c>
      <c r="E1043" t="s">
        <v>40</v>
      </c>
      <c r="F1043" t="s">
        <v>736</v>
      </c>
      <c r="G1043" t="s">
        <v>737</v>
      </c>
      <c r="H1043" t="s">
        <v>738</v>
      </c>
      <c r="I1043" t="s">
        <v>739</v>
      </c>
      <c r="J1043" t="s">
        <v>739</v>
      </c>
      <c r="K1043" s="2">
        <v>45015</v>
      </c>
      <c r="L1043">
        <v>-61636.315762678903</v>
      </c>
      <c r="M1043">
        <v>18817707.784697201</v>
      </c>
      <c r="N1043">
        <v>-3293534.1141347</v>
      </c>
      <c r="O1043">
        <v>0</v>
      </c>
      <c r="P1043">
        <v>-18817707.784697201</v>
      </c>
      <c r="Q1043">
        <v>3460373.8843118302</v>
      </c>
      <c r="R1043">
        <v>0</v>
      </c>
      <c r="S1043">
        <v>0</v>
      </c>
      <c r="T1043">
        <v>-14656.047036387999</v>
      </c>
      <c r="U1043">
        <v>1790074.74148708</v>
      </c>
      <c r="V1043">
        <v>212398.239873179</v>
      </c>
    </row>
    <row r="1044" spans="1:22" x14ac:dyDescent="0.3">
      <c r="A1044" t="str">
        <f t="shared" si="32"/>
        <v>BPARPrevisão</v>
      </c>
      <c r="B1044" t="str">
        <f t="shared" si="33"/>
        <v>BPARPrevisãoJun-2023</v>
      </c>
      <c r="C1044" t="s">
        <v>67</v>
      </c>
      <c r="D1044" t="s">
        <v>68</v>
      </c>
      <c r="E1044" t="s">
        <v>40</v>
      </c>
      <c r="F1044" t="s">
        <v>736</v>
      </c>
      <c r="G1044" t="s">
        <v>737</v>
      </c>
      <c r="H1044" t="s">
        <v>738</v>
      </c>
      <c r="I1044" t="s">
        <v>739</v>
      </c>
      <c r="J1044" t="s">
        <v>739</v>
      </c>
      <c r="K1044" s="2">
        <v>45107</v>
      </c>
      <c r="L1044">
        <v>-83008.077499731895</v>
      </c>
      <c r="M1044">
        <v>20236109.0328325</v>
      </c>
      <c r="N1044">
        <v>-4402726.8617958603</v>
      </c>
      <c r="O1044">
        <v>0</v>
      </c>
      <c r="P1044">
        <v>-20236109.0328325</v>
      </c>
      <c r="Q1044">
        <v>4623932.7811865201</v>
      </c>
      <c r="R1044">
        <v>0</v>
      </c>
      <c r="S1044">
        <v>0</v>
      </c>
      <c r="T1044">
        <v>-60895.835225617098</v>
      </c>
      <c r="U1044">
        <v>1812611.40215957</v>
      </c>
      <c r="V1044">
        <v>268706.029712716</v>
      </c>
    </row>
    <row r="1045" spans="1:22" x14ac:dyDescent="0.3">
      <c r="A1045" t="str">
        <f t="shared" si="32"/>
        <v>BPARPrevisão</v>
      </c>
      <c r="B1045" t="str">
        <f t="shared" si="33"/>
        <v>BPARPrevisãoSet-2023</v>
      </c>
      <c r="C1045" t="s">
        <v>67</v>
      </c>
      <c r="D1045" t="s">
        <v>68</v>
      </c>
      <c r="E1045" t="s">
        <v>40</v>
      </c>
      <c r="F1045" t="s">
        <v>736</v>
      </c>
      <c r="G1045" t="s">
        <v>737</v>
      </c>
      <c r="H1045" t="s">
        <v>738</v>
      </c>
      <c r="I1045" t="s">
        <v>739</v>
      </c>
      <c r="J1045" t="s">
        <v>739</v>
      </c>
      <c r="K1045" s="2">
        <v>45199</v>
      </c>
      <c r="L1045">
        <v>-106556.434131305</v>
      </c>
      <c r="M1045">
        <v>21758105.603170902</v>
      </c>
      <c r="N1045">
        <v>-5607876.1267892504</v>
      </c>
      <c r="O1045">
        <v>0</v>
      </c>
      <c r="P1045">
        <v>-21758105.603170902</v>
      </c>
      <c r="Q1045">
        <v>5882473.3565788902</v>
      </c>
      <c r="R1045">
        <v>0</v>
      </c>
      <c r="S1045">
        <v>0</v>
      </c>
      <c r="T1045">
        <v>-112944.074423596</v>
      </c>
      <c r="U1045">
        <v>1830762.13630408</v>
      </c>
      <c r="V1045">
        <v>329982.95186187699</v>
      </c>
    </row>
    <row r="1046" spans="1:22" x14ac:dyDescent="0.3">
      <c r="A1046" t="str">
        <f t="shared" si="32"/>
        <v>BGIPPrevisão</v>
      </c>
      <c r="B1046" t="str">
        <f t="shared" si="33"/>
        <v>BGIPPrevisãoDez-2022</v>
      </c>
      <c r="C1046" t="s">
        <v>45</v>
      </c>
      <c r="D1046" t="s">
        <v>46</v>
      </c>
      <c r="E1046" t="s">
        <v>40</v>
      </c>
      <c r="F1046" t="s">
        <v>736</v>
      </c>
      <c r="G1046" t="s">
        <v>737</v>
      </c>
      <c r="H1046" t="s">
        <v>738</v>
      </c>
      <c r="I1046" t="s">
        <v>739</v>
      </c>
      <c r="J1046" t="s">
        <v>739</v>
      </c>
      <c r="K1046" s="2">
        <v>44925</v>
      </c>
      <c r="L1046">
        <v>250.989135061463</v>
      </c>
      <c r="M1046">
        <v>8775868.1235039495</v>
      </c>
      <c r="N1046">
        <v>3555404.8969526901</v>
      </c>
      <c r="O1046">
        <v>0</v>
      </c>
      <c r="P1046">
        <v>-8775868.1235039495</v>
      </c>
      <c r="Q1046">
        <v>-4552398.0495712096</v>
      </c>
      <c r="R1046">
        <v>0</v>
      </c>
      <c r="S1046">
        <v>0</v>
      </c>
      <c r="T1046">
        <v>84265.444020033596</v>
      </c>
      <c r="U1046">
        <v>643315.93447071698</v>
      </c>
      <c r="V1046">
        <v>-63153.671759610297</v>
      </c>
    </row>
    <row r="1047" spans="1:22" x14ac:dyDescent="0.3">
      <c r="A1047" t="str">
        <f t="shared" si="32"/>
        <v>BGIPPrevisão</v>
      </c>
      <c r="B1047" t="str">
        <f t="shared" si="33"/>
        <v>BGIPPrevisãoMar-2023</v>
      </c>
      <c r="C1047" t="s">
        <v>45</v>
      </c>
      <c r="D1047" t="s">
        <v>46</v>
      </c>
      <c r="E1047" t="s">
        <v>40</v>
      </c>
      <c r="F1047" t="s">
        <v>736</v>
      </c>
      <c r="G1047" t="s">
        <v>737</v>
      </c>
      <c r="H1047" t="s">
        <v>738</v>
      </c>
      <c r="I1047" t="s">
        <v>739</v>
      </c>
      <c r="J1047" t="s">
        <v>739</v>
      </c>
      <c r="K1047" s="2">
        <v>45015</v>
      </c>
      <c r="L1047">
        <v>-3550.19502312233</v>
      </c>
      <c r="M1047">
        <v>9169026.5625297092</v>
      </c>
      <c r="N1047">
        <v>3514567.3625099501</v>
      </c>
      <c r="O1047">
        <v>0</v>
      </c>
      <c r="P1047">
        <v>-9169026.5625297092</v>
      </c>
      <c r="Q1047">
        <v>-4632097.5081497198</v>
      </c>
      <c r="R1047">
        <v>0</v>
      </c>
      <c r="S1047">
        <v>0</v>
      </c>
      <c r="T1047">
        <v>80079.0443820441</v>
      </c>
      <c r="U1047">
        <v>673297.59502584499</v>
      </c>
      <c r="V1047">
        <v>-61934.307978716897</v>
      </c>
    </row>
    <row r="1048" spans="1:22" x14ac:dyDescent="0.3">
      <c r="A1048" t="str">
        <f t="shared" si="32"/>
        <v>BGIPPrevisão</v>
      </c>
      <c r="B1048" t="str">
        <f t="shared" si="33"/>
        <v>BGIPPrevisãoJun-2023</v>
      </c>
      <c r="C1048" t="s">
        <v>45</v>
      </c>
      <c r="D1048" t="s">
        <v>46</v>
      </c>
      <c r="E1048" t="s">
        <v>40</v>
      </c>
      <c r="F1048" t="s">
        <v>736</v>
      </c>
      <c r="G1048" t="s">
        <v>737</v>
      </c>
      <c r="H1048" t="s">
        <v>738</v>
      </c>
      <c r="I1048" t="s">
        <v>739</v>
      </c>
      <c r="J1048" t="s">
        <v>739</v>
      </c>
      <c r="K1048" s="2">
        <v>45107</v>
      </c>
      <c r="L1048">
        <v>-7819.19813793311</v>
      </c>
      <c r="M1048">
        <v>9582765.3854752295</v>
      </c>
      <c r="N1048">
        <v>3466685.9966578698</v>
      </c>
      <c r="O1048">
        <v>0</v>
      </c>
      <c r="P1048">
        <v>-9582765.3854752295</v>
      </c>
      <c r="Q1048">
        <v>-4710414.0385648599</v>
      </c>
      <c r="R1048">
        <v>0</v>
      </c>
      <c r="S1048">
        <v>0</v>
      </c>
      <c r="T1048">
        <v>75134.202360091906</v>
      </c>
      <c r="U1048">
        <v>705099.15457002597</v>
      </c>
      <c r="V1048">
        <v>-60499.773869560202</v>
      </c>
    </row>
    <row r="1049" spans="1:22" x14ac:dyDescent="0.3">
      <c r="A1049" t="str">
        <f t="shared" si="32"/>
        <v>BGIPPrevisão</v>
      </c>
      <c r="B1049" t="str">
        <f t="shared" si="33"/>
        <v>BGIPPrevisãoSet-2023</v>
      </c>
      <c r="C1049" t="s">
        <v>45</v>
      </c>
      <c r="D1049" t="s">
        <v>46</v>
      </c>
      <c r="E1049" t="s">
        <v>40</v>
      </c>
      <c r="F1049" t="s">
        <v>736</v>
      </c>
      <c r="G1049" t="s">
        <v>737</v>
      </c>
      <c r="H1049" t="s">
        <v>738</v>
      </c>
      <c r="I1049" t="s">
        <v>739</v>
      </c>
      <c r="J1049" t="s">
        <v>739</v>
      </c>
      <c r="K1049" s="2">
        <v>45199</v>
      </c>
      <c r="L1049">
        <v>-12579.9617719039</v>
      </c>
      <c r="M1049">
        <v>10017764.455026699</v>
      </c>
      <c r="N1049">
        <v>3411629.14196321</v>
      </c>
      <c r="O1049">
        <v>0</v>
      </c>
      <c r="P1049">
        <v>-10017764.455026699</v>
      </c>
      <c r="Q1049">
        <v>-4787250.0192118501</v>
      </c>
      <c r="R1049">
        <v>0</v>
      </c>
      <c r="S1049">
        <v>0</v>
      </c>
      <c r="T1049">
        <v>69388.946491124894</v>
      </c>
      <c r="U1049">
        <v>738788.14380298404</v>
      </c>
      <c r="V1049">
        <v>-58842.345083162101</v>
      </c>
    </row>
    <row r="1050" spans="1:22" x14ac:dyDescent="0.3">
      <c r="A1050" t="str">
        <f t="shared" si="32"/>
        <v>BPACPrevisão</v>
      </c>
      <c r="B1050" t="str">
        <f t="shared" si="33"/>
        <v>BPACPrevisãoDez-2022</v>
      </c>
      <c r="C1050" t="s">
        <v>38</v>
      </c>
      <c r="D1050" t="s">
        <v>39</v>
      </c>
      <c r="E1050" t="s">
        <v>40</v>
      </c>
      <c r="F1050" t="s">
        <v>736</v>
      </c>
      <c r="G1050" t="s">
        <v>737</v>
      </c>
      <c r="H1050" t="s">
        <v>738</v>
      </c>
      <c r="I1050" t="s">
        <v>739</v>
      </c>
      <c r="J1050" t="s">
        <v>739</v>
      </c>
      <c r="K1050" s="2">
        <v>44925</v>
      </c>
      <c r="L1050">
        <v>2963010.4890091601</v>
      </c>
      <c r="M1050">
        <v>436535150.35913199</v>
      </c>
      <c r="N1050">
        <v>398006824.613967</v>
      </c>
      <c r="O1050">
        <v>0</v>
      </c>
      <c r="P1050">
        <v>-436535150.35913199</v>
      </c>
      <c r="Q1050">
        <v>-382238063.376082</v>
      </c>
      <c r="R1050">
        <v>0</v>
      </c>
      <c r="S1050">
        <v>0</v>
      </c>
      <c r="T1050">
        <v>20905745.752478201</v>
      </c>
      <c r="U1050">
        <v>47635619.242662802</v>
      </c>
      <c r="V1050">
        <v>563179.89814089704</v>
      </c>
    </row>
    <row r="1051" spans="1:22" x14ac:dyDescent="0.3">
      <c r="A1051" t="str">
        <f t="shared" si="32"/>
        <v>BPACPrevisão</v>
      </c>
      <c r="B1051" t="str">
        <f t="shared" si="33"/>
        <v>BPACPrevisãoMar-2023</v>
      </c>
      <c r="C1051" t="s">
        <v>38</v>
      </c>
      <c r="D1051" t="s">
        <v>39</v>
      </c>
      <c r="E1051" t="s">
        <v>40</v>
      </c>
      <c r="F1051" t="s">
        <v>736</v>
      </c>
      <c r="G1051" t="s">
        <v>737</v>
      </c>
      <c r="H1051" t="s">
        <v>738</v>
      </c>
      <c r="I1051" t="s">
        <v>739</v>
      </c>
      <c r="J1051" t="s">
        <v>739</v>
      </c>
      <c r="K1051" s="2">
        <v>45015</v>
      </c>
      <c r="L1051">
        <v>3422153.0660333298</v>
      </c>
      <c r="M1051">
        <v>473758528.99346</v>
      </c>
      <c r="N1051">
        <v>440909460.44554001</v>
      </c>
      <c r="O1051">
        <v>0</v>
      </c>
      <c r="P1051">
        <v>-473758528.99346</v>
      </c>
      <c r="Q1051">
        <v>-425349363.77196997</v>
      </c>
      <c r="R1051">
        <v>0</v>
      </c>
      <c r="S1051">
        <v>0</v>
      </c>
      <c r="T1051">
        <v>22406516.3656688</v>
      </c>
      <c r="U1051">
        <v>51695386.309028298</v>
      </c>
      <c r="V1051">
        <v>638095.28080704703</v>
      </c>
    </row>
    <row r="1052" spans="1:22" x14ac:dyDescent="0.3">
      <c r="A1052" t="str">
        <f t="shared" si="32"/>
        <v>BPACPrevisão</v>
      </c>
      <c r="B1052" t="str">
        <f t="shared" si="33"/>
        <v>BPACPrevisãoJun-2023</v>
      </c>
      <c r="C1052" t="s">
        <v>38</v>
      </c>
      <c r="D1052" t="s">
        <v>39</v>
      </c>
      <c r="E1052" t="s">
        <v>40</v>
      </c>
      <c r="F1052" t="s">
        <v>736</v>
      </c>
      <c r="G1052" t="s">
        <v>737</v>
      </c>
      <c r="H1052" t="s">
        <v>738</v>
      </c>
      <c r="I1052" t="s">
        <v>739</v>
      </c>
      <c r="J1052" t="s">
        <v>739</v>
      </c>
      <c r="K1052" s="2">
        <v>45107</v>
      </c>
      <c r="L1052">
        <v>3932311.22326111</v>
      </c>
      <c r="M1052">
        <v>514215014.97126299</v>
      </c>
      <c r="N1052">
        <v>487667782.50324899</v>
      </c>
      <c r="O1052">
        <v>0</v>
      </c>
      <c r="P1052">
        <v>-514215014.97126299</v>
      </c>
      <c r="Q1052">
        <v>-472393397.24550098</v>
      </c>
      <c r="R1052">
        <v>0</v>
      </c>
      <c r="S1052">
        <v>0</v>
      </c>
      <c r="T1052">
        <v>24034848.150529001</v>
      </c>
      <c r="U1052">
        <v>56117728.576202199</v>
      </c>
      <c r="V1052">
        <v>729436.38987223804</v>
      </c>
    </row>
    <row r="1053" spans="1:22" x14ac:dyDescent="0.3">
      <c r="A1053" t="str">
        <f t="shared" si="32"/>
        <v>BPACPrevisão</v>
      </c>
      <c r="B1053" t="str">
        <f t="shared" si="33"/>
        <v>BPACPrevisãoSet-2023</v>
      </c>
      <c r="C1053" t="s">
        <v>38</v>
      </c>
      <c r="D1053" t="s">
        <v>39</v>
      </c>
      <c r="E1053" t="s">
        <v>40</v>
      </c>
      <c r="F1053" t="s">
        <v>736</v>
      </c>
      <c r="G1053" t="s">
        <v>737</v>
      </c>
      <c r="H1053" t="s">
        <v>738</v>
      </c>
      <c r="I1053" t="s">
        <v>739</v>
      </c>
      <c r="J1053" t="s">
        <v>739</v>
      </c>
      <c r="K1053" s="2">
        <v>45199</v>
      </c>
      <c r="L1053">
        <v>4495924.0072196303</v>
      </c>
      <c r="M1053">
        <v>558048935.47520101</v>
      </c>
      <c r="N1053">
        <v>538446680.42394996</v>
      </c>
      <c r="O1053">
        <v>0</v>
      </c>
      <c r="P1053">
        <v>-558048935.47520101</v>
      </c>
      <c r="Q1053">
        <v>-523539338.86457598</v>
      </c>
      <c r="R1053">
        <v>0</v>
      </c>
      <c r="S1053">
        <v>0</v>
      </c>
      <c r="T1053">
        <v>25796857.222667299</v>
      </c>
      <c r="U1053">
        <v>60919305.642080702</v>
      </c>
      <c r="V1053">
        <v>838281.30045263597</v>
      </c>
    </row>
    <row r="1054" spans="1:22" x14ac:dyDescent="0.3">
      <c r="A1054" t="str">
        <f t="shared" si="32"/>
        <v>BBASPrevisão</v>
      </c>
      <c r="B1054" t="str">
        <f t="shared" si="33"/>
        <v>BBASPrevisãoDez-2022</v>
      </c>
      <c r="C1054" t="s">
        <v>65</v>
      </c>
      <c r="D1054" t="s">
        <v>66</v>
      </c>
      <c r="E1054" t="s">
        <v>40</v>
      </c>
      <c r="F1054" t="s">
        <v>736</v>
      </c>
      <c r="G1054" t="s">
        <v>737</v>
      </c>
      <c r="H1054" t="s">
        <v>738</v>
      </c>
      <c r="I1054" t="s">
        <v>739</v>
      </c>
      <c r="J1054" t="s">
        <v>739</v>
      </c>
      <c r="K1054" s="2">
        <v>44925</v>
      </c>
      <c r="L1054">
        <v>-1190868.0762251001</v>
      </c>
      <c r="M1054">
        <v>2340072525.5965099</v>
      </c>
      <c r="N1054">
        <v>-401923475.98311102</v>
      </c>
      <c r="O1054">
        <v>0</v>
      </c>
      <c r="P1054">
        <v>-2340072525.5965099</v>
      </c>
      <c r="Q1054">
        <v>544170696.79186904</v>
      </c>
      <c r="R1054">
        <v>0</v>
      </c>
      <c r="S1054">
        <v>0</v>
      </c>
      <c r="T1054">
        <v>55978827.4962174</v>
      </c>
      <c r="U1054">
        <v>163522399.895089</v>
      </c>
      <c r="V1054">
        <v>8939029.4875652008</v>
      </c>
    </row>
    <row r="1055" spans="1:22" x14ac:dyDescent="0.3">
      <c r="A1055" t="str">
        <f t="shared" si="32"/>
        <v>BBASPrevisão</v>
      </c>
      <c r="B1055" t="str">
        <f t="shared" si="33"/>
        <v>BBASPrevisãoMar-2023</v>
      </c>
      <c r="C1055" t="s">
        <v>65</v>
      </c>
      <c r="D1055" t="s">
        <v>66</v>
      </c>
      <c r="E1055" t="s">
        <v>40</v>
      </c>
      <c r="F1055" t="s">
        <v>736</v>
      </c>
      <c r="G1055" t="s">
        <v>737</v>
      </c>
      <c r="H1055" t="s">
        <v>738</v>
      </c>
      <c r="I1055" t="s">
        <v>739</v>
      </c>
      <c r="J1055" t="s">
        <v>739</v>
      </c>
      <c r="K1055" s="2">
        <v>45015</v>
      </c>
      <c r="L1055">
        <v>-1829311.1909610401</v>
      </c>
      <c r="M1055">
        <v>2455808310.0743799</v>
      </c>
      <c r="N1055">
        <v>-603349465.18045497</v>
      </c>
      <c r="O1055">
        <v>0</v>
      </c>
      <c r="P1055">
        <v>-2455808310.0743799</v>
      </c>
      <c r="Q1055">
        <v>817099493.48513997</v>
      </c>
      <c r="R1055">
        <v>0</v>
      </c>
      <c r="S1055">
        <v>0</v>
      </c>
      <c r="T1055">
        <v>57213241.736417398</v>
      </c>
      <c r="U1055">
        <v>172848598.49759901</v>
      </c>
      <c r="V1055">
        <v>10752566.714813899</v>
      </c>
    </row>
    <row r="1056" spans="1:22" x14ac:dyDescent="0.3">
      <c r="A1056" t="str">
        <f t="shared" si="32"/>
        <v>BBASPrevisão</v>
      </c>
      <c r="B1056" t="str">
        <f t="shared" si="33"/>
        <v>BBASPrevisãoJun-2023</v>
      </c>
      <c r="C1056" t="s">
        <v>65</v>
      </c>
      <c r="D1056" t="s">
        <v>66</v>
      </c>
      <c r="E1056" t="s">
        <v>40</v>
      </c>
      <c r="F1056" t="s">
        <v>736</v>
      </c>
      <c r="G1056" t="s">
        <v>737</v>
      </c>
      <c r="H1056" t="s">
        <v>738</v>
      </c>
      <c r="I1056" t="s">
        <v>739</v>
      </c>
      <c r="J1056" t="s">
        <v>739</v>
      </c>
      <c r="K1056" s="2">
        <v>45107</v>
      </c>
      <c r="L1056">
        <v>-2522778.5573928701</v>
      </c>
      <c r="M1056">
        <v>2582606855.3113699</v>
      </c>
      <c r="N1056">
        <v>-823035479.21351802</v>
      </c>
      <c r="O1056">
        <v>0</v>
      </c>
      <c r="P1056">
        <v>-2582606855.3113699</v>
      </c>
      <c r="Q1056">
        <v>1115327781.51278</v>
      </c>
      <c r="R1056">
        <v>0</v>
      </c>
      <c r="S1056">
        <v>0</v>
      </c>
      <c r="T1056">
        <v>58381599.360954702</v>
      </c>
      <c r="U1056">
        <v>182831865.52327999</v>
      </c>
      <c r="V1056">
        <v>12722016.024633201</v>
      </c>
    </row>
    <row r="1057" spans="1:22" x14ac:dyDescent="0.3">
      <c r="A1057" t="str">
        <f t="shared" si="32"/>
        <v>BBASPrevisão</v>
      </c>
      <c r="B1057" t="str">
        <f t="shared" si="33"/>
        <v>BBASPrevisãoSet-2023</v>
      </c>
      <c r="C1057" t="s">
        <v>65</v>
      </c>
      <c r="D1057" t="s">
        <v>66</v>
      </c>
      <c r="E1057" t="s">
        <v>40</v>
      </c>
      <c r="F1057" t="s">
        <v>736</v>
      </c>
      <c r="G1057" t="s">
        <v>737</v>
      </c>
      <c r="H1057" t="s">
        <v>738</v>
      </c>
      <c r="I1057" t="s">
        <v>739</v>
      </c>
      <c r="J1057" t="s">
        <v>739</v>
      </c>
      <c r="K1057" s="2">
        <v>45199</v>
      </c>
      <c r="L1057">
        <v>-3273427.09561439</v>
      </c>
      <c r="M1057">
        <v>2721044684.1158099</v>
      </c>
      <c r="N1057">
        <v>-1061672692.52932</v>
      </c>
      <c r="O1057">
        <v>0</v>
      </c>
      <c r="P1057">
        <v>-2721044684.1158099</v>
      </c>
      <c r="Q1057">
        <v>1439820808.63956</v>
      </c>
      <c r="R1057">
        <v>0</v>
      </c>
      <c r="S1057">
        <v>0</v>
      </c>
      <c r="T1057">
        <v>59477403.858554803</v>
      </c>
      <c r="U1057">
        <v>193497450.935022</v>
      </c>
      <c r="V1057">
        <v>14853299.3064564</v>
      </c>
    </row>
    <row r="1058" spans="1:22" x14ac:dyDescent="0.3">
      <c r="A1058" t="str">
        <f t="shared" si="32"/>
        <v>BBDCPrevisão</v>
      </c>
      <c r="B1058" t="str">
        <f t="shared" si="33"/>
        <v>BBDCPrevisãoDez-2022</v>
      </c>
      <c r="C1058" t="s">
        <v>63</v>
      </c>
      <c r="D1058" t="s">
        <v>64</v>
      </c>
      <c r="E1058" t="s">
        <v>40</v>
      </c>
      <c r="F1058" t="s">
        <v>736</v>
      </c>
      <c r="G1058" t="s">
        <v>737</v>
      </c>
      <c r="H1058" t="s">
        <v>738</v>
      </c>
      <c r="I1058" t="s">
        <v>739</v>
      </c>
      <c r="J1058" t="s">
        <v>739</v>
      </c>
      <c r="K1058" s="2">
        <v>44925</v>
      </c>
      <c r="L1058">
        <v>-2466330.3823953001</v>
      </c>
      <c r="M1058">
        <v>1633414739.5878999</v>
      </c>
      <c r="N1058">
        <v>-265383744.19100499</v>
      </c>
      <c r="O1058">
        <v>0</v>
      </c>
      <c r="P1058">
        <v>-1633414739.5878999</v>
      </c>
      <c r="Q1058">
        <v>308121957.29555702</v>
      </c>
      <c r="R1058">
        <v>0</v>
      </c>
      <c r="S1058">
        <v>0</v>
      </c>
      <c r="T1058">
        <v>77514236.421084195</v>
      </c>
      <c r="U1058">
        <v>158264216.26950499</v>
      </c>
      <c r="V1058">
        <v>8716730.71021121</v>
      </c>
    </row>
    <row r="1059" spans="1:22" x14ac:dyDescent="0.3">
      <c r="A1059" t="str">
        <f t="shared" si="32"/>
        <v>BBDCPrevisão</v>
      </c>
      <c r="B1059" t="str">
        <f t="shared" si="33"/>
        <v>BBDCPrevisãoMar-2023</v>
      </c>
      <c r="C1059" t="s">
        <v>63</v>
      </c>
      <c r="D1059" t="s">
        <v>64</v>
      </c>
      <c r="E1059" t="s">
        <v>40</v>
      </c>
      <c r="F1059" t="s">
        <v>736</v>
      </c>
      <c r="G1059" t="s">
        <v>737</v>
      </c>
      <c r="H1059" t="s">
        <v>738</v>
      </c>
      <c r="I1059" t="s">
        <v>739</v>
      </c>
      <c r="J1059" t="s">
        <v>739</v>
      </c>
      <c r="K1059" s="2">
        <v>45015</v>
      </c>
      <c r="L1059">
        <v>-3500373.2860353799</v>
      </c>
      <c r="M1059">
        <v>1696573452.3982699</v>
      </c>
      <c r="N1059">
        <v>-381708443.013493</v>
      </c>
      <c r="O1059">
        <v>0</v>
      </c>
      <c r="P1059">
        <v>-1696573452.3982699</v>
      </c>
      <c r="Q1059">
        <v>439283799.98278898</v>
      </c>
      <c r="R1059">
        <v>0</v>
      </c>
      <c r="S1059">
        <v>0</v>
      </c>
      <c r="T1059">
        <v>81515914.191694096</v>
      </c>
      <c r="U1059">
        <v>160302343.11820999</v>
      </c>
      <c r="V1059">
        <v>9823137.4118952006</v>
      </c>
    </row>
    <row r="1060" spans="1:22" x14ac:dyDescent="0.3">
      <c r="A1060" t="str">
        <f t="shared" si="32"/>
        <v>BBDCPrevisão</v>
      </c>
      <c r="B1060" t="str">
        <f t="shared" si="33"/>
        <v>BBDCPrevisãoJun-2023</v>
      </c>
      <c r="C1060" t="s">
        <v>63</v>
      </c>
      <c r="D1060" t="s">
        <v>64</v>
      </c>
      <c r="E1060" t="s">
        <v>40</v>
      </c>
      <c r="F1060" t="s">
        <v>736</v>
      </c>
      <c r="G1060" t="s">
        <v>737</v>
      </c>
      <c r="H1060" t="s">
        <v>738</v>
      </c>
      <c r="I1060" t="s">
        <v>739</v>
      </c>
      <c r="J1060" t="s">
        <v>739</v>
      </c>
      <c r="K1060" s="2">
        <v>45107</v>
      </c>
      <c r="L1060">
        <v>-4625430.0397037603</v>
      </c>
      <c r="M1060">
        <v>1764067577.0819199</v>
      </c>
      <c r="N1060">
        <v>-507677253.84316701</v>
      </c>
      <c r="O1060">
        <v>0</v>
      </c>
      <c r="P1060">
        <v>-1764067577.0819199</v>
      </c>
      <c r="Q1060">
        <v>580464768.93508899</v>
      </c>
      <c r="R1060">
        <v>0</v>
      </c>
      <c r="S1060">
        <v>0</v>
      </c>
      <c r="T1060">
        <v>85867876.173702806</v>
      </c>
      <c r="U1060">
        <v>162168295.27064201</v>
      </c>
      <c r="V1060">
        <v>11008016.393357901</v>
      </c>
    </row>
    <row r="1061" spans="1:22" x14ac:dyDescent="0.3">
      <c r="A1061" t="str">
        <f t="shared" si="32"/>
        <v>BBDCPrevisão</v>
      </c>
      <c r="B1061" t="str">
        <f t="shared" si="33"/>
        <v>BBDCPrevisãoSet-2023</v>
      </c>
      <c r="C1061" t="s">
        <v>63</v>
      </c>
      <c r="D1061" t="s">
        <v>64</v>
      </c>
      <c r="E1061" t="s">
        <v>40</v>
      </c>
      <c r="F1061" t="s">
        <v>736</v>
      </c>
      <c r="G1061" t="s">
        <v>737</v>
      </c>
      <c r="H1061" t="s">
        <v>738</v>
      </c>
      <c r="I1061" t="s">
        <v>739</v>
      </c>
      <c r="J1061" t="s">
        <v>739</v>
      </c>
      <c r="K1061" s="2">
        <v>45199</v>
      </c>
      <c r="L1061">
        <v>-5844886.7757244501</v>
      </c>
      <c r="M1061">
        <v>1836083350.4472699</v>
      </c>
      <c r="N1061">
        <v>-643641515.46535206</v>
      </c>
      <c r="O1061">
        <v>0</v>
      </c>
      <c r="P1061">
        <v>-1836083350.4472699</v>
      </c>
      <c r="Q1061">
        <v>731981226.29724896</v>
      </c>
      <c r="R1061">
        <v>0</v>
      </c>
      <c r="S1061">
        <v>0</v>
      </c>
      <c r="T1061">
        <v>90587663.716787696</v>
      </c>
      <c r="U1061">
        <v>163852353.169902</v>
      </c>
      <c r="V1061">
        <v>12273877.4537929</v>
      </c>
    </row>
    <row r="1062" spans="1:22" x14ac:dyDescent="0.3">
      <c r="A1062" t="str">
        <f t="shared" si="32"/>
        <v>BAZAPrevisão</v>
      </c>
      <c r="B1062" t="str">
        <f t="shared" si="33"/>
        <v>BAZAPrevisãoDez-2022</v>
      </c>
      <c r="C1062" t="s">
        <v>61</v>
      </c>
      <c r="D1062" t="s">
        <v>62</v>
      </c>
      <c r="E1062" t="s">
        <v>40</v>
      </c>
      <c r="F1062" t="s">
        <v>736</v>
      </c>
      <c r="G1062" t="s">
        <v>737</v>
      </c>
      <c r="H1062" t="s">
        <v>738</v>
      </c>
      <c r="I1062" t="s">
        <v>739</v>
      </c>
      <c r="J1062" t="s">
        <v>739</v>
      </c>
      <c r="K1062" s="2">
        <v>44925</v>
      </c>
      <c r="L1062">
        <v>4252.2960699343603</v>
      </c>
      <c r="M1062">
        <v>33949885.790000796</v>
      </c>
      <c r="N1062">
        <v>-2704411.9878621199</v>
      </c>
      <c r="O1062">
        <v>0</v>
      </c>
      <c r="P1062">
        <v>-33949885.790000796</v>
      </c>
      <c r="Q1062">
        <v>6091906.6013882495</v>
      </c>
      <c r="R1062">
        <v>0</v>
      </c>
      <c r="S1062">
        <v>0</v>
      </c>
      <c r="T1062">
        <v>1468159.0701977501</v>
      </c>
      <c r="U1062">
        <v>4687398.9896442704</v>
      </c>
      <c r="V1062">
        <v>390667.92784993199</v>
      </c>
    </row>
    <row r="1063" spans="1:22" x14ac:dyDescent="0.3">
      <c r="A1063" t="str">
        <f t="shared" si="32"/>
        <v>BAZAPrevisão</v>
      </c>
      <c r="B1063" t="str">
        <f t="shared" si="33"/>
        <v>BAZAPrevisãoMar-2023</v>
      </c>
      <c r="C1063" t="s">
        <v>61</v>
      </c>
      <c r="D1063" t="s">
        <v>62</v>
      </c>
      <c r="E1063" t="s">
        <v>40</v>
      </c>
      <c r="F1063" t="s">
        <v>736</v>
      </c>
      <c r="G1063" t="s">
        <v>737</v>
      </c>
      <c r="H1063" t="s">
        <v>738</v>
      </c>
      <c r="I1063" t="s">
        <v>739</v>
      </c>
      <c r="J1063" t="s">
        <v>739</v>
      </c>
      <c r="K1063" s="2">
        <v>45015</v>
      </c>
      <c r="L1063">
        <v>3939.8087782103198</v>
      </c>
      <c r="M1063">
        <v>35982806.710309997</v>
      </c>
      <c r="N1063">
        <v>-3863080.5888161198</v>
      </c>
      <c r="O1063">
        <v>0</v>
      </c>
      <c r="P1063">
        <v>-35982806.710309997</v>
      </c>
      <c r="Q1063">
        <v>8901713.4992126003</v>
      </c>
      <c r="R1063">
        <v>0</v>
      </c>
      <c r="S1063">
        <v>0</v>
      </c>
      <c r="T1063">
        <v>1513378.4605927099</v>
      </c>
      <c r="U1063">
        <v>5122067.6870200504</v>
      </c>
      <c r="V1063">
        <v>452564.69368452299</v>
      </c>
    </row>
    <row r="1064" spans="1:22" x14ac:dyDescent="0.3">
      <c r="A1064" t="str">
        <f t="shared" si="32"/>
        <v>BAZAPrevisão</v>
      </c>
      <c r="B1064" t="str">
        <f t="shared" si="33"/>
        <v>BAZAPrevisãoJun-2023</v>
      </c>
      <c r="C1064" t="s">
        <v>61</v>
      </c>
      <c r="D1064" t="s">
        <v>62</v>
      </c>
      <c r="E1064" t="s">
        <v>40</v>
      </c>
      <c r="F1064" t="s">
        <v>736</v>
      </c>
      <c r="G1064" t="s">
        <v>737</v>
      </c>
      <c r="H1064" t="s">
        <v>738</v>
      </c>
      <c r="I1064" t="s">
        <v>739</v>
      </c>
      <c r="J1064" t="s">
        <v>739</v>
      </c>
      <c r="K1064" s="2">
        <v>45107</v>
      </c>
      <c r="L1064">
        <v>3738.6751126385202</v>
      </c>
      <c r="M1064">
        <v>38147094.550533898</v>
      </c>
      <c r="N1064">
        <v>-5116840.7933976501</v>
      </c>
      <c r="O1064">
        <v>0</v>
      </c>
      <c r="P1064">
        <v>-38147094.550533898</v>
      </c>
      <c r="Q1064">
        <v>11995689.549113899</v>
      </c>
      <c r="R1064">
        <v>0</v>
      </c>
      <c r="S1064">
        <v>0</v>
      </c>
      <c r="T1064">
        <v>1559810.2834074399</v>
      </c>
      <c r="U1064">
        <v>5595115.7893513404</v>
      </c>
      <c r="V1064">
        <v>519611.16543841403</v>
      </c>
    </row>
    <row r="1065" spans="1:22" x14ac:dyDescent="0.3">
      <c r="A1065" t="str">
        <f t="shared" si="32"/>
        <v>BAZAPrevisão</v>
      </c>
      <c r="B1065" t="str">
        <f t="shared" si="33"/>
        <v>BAZAPrevisãoSet-2023</v>
      </c>
      <c r="C1065" t="s">
        <v>61</v>
      </c>
      <c r="D1065" t="s">
        <v>62</v>
      </c>
      <c r="E1065" t="s">
        <v>40</v>
      </c>
      <c r="F1065" t="s">
        <v>736</v>
      </c>
      <c r="G1065" t="s">
        <v>737</v>
      </c>
      <c r="H1065" t="s">
        <v>738</v>
      </c>
      <c r="I1065" t="s">
        <v>739</v>
      </c>
      <c r="J1065" t="s">
        <v>739</v>
      </c>
      <c r="K1065" s="2">
        <v>45199</v>
      </c>
      <c r="L1065">
        <v>3657.4371624947598</v>
      </c>
      <c r="M1065">
        <v>40447412.099488698</v>
      </c>
      <c r="N1065">
        <v>-6469163.02104876</v>
      </c>
      <c r="O1065">
        <v>0</v>
      </c>
      <c r="P1065">
        <v>-40447412.099488698</v>
      </c>
      <c r="Q1065">
        <v>15385888.071363401</v>
      </c>
      <c r="R1065">
        <v>0</v>
      </c>
      <c r="S1065">
        <v>0</v>
      </c>
      <c r="T1065">
        <v>1607443.28268657</v>
      </c>
      <c r="U1065">
        <v>6108061.9115896998</v>
      </c>
      <c r="V1065">
        <v>592000.98642891401</v>
      </c>
    </row>
    <row r="1066" spans="1:22" x14ac:dyDescent="0.3">
      <c r="A1066" t="str">
        <f t="shared" si="32"/>
        <v>BRIVPrevisão</v>
      </c>
      <c r="B1066" t="str">
        <f t="shared" si="33"/>
        <v>BRIVPrevisãoDez-2022</v>
      </c>
      <c r="C1066" t="s">
        <v>59</v>
      </c>
      <c r="D1066" t="s">
        <v>60</v>
      </c>
      <c r="E1066" t="s">
        <v>40</v>
      </c>
      <c r="F1066" t="s">
        <v>736</v>
      </c>
      <c r="G1066" t="s">
        <v>737</v>
      </c>
      <c r="H1066" t="s">
        <v>738</v>
      </c>
      <c r="I1066" t="s">
        <v>739</v>
      </c>
      <c r="J1066" t="s">
        <v>739</v>
      </c>
      <c r="K1066" s="2">
        <v>44925</v>
      </c>
      <c r="L1066">
        <v>-5181.0137509568103</v>
      </c>
      <c r="M1066">
        <v>29585827.533566501</v>
      </c>
      <c r="N1066">
        <v>-3057638.5507171499</v>
      </c>
      <c r="O1066">
        <v>0</v>
      </c>
      <c r="P1066">
        <v>-29585827.533566501</v>
      </c>
      <c r="Q1066">
        <v>2013622.1257959399</v>
      </c>
      <c r="R1066">
        <v>0</v>
      </c>
      <c r="S1066">
        <v>0</v>
      </c>
      <c r="T1066">
        <v>844815.98862570105</v>
      </c>
      <c r="U1066">
        <v>1665332.2145827799</v>
      </c>
      <c r="V1066">
        <v>25046.077922096199</v>
      </c>
    </row>
    <row r="1067" spans="1:22" x14ac:dyDescent="0.3">
      <c r="A1067" t="str">
        <f t="shared" si="32"/>
        <v>BRIVPrevisão</v>
      </c>
      <c r="B1067" t="str">
        <f t="shared" si="33"/>
        <v>BRIVPrevisãoMar-2023</v>
      </c>
      <c r="C1067" t="s">
        <v>59</v>
      </c>
      <c r="D1067" t="s">
        <v>60</v>
      </c>
      <c r="E1067" t="s">
        <v>40</v>
      </c>
      <c r="F1067" t="s">
        <v>736</v>
      </c>
      <c r="G1067" t="s">
        <v>737</v>
      </c>
      <c r="H1067" t="s">
        <v>738</v>
      </c>
      <c r="I1067" t="s">
        <v>739</v>
      </c>
      <c r="J1067" t="s">
        <v>739</v>
      </c>
      <c r="K1067" s="2">
        <v>45015</v>
      </c>
      <c r="L1067">
        <v>-7786.4543527505402</v>
      </c>
      <c r="M1067">
        <v>32390982.186365001</v>
      </c>
      <c r="N1067">
        <v>-4805131.9241196401</v>
      </c>
      <c r="O1067">
        <v>0</v>
      </c>
      <c r="P1067">
        <v>-32390982.186365001</v>
      </c>
      <c r="Q1067">
        <v>3219968.7990421699</v>
      </c>
      <c r="R1067">
        <v>0</v>
      </c>
      <c r="S1067">
        <v>0</v>
      </c>
      <c r="T1067">
        <v>851129.92558328295</v>
      </c>
      <c r="U1067">
        <v>1685496.5717084301</v>
      </c>
      <c r="V1067">
        <v>30364.015072390201</v>
      </c>
    </row>
    <row r="1068" spans="1:22" x14ac:dyDescent="0.3">
      <c r="A1068" t="str">
        <f t="shared" si="32"/>
        <v>BRIVPrevisão</v>
      </c>
      <c r="B1068" t="str">
        <f t="shared" si="33"/>
        <v>BRIVPrevisãoJun-2023</v>
      </c>
      <c r="C1068" t="s">
        <v>59</v>
      </c>
      <c r="D1068" t="s">
        <v>60</v>
      </c>
      <c r="E1068" t="s">
        <v>40</v>
      </c>
      <c r="F1068" t="s">
        <v>736</v>
      </c>
      <c r="G1068" t="s">
        <v>737</v>
      </c>
      <c r="H1068" t="s">
        <v>738</v>
      </c>
      <c r="I1068" t="s">
        <v>739</v>
      </c>
      <c r="J1068" t="s">
        <v>739</v>
      </c>
      <c r="K1068" s="2">
        <v>45107</v>
      </c>
      <c r="L1068">
        <v>-10568.0437178385</v>
      </c>
      <c r="M1068">
        <v>35467291.639760099</v>
      </c>
      <c r="N1068">
        <v>-6705029.1481868802</v>
      </c>
      <c r="O1068">
        <v>0</v>
      </c>
      <c r="P1068">
        <v>-35467291.639760099</v>
      </c>
      <c r="Q1068">
        <v>4515266.2857340798</v>
      </c>
      <c r="R1068">
        <v>0</v>
      </c>
      <c r="S1068">
        <v>0</v>
      </c>
      <c r="T1068">
        <v>857161.43568749004</v>
      </c>
      <c r="U1068">
        <v>1706091.4445716799</v>
      </c>
      <c r="V1068">
        <v>36306.2733775011</v>
      </c>
    </row>
    <row r="1069" spans="1:22" x14ac:dyDescent="0.3">
      <c r="A1069" t="str">
        <f t="shared" si="32"/>
        <v>BRIVPrevisão</v>
      </c>
      <c r="B1069" t="str">
        <f t="shared" si="33"/>
        <v>BRIVPrevisãoSet-2023</v>
      </c>
      <c r="C1069" t="s">
        <v>59</v>
      </c>
      <c r="D1069" t="s">
        <v>60</v>
      </c>
      <c r="E1069" t="s">
        <v>40</v>
      </c>
      <c r="F1069" t="s">
        <v>736</v>
      </c>
      <c r="G1069" t="s">
        <v>737</v>
      </c>
      <c r="H1069" t="s">
        <v>738</v>
      </c>
      <c r="I1069" t="s">
        <v>739</v>
      </c>
      <c r="J1069" t="s">
        <v>739</v>
      </c>
      <c r="K1069" s="2">
        <v>45199</v>
      </c>
      <c r="L1069">
        <v>-13530.8606540334</v>
      </c>
      <c r="M1069">
        <v>38826645.483073302</v>
      </c>
      <c r="N1069">
        <v>-8763059.5928274207</v>
      </c>
      <c r="O1069">
        <v>0</v>
      </c>
      <c r="P1069">
        <v>-38826645.483073302</v>
      </c>
      <c r="Q1069">
        <v>5902359.5259742001</v>
      </c>
      <c r="R1069">
        <v>0</v>
      </c>
      <c r="S1069">
        <v>0</v>
      </c>
      <c r="T1069">
        <v>862899.67442143802</v>
      </c>
      <c r="U1069">
        <v>1727138.1303074299</v>
      </c>
      <c r="V1069">
        <v>42904.806502735599</v>
      </c>
    </row>
    <row r="1070" spans="1:22" x14ac:dyDescent="0.3">
      <c r="A1070" t="str">
        <f t="shared" si="32"/>
        <v>ABCBPrevisão</v>
      </c>
      <c r="B1070" t="str">
        <f t="shared" si="33"/>
        <v>ABCBPrevisãoDez-2022</v>
      </c>
      <c r="C1070" t="s">
        <v>57</v>
      </c>
      <c r="D1070" t="s">
        <v>58</v>
      </c>
      <c r="E1070" t="s">
        <v>40</v>
      </c>
      <c r="F1070" t="s">
        <v>736</v>
      </c>
      <c r="G1070" t="s">
        <v>737</v>
      </c>
      <c r="H1070" t="s">
        <v>738</v>
      </c>
      <c r="I1070" t="s">
        <v>739</v>
      </c>
      <c r="J1070" t="s">
        <v>739</v>
      </c>
      <c r="K1070" s="2">
        <v>44925</v>
      </c>
      <c r="L1070">
        <v>-64736.386384857797</v>
      </c>
      <c r="M1070">
        <v>55310406.254647598</v>
      </c>
      <c r="N1070">
        <v>-13805179.2692497</v>
      </c>
      <c r="O1070">
        <v>0</v>
      </c>
      <c r="P1070">
        <v>-55310406.254647598</v>
      </c>
      <c r="Q1070">
        <v>11438620.204477301</v>
      </c>
      <c r="R1070">
        <v>0</v>
      </c>
      <c r="S1070">
        <v>0</v>
      </c>
      <c r="T1070">
        <v>700154.55513082806</v>
      </c>
      <c r="U1070">
        <v>5055227.0373481102</v>
      </c>
      <c r="V1070">
        <v>159119.37153044899</v>
      </c>
    </row>
    <row r="1071" spans="1:22" x14ac:dyDescent="0.3">
      <c r="A1071" t="str">
        <f t="shared" si="32"/>
        <v>ABCBPrevisão</v>
      </c>
      <c r="B1071" t="str">
        <f t="shared" si="33"/>
        <v>ABCBPrevisãoMar-2023</v>
      </c>
      <c r="C1071" t="s">
        <v>57</v>
      </c>
      <c r="D1071" t="s">
        <v>58</v>
      </c>
      <c r="E1071" t="s">
        <v>40</v>
      </c>
      <c r="F1071" t="s">
        <v>736</v>
      </c>
      <c r="G1071" t="s">
        <v>737</v>
      </c>
      <c r="H1071" t="s">
        <v>738</v>
      </c>
      <c r="I1071" t="s">
        <v>739</v>
      </c>
      <c r="J1071" t="s">
        <v>739</v>
      </c>
      <c r="K1071" s="2">
        <v>45015</v>
      </c>
      <c r="L1071">
        <v>-90711.232192468204</v>
      </c>
      <c r="M1071">
        <v>57065210.033730797</v>
      </c>
      <c r="N1071">
        <v>-20227164.356270801</v>
      </c>
      <c r="O1071">
        <v>0</v>
      </c>
      <c r="P1071">
        <v>-57065210.033730797</v>
      </c>
      <c r="Q1071">
        <v>17024788.4291724</v>
      </c>
      <c r="R1071">
        <v>0</v>
      </c>
      <c r="S1071">
        <v>0</v>
      </c>
      <c r="T1071">
        <v>559811.49987917498</v>
      </c>
      <c r="U1071">
        <v>5146239.8081861604</v>
      </c>
      <c r="V1071">
        <v>189588.35234931699</v>
      </c>
    </row>
    <row r="1072" spans="1:22" x14ac:dyDescent="0.3">
      <c r="A1072" t="str">
        <f t="shared" si="32"/>
        <v>ABCBPrevisão</v>
      </c>
      <c r="B1072" t="str">
        <f t="shared" si="33"/>
        <v>ABCBPrevisãoJun-2023</v>
      </c>
      <c r="C1072" t="s">
        <v>57</v>
      </c>
      <c r="D1072" t="s">
        <v>58</v>
      </c>
      <c r="E1072" t="s">
        <v>40</v>
      </c>
      <c r="F1072" t="s">
        <v>736</v>
      </c>
      <c r="G1072" t="s">
        <v>737</v>
      </c>
      <c r="H1072" t="s">
        <v>738</v>
      </c>
      <c r="I1072" t="s">
        <v>739</v>
      </c>
      <c r="J1072" t="s">
        <v>739</v>
      </c>
      <c r="K1072" s="2">
        <v>45107</v>
      </c>
      <c r="L1072">
        <v>-119005.19001772899</v>
      </c>
      <c r="M1072">
        <v>58832775.135724902</v>
      </c>
      <c r="N1072">
        <v>-27285473.499763198</v>
      </c>
      <c r="O1072">
        <v>0</v>
      </c>
      <c r="P1072">
        <v>-58832775.135724902</v>
      </c>
      <c r="Q1072">
        <v>23175048.806482799</v>
      </c>
      <c r="R1072">
        <v>0</v>
      </c>
      <c r="S1072">
        <v>0</v>
      </c>
      <c r="T1072">
        <v>399332.10001181602</v>
      </c>
      <c r="U1072">
        <v>5232281.3457143903</v>
      </c>
      <c r="V1072">
        <v>223157.70741099099</v>
      </c>
    </row>
    <row r="1073" spans="1:22" x14ac:dyDescent="0.3">
      <c r="A1073" t="str">
        <f t="shared" si="32"/>
        <v>ABCBPrevisão</v>
      </c>
      <c r="B1073" t="str">
        <f t="shared" si="33"/>
        <v>ABCBPrevisãoSet-2023</v>
      </c>
      <c r="C1073" t="s">
        <v>57</v>
      </c>
      <c r="D1073" t="s">
        <v>58</v>
      </c>
      <c r="E1073" t="s">
        <v>40</v>
      </c>
      <c r="F1073" t="s">
        <v>736</v>
      </c>
      <c r="G1073" t="s">
        <v>737</v>
      </c>
      <c r="H1073" t="s">
        <v>738</v>
      </c>
      <c r="I1073" t="s">
        <v>739</v>
      </c>
      <c r="J1073" t="s">
        <v>739</v>
      </c>
      <c r="K1073" s="2">
        <v>45199</v>
      </c>
      <c r="L1073">
        <v>-149704.49579191001</v>
      </c>
      <c r="M1073">
        <v>60611934.351810202</v>
      </c>
      <c r="N1073">
        <v>-35005578.188938297</v>
      </c>
      <c r="O1073">
        <v>0</v>
      </c>
      <c r="P1073">
        <v>-60611934.351810202</v>
      </c>
      <c r="Q1073">
        <v>29912404.362343401</v>
      </c>
      <c r="R1073">
        <v>0</v>
      </c>
      <c r="S1073">
        <v>0</v>
      </c>
      <c r="T1073">
        <v>217736.850970809</v>
      </c>
      <c r="U1073">
        <v>5313007.3104325403</v>
      </c>
      <c r="V1073">
        <v>259965.05588438001</v>
      </c>
    </row>
    <row r="1074" spans="1:22" x14ac:dyDescent="0.3">
      <c r="A1074" t="str">
        <f t="shared" si="32"/>
        <v>BEESPrevisão</v>
      </c>
      <c r="B1074" t="str">
        <f t="shared" si="33"/>
        <v>BEESPrevisãoDez-2022</v>
      </c>
      <c r="C1074" t="s">
        <v>55</v>
      </c>
      <c r="D1074" t="s">
        <v>56</v>
      </c>
      <c r="E1074" t="s">
        <v>40</v>
      </c>
      <c r="F1074" t="s">
        <v>736</v>
      </c>
      <c r="G1074" t="s">
        <v>737</v>
      </c>
      <c r="H1074" t="s">
        <v>738</v>
      </c>
      <c r="I1074" t="s">
        <v>739</v>
      </c>
      <c r="J1074" t="s">
        <v>739</v>
      </c>
      <c r="K1074" s="2">
        <v>44925</v>
      </c>
      <c r="L1074">
        <v>-27022.495119262501</v>
      </c>
      <c r="M1074">
        <v>40254571.318475299</v>
      </c>
      <c r="N1074">
        <v>-7643540.81343232</v>
      </c>
      <c r="O1074">
        <v>0</v>
      </c>
      <c r="P1074">
        <v>-40254571.318475299</v>
      </c>
      <c r="Q1074">
        <v>8736854.1443000901</v>
      </c>
      <c r="R1074">
        <v>0</v>
      </c>
      <c r="S1074">
        <v>0</v>
      </c>
      <c r="T1074">
        <v>326963.12783295597</v>
      </c>
      <c r="U1074">
        <v>2030129.35913752</v>
      </c>
      <c r="V1074">
        <v>170744.135642145</v>
      </c>
    </row>
    <row r="1075" spans="1:22" x14ac:dyDescent="0.3">
      <c r="A1075" t="str">
        <f t="shared" si="32"/>
        <v>BEESPrevisão</v>
      </c>
      <c r="B1075" t="str">
        <f t="shared" si="33"/>
        <v>BEESPrevisãoMar-2023</v>
      </c>
      <c r="C1075" t="s">
        <v>55</v>
      </c>
      <c r="D1075" t="s">
        <v>56</v>
      </c>
      <c r="E1075" t="s">
        <v>40</v>
      </c>
      <c r="F1075" t="s">
        <v>736</v>
      </c>
      <c r="G1075" t="s">
        <v>737</v>
      </c>
      <c r="H1075" t="s">
        <v>738</v>
      </c>
      <c r="I1075" t="s">
        <v>739</v>
      </c>
      <c r="J1075" t="s">
        <v>739</v>
      </c>
      <c r="K1075" s="2">
        <v>45015</v>
      </c>
      <c r="L1075">
        <v>-40303.218042337998</v>
      </c>
      <c r="M1075">
        <v>41868806.671140902</v>
      </c>
      <c r="N1075">
        <v>-11582957.4030861</v>
      </c>
      <c r="O1075">
        <v>0</v>
      </c>
      <c r="P1075">
        <v>-41868806.671140902</v>
      </c>
      <c r="Q1075">
        <v>13309528.705446601</v>
      </c>
      <c r="R1075">
        <v>0</v>
      </c>
      <c r="S1075">
        <v>0</v>
      </c>
      <c r="T1075">
        <v>294992.64290876698</v>
      </c>
      <c r="U1075">
        <v>2077970.9007035301</v>
      </c>
      <c r="V1075">
        <v>213914.33990370599</v>
      </c>
    </row>
    <row r="1076" spans="1:22" x14ac:dyDescent="0.3">
      <c r="A1076" t="str">
        <f t="shared" si="32"/>
        <v>BEESPrevisão</v>
      </c>
      <c r="B1076" t="str">
        <f t="shared" si="33"/>
        <v>BEESPrevisãoJun-2023</v>
      </c>
      <c r="C1076" t="s">
        <v>55</v>
      </c>
      <c r="D1076" t="s">
        <v>56</v>
      </c>
      <c r="E1076" t="s">
        <v>40</v>
      </c>
      <c r="F1076" t="s">
        <v>736</v>
      </c>
      <c r="G1076" t="s">
        <v>737</v>
      </c>
      <c r="H1076" t="s">
        <v>738</v>
      </c>
      <c r="I1076" t="s">
        <v>739</v>
      </c>
      <c r="J1076" t="s">
        <v>739</v>
      </c>
      <c r="K1076" s="2">
        <v>45107</v>
      </c>
      <c r="L1076">
        <v>-54894.336731168398</v>
      </c>
      <c r="M1076">
        <v>43553624.461095802</v>
      </c>
      <c r="N1076">
        <v>-15925344.690780099</v>
      </c>
      <c r="O1076">
        <v>0</v>
      </c>
      <c r="P1076">
        <v>-43553624.461095802</v>
      </c>
      <c r="Q1076">
        <v>18339551.464012299</v>
      </c>
      <c r="R1076">
        <v>0</v>
      </c>
      <c r="S1076">
        <v>0</v>
      </c>
      <c r="T1076">
        <v>257538.205978535</v>
      </c>
      <c r="U1076">
        <v>2126223.4438568298</v>
      </c>
      <c r="V1076">
        <v>261128.24981941501</v>
      </c>
    </row>
    <row r="1077" spans="1:22" x14ac:dyDescent="0.3">
      <c r="A1077" t="str">
        <f t="shared" si="32"/>
        <v>BEESPrevisão</v>
      </c>
      <c r="B1077" t="str">
        <f t="shared" si="33"/>
        <v>BEESPrevisãoSet-2023</v>
      </c>
      <c r="C1077" t="s">
        <v>55</v>
      </c>
      <c r="D1077" t="s">
        <v>56</v>
      </c>
      <c r="E1077" t="s">
        <v>40</v>
      </c>
      <c r="F1077" t="s">
        <v>736</v>
      </c>
      <c r="G1077" t="s">
        <v>737</v>
      </c>
      <c r="H1077" t="s">
        <v>738</v>
      </c>
      <c r="I1077" t="s">
        <v>739</v>
      </c>
      <c r="J1077" t="s">
        <v>739</v>
      </c>
      <c r="K1077" s="2">
        <v>45199</v>
      </c>
      <c r="L1077">
        <v>-70848.156446934896</v>
      </c>
      <c r="M1077">
        <v>45311441.370672703</v>
      </c>
      <c r="N1077">
        <v>-20687538.586086601</v>
      </c>
      <c r="O1077">
        <v>0</v>
      </c>
      <c r="P1077">
        <v>-45311441.370672703</v>
      </c>
      <c r="Q1077">
        <v>23845489.766155701</v>
      </c>
      <c r="R1077">
        <v>0</v>
      </c>
      <c r="S1077">
        <v>0</v>
      </c>
      <c r="T1077">
        <v>214313.87791007099</v>
      </c>
      <c r="U1077">
        <v>2174865.3929528198</v>
      </c>
      <c r="V1077">
        <v>312551.792523816</v>
      </c>
    </row>
    <row r="1078" spans="1:22" x14ac:dyDescent="0.3">
      <c r="A1078" t="str">
        <f t="shared" si="32"/>
        <v>BMGBPrevisão</v>
      </c>
      <c r="B1078" t="str">
        <f t="shared" si="33"/>
        <v>BMGBPrevisãoDez-2022</v>
      </c>
      <c r="C1078" t="s">
        <v>43</v>
      </c>
      <c r="D1078" t="s">
        <v>44</v>
      </c>
      <c r="E1078" t="s">
        <v>40</v>
      </c>
      <c r="F1078" t="s">
        <v>736</v>
      </c>
      <c r="G1078" t="s">
        <v>737</v>
      </c>
      <c r="H1078" t="s">
        <v>738</v>
      </c>
      <c r="I1078" t="s">
        <v>739</v>
      </c>
      <c r="J1078" t="s">
        <v>739</v>
      </c>
      <c r="K1078" s="2">
        <v>44925</v>
      </c>
      <c r="L1078">
        <v>40804.790476193899</v>
      </c>
      <c r="M1078">
        <v>48558800.006593399</v>
      </c>
      <c r="N1078">
        <v>25143574.183150001</v>
      </c>
      <c r="O1078">
        <v>0</v>
      </c>
      <c r="P1078">
        <v>-48558800.006593399</v>
      </c>
      <c r="Q1078">
        <v>-20585385.727472201</v>
      </c>
      <c r="R1078">
        <v>0</v>
      </c>
      <c r="S1078">
        <v>0</v>
      </c>
      <c r="T1078">
        <v>363636.73186814197</v>
      </c>
      <c r="U1078">
        <v>3162213.13772895</v>
      </c>
      <c r="V1078">
        <v>-314952.62857142801</v>
      </c>
    </row>
    <row r="1079" spans="1:22" x14ac:dyDescent="0.3">
      <c r="A1079" t="str">
        <f t="shared" si="32"/>
        <v>BMGBPrevisão</v>
      </c>
      <c r="B1079" t="str">
        <f t="shared" si="33"/>
        <v>BMGBPrevisãoMar-2023</v>
      </c>
      <c r="C1079" t="s">
        <v>43</v>
      </c>
      <c r="D1079" t="s">
        <v>44</v>
      </c>
      <c r="E1079" t="s">
        <v>40</v>
      </c>
      <c r="F1079" t="s">
        <v>736</v>
      </c>
      <c r="G1079" t="s">
        <v>737</v>
      </c>
      <c r="H1079" t="s">
        <v>738</v>
      </c>
      <c r="I1079" t="s">
        <v>739</v>
      </c>
      <c r="J1079" t="s">
        <v>739</v>
      </c>
      <c r="K1079" s="2">
        <v>45015</v>
      </c>
      <c r="L1079">
        <v>37052.202564105799</v>
      </c>
      <c r="M1079">
        <v>51409413.275824301</v>
      </c>
      <c r="N1079">
        <v>30587878.3919411</v>
      </c>
      <c r="O1079">
        <v>0</v>
      </c>
      <c r="P1079">
        <v>-51409413.275824301</v>
      </c>
      <c r="Q1079">
        <v>-20742515.257692002</v>
      </c>
      <c r="R1079">
        <v>0</v>
      </c>
      <c r="S1079">
        <v>0</v>
      </c>
      <c r="T1079">
        <v>286701.96538463101</v>
      </c>
      <c r="U1079">
        <v>2558418.2558608199</v>
      </c>
      <c r="V1079">
        <v>-221046.743956044</v>
      </c>
    </row>
    <row r="1080" spans="1:22" x14ac:dyDescent="0.3">
      <c r="A1080" t="str">
        <f t="shared" si="32"/>
        <v>BMGBPrevisão</v>
      </c>
      <c r="B1080" t="str">
        <f t="shared" si="33"/>
        <v>BMGBPrevisãoJun-2023</v>
      </c>
      <c r="C1080" t="s">
        <v>43</v>
      </c>
      <c r="D1080" t="s">
        <v>44</v>
      </c>
      <c r="E1080" t="s">
        <v>40</v>
      </c>
      <c r="F1080" t="s">
        <v>736</v>
      </c>
      <c r="G1080" t="s">
        <v>737</v>
      </c>
      <c r="H1080" t="s">
        <v>738</v>
      </c>
      <c r="I1080" t="s">
        <v>739</v>
      </c>
      <c r="J1080" t="s">
        <v>739</v>
      </c>
      <c r="K1080" s="2">
        <v>45107</v>
      </c>
      <c r="L1080">
        <v>34591.188827841601</v>
      </c>
      <c r="M1080">
        <v>54050046.659955002</v>
      </c>
      <c r="N1080">
        <v>37136084.8428137</v>
      </c>
      <c r="O1080">
        <v>0</v>
      </c>
      <c r="P1080">
        <v>-54050046.659955002</v>
      </c>
      <c r="Q1080">
        <v>-20411738.9592111</v>
      </c>
      <c r="R1080">
        <v>0</v>
      </c>
      <c r="S1080">
        <v>0</v>
      </c>
      <c r="T1080">
        <v>180051.936296081</v>
      </c>
      <c r="U1080">
        <v>1777599.9273217199</v>
      </c>
      <c r="V1080">
        <v>-100721.617420814</v>
      </c>
    </row>
    <row r="1081" spans="1:22" x14ac:dyDescent="0.3">
      <c r="A1081" t="str">
        <f t="shared" si="32"/>
        <v>BMGBPrevisão</v>
      </c>
      <c r="B1081" t="str">
        <f t="shared" si="33"/>
        <v>BMGBPrevisãoSet-2023</v>
      </c>
      <c r="C1081" t="s">
        <v>43</v>
      </c>
      <c r="D1081" t="s">
        <v>44</v>
      </c>
      <c r="E1081" t="s">
        <v>40</v>
      </c>
      <c r="F1081" t="s">
        <v>736</v>
      </c>
      <c r="G1081" t="s">
        <v>737</v>
      </c>
      <c r="H1081" t="s">
        <v>738</v>
      </c>
      <c r="I1081" t="s">
        <v>739</v>
      </c>
      <c r="J1081" t="s">
        <v>739</v>
      </c>
      <c r="K1081" s="2">
        <v>45199</v>
      </c>
      <c r="L1081">
        <v>33750.085491634498</v>
      </c>
      <c r="M1081">
        <v>56425224.009287201</v>
      </c>
      <c r="N1081">
        <v>44885529.758744001</v>
      </c>
      <c r="O1081">
        <v>0</v>
      </c>
      <c r="P1081">
        <v>-56425224.009287201</v>
      </c>
      <c r="Q1081">
        <v>-19522794.378032502</v>
      </c>
      <c r="R1081">
        <v>0</v>
      </c>
      <c r="S1081">
        <v>0</v>
      </c>
      <c r="T1081">
        <v>40456.348976547597</v>
      </c>
      <c r="U1081">
        <v>802663.37634493201</v>
      </c>
      <c r="V1081">
        <v>48502.106237879998</v>
      </c>
    </row>
    <row r="1082" spans="1:22" x14ac:dyDescent="0.3">
      <c r="A1082" t="str">
        <f t="shared" si="32"/>
        <v>STKFPrevisão</v>
      </c>
      <c r="B1082" t="str">
        <f t="shared" si="33"/>
        <v>STKFPrevisãoDez-2022</v>
      </c>
      <c r="C1082" t="s">
        <v>456</v>
      </c>
      <c r="D1082" t="s">
        <v>457</v>
      </c>
      <c r="E1082" t="s">
        <v>413</v>
      </c>
      <c r="F1082" t="s">
        <v>736</v>
      </c>
      <c r="G1082" t="s">
        <v>737</v>
      </c>
      <c r="H1082" t="s">
        <v>738</v>
      </c>
      <c r="I1082" t="s">
        <v>739</v>
      </c>
      <c r="J1082" t="s">
        <v>739</v>
      </c>
      <c r="K1082" s="2">
        <v>44925</v>
      </c>
      <c r="L1082">
        <v>94824.216365332395</v>
      </c>
      <c r="M1082">
        <v>4364508.3148287795</v>
      </c>
      <c r="N1082">
        <v>642455.91392917896</v>
      </c>
      <c r="O1082">
        <v>51507.783549781299</v>
      </c>
      <c r="P1082">
        <v>-4364508.3148287795</v>
      </c>
      <c r="Q1082">
        <v>-443327.11501580698</v>
      </c>
      <c r="R1082">
        <v>13103.2073677961</v>
      </c>
      <c r="S1082">
        <v>5768.4108309958301</v>
      </c>
      <c r="T1082">
        <v>406408.69705458498</v>
      </c>
      <c r="U1082">
        <v>3334838.3974193698</v>
      </c>
      <c r="V1082">
        <v>102919.27102962301</v>
      </c>
    </row>
    <row r="1083" spans="1:22" x14ac:dyDescent="0.3">
      <c r="A1083" t="str">
        <f t="shared" si="32"/>
        <v>STKFPrevisão</v>
      </c>
      <c r="B1083" t="str">
        <f t="shared" si="33"/>
        <v>STKFPrevisãoMar-2023</v>
      </c>
      <c r="C1083" t="s">
        <v>456</v>
      </c>
      <c r="D1083" t="s">
        <v>457</v>
      </c>
      <c r="E1083" t="s">
        <v>413</v>
      </c>
      <c r="F1083" t="s">
        <v>736</v>
      </c>
      <c r="G1083" t="s">
        <v>737</v>
      </c>
      <c r="H1083" t="s">
        <v>738</v>
      </c>
      <c r="I1083" t="s">
        <v>739</v>
      </c>
      <c r="J1083" t="s">
        <v>739</v>
      </c>
      <c r="K1083" s="2">
        <v>45015</v>
      </c>
      <c r="L1083">
        <v>105033.395327334</v>
      </c>
      <c r="M1083">
        <v>4788747.7595806299</v>
      </c>
      <c r="N1083">
        <v>712433.37507481605</v>
      </c>
      <c r="O1083">
        <v>54072.24828801</v>
      </c>
      <c r="P1083">
        <v>-4788747.7595806299</v>
      </c>
      <c r="Q1083">
        <v>-488154.53909994202</v>
      </c>
      <c r="R1083">
        <v>14148.8708066362</v>
      </c>
      <c r="S1083">
        <v>7072.7253892517301</v>
      </c>
      <c r="T1083">
        <v>461697.49932439002</v>
      </c>
      <c r="U1083">
        <v>3689430.7273872299</v>
      </c>
      <c r="V1083">
        <v>115369.138626785</v>
      </c>
    </row>
    <row r="1084" spans="1:22" x14ac:dyDescent="0.3">
      <c r="A1084" t="str">
        <f t="shared" si="32"/>
        <v>STKFPrevisão</v>
      </c>
      <c r="B1084" t="str">
        <f t="shared" si="33"/>
        <v>STKFPrevisãoJun-2023</v>
      </c>
      <c r="C1084" t="s">
        <v>456</v>
      </c>
      <c r="D1084" t="s">
        <v>457</v>
      </c>
      <c r="E1084" t="s">
        <v>413</v>
      </c>
      <c r="F1084" t="s">
        <v>736</v>
      </c>
      <c r="G1084" t="s">
        <v>737</v>
      </c>
      <c r="H1084" t="s">
        <v>738</v>
      </c>
      <c r="I1084" t="s">
        <v>739</v>
      </c>
      <c r="J1084" t="s">
        <v>739</v>
      </c>
      <c r="K1084" s="2">
        <v>45107</v>
      </c>
      <c r="L1084">
        <v>115913.227708547</v>
      </c>
      <c r="M1084">
        <v>5245197.7005245304</v>
      </c>
      <c r="N1084">
        <v>787797.56952502695</v>
      </c>
      <c r="O1084">
        <v>56632.69664912</v>
      </c>
      <c r="P1084">
        <v>-5245197.7005245304</v>
      </c>
      <c r="Q1084">
        <v>-535807.76394120802</v>
      </c>
      <c r="R1084">
        <v>15262.7321444729</v>
      </c>
      <c r="S1084">
        <v>8615.6808980556998</v>
      </c>
      <c r="T1084">
        <v>521529.785639979</v>
      </c>
      <c r="U1084">
        <v>4074066.5060657598</v>
      </c>
      <c r="V1084">
        <v>128763.896154366</v>
      </c>
    </row>
    <row r="1085" spans="1:22" x14ac:dyDescent="0.3">
      <c r="A1085" t="str">
        <f t="shared" si="32"/>
        <v>STKFPrevisão</v>
      </c>
      <c r="B1085" t="str">
        <f t="shared" si="33"/>
        <v>STKFPrevisãoSet-2023</v>
      </c>
      <c r="C1085" t="s">
        <v>456</v>
      </c>
      <c r="D1085" t="s">
        <v>457</v>
      </c>
      <c r="E1085" t="s">
        <v>413</v>
      </c>
      <c r="F1085" t="s">
        <v>736</v>
      </c>
      <c r="G1085" t="s">
        <v>737</v>
      </c>
      <c r="H1085" t="s">
        <v>738</v>
      </c>
      <c r="I1085" t="s">
        <v>739</v>
      </c>
      <c r="J1085" t="s">
        <v>739</v>
      </c>
      <c r="K1085" s="2">
        <v>45199</v>
      </c>
      <c r="L1085">
        <v>127484.578335475</v>
      </c>
      <c r="M1085">
        <v>5735016.78438826</v>
      </c>
      <c r="N1085">
        <v>868751.13750224898</v>
      </c>
      <c r="O1085">
        <v>59183.439055291798</v>
      </c>
      <c r="P1085">
        <v>-5735016.78438826</v>
      </c>
      <c r="Q1085">
        <v>-586348.05015513301</v>
      </c>
      <c r="R1085">
        <v>16447.197517291301</v>
      </c>
      <c r="S1085">
        <v>10410.839373102899</v>
      </c>
      <c r="T1085">
        <v>586077.33488784195</v>
      </c>
      <c r="U1085">
        <v>4489940.8175739404</v>
      </c>
      <c r="V1085">
        <v>143137.08143428201</v>
      </c>
    </row>
    <row r="1086" spans="1:22" x14ac:dyDescent="0.3">
      <c r="A1086" t="str">
        <f t="shared" si="32"/>
        <v>GEPAPrevisão</v>
      </c>
      <c r="B1086" t="str">
        <f t="shared" si="33"/>
        <v>GEPAPrevisãoDez-2022</v>
      </c>
      <c r="C1086" t="s">
        <v>454</v>
      </c>
      <c r="D1086" t="s">
        <v>455</v>
      </c>
      <c r="E1086" t="s">
        <v>413</v>
      </c>
      <c r="F1086" t="s">
        <v>736</v>
      </c>
      <c r="G1086" t="s">
        <v>737</v>
      </c>
      <c r="H1086" t="s">
        <v>738</v>
      </c>
      <c r="I1086" t="s">
        <v>739</v>
      </c>
      <c r="J1086" t="s">
        <v>739</v>
      </c>
      <c r="K1086" s="2">
        <v>44925</v>
      </c>
      <c r="L1086">
        <v>29159.170698588401</v>
      </c>
      <c r="M1086">
        <v>3656173.1169678802</v>
      </c>
      <c r="N1086">
        <v>98038.063407063295</v>
      </c>
      <c r="O1086">
        <v>145251.342330871</v>
      </c>
      <c r="P1086">
        <v>-3656173.1169678802</v>
      </c>
      <c r="Q1086">
        <v>-588029.76071657601</v>
      </c>
      <c r="R1086">
        <v>7874.4568372814401</v>
      </c>
      <c r="S1086">
        <v>2525.1385281765902</v>
      </c>
      <c r="T1086">
        <v>826694.003904577</v>
      </c>
      <c r="U1086">
        <v>2203667.4565828801</v>
      </c>
      <c r="V1086">
        <v>327929.41897971398</v>
      </c>
    </row>
    <row r="1087" spans="1:22" x14ac:dyDescent="0.3">
      <c r="A1087" t="str">
        <f t="shared" si="32"/>
        <v>GEPAPrevisão</v>
      </c>
      <c r="B1087" t="str">
        <f t="shared" si="33"/>
        <v>GEPAPrevisãoMar-2023</v>
      </c>
      <c r="C1087" t="s">
        <v>454</v>
      </c>
      <c r="D1087" t="s">
        <v>455</v>
      </c>
      <c r="E1087" t="s">
        <v>413</v>
      </c>
      <c r="F1087" t="s">
        <v>736</v>
      </c>
      <c r="G1087" t="s">
        <v>737</v>
      </c>
      <c r="H1087" t="s">
        <v>738</v>
      </c>
      <c r="I1087" t="s">
        <v>739</v>
      </c>
      <c r="J1087" t="s">
        <v>739</v>
      </c>
      <c r="K1087" s="2">
        <v>45015</v>
      </c>
      <c r="L1087">
        <v>27696.722539964499</v>
      </c>
      <c r="M1087">
        <v>3495182.0801816201</v>
      </c>
      <c r="N1087">
        <v>-100450.170173381</v>
      </c>
      <c r="O1087">
        <v>140024.87996017301</v>
      </c>
      <c r="P1087">
        <v>-3495182.0801816201</v>
      </c>
      <c r="Q1087">
        <v>-382216.40852557297</v>
      </c>
      <c r="R1087">
        <v>8492.3616817750899</v>
      </c>
      <c r="S1087">
        <v>-14406.842662327599</v>
      </c>
      <c r="T1087">
        <v>927543.86996009701</v>
      </c>
      <c r="U1087">
        <v>2301411.0975852301</v>
      </c>
      <c r="V1087">
        <v>323889.891075188</v>
      </c>
    </row>
    <row r="1088" spans="1:22" x14ac:dyDescent="0.3">
      <c r="A1088" t="str">
        <f t="shared" si="32"/>
        <v>GEPAPrevisão</v>
      </c>
      <c r="B1088" t="str">
        <f t="shared" si="33"/>
        <v>GEPAPrevisãoJun-2023</v>
      </c>
      <c r="C1088" t="s">
        <v>454</v>
      </c>
      <c r="D1088" t="s">
        <v>455</v>
      </c>
      <c r="E1088" t="s">
        <v>413</v>
      </c>
      <c r="F1088" t="s">
        <v>736</v>
      </c>
      <c r="G1088" t="s">
        <v>737</v>
      </c>
      <c r="H1088" t="s">
        <v>738</v>
      </c>
      <c r="I1088" t="s">
        <v>739</v>
      </c>
      <c r="J1088" t="s">
        <v>739</v>
      </c>
      <c r="K1088" s="2">
        <v>45107</v>
      </c>
      <c r="L1088">
        <v>26412.490976811299</v>
      </c>
      <c r="M1088">
        <v>3315020.5419697999</v>
      </c>
      <c r="N1088">
        <v>-321254.98872543598</v>
      </c>
      <c r="O1088">
        <v>134059.85717159201</v>
      </c>
      <c r="P1088">
        <v>-3315020.5419697999</v>
      </c>
      <c r="Q1088">
        <v>-148531.88684594899</v>
      </c>
      <c r="R1088">
        <v>9229.8955022352602</v>
      </c>
      <c r="S1088">
        <v>-32746.141871102802</v>
      </c>
      <c r="T1088">
        <v>1037287.60468896</v>
      </c>
      <c r="U1088">
        <v>2410214.6324876598</v>
      </c>
      <c r="V1088">
        <v>319440.73490394198</v>
      </c>
    </row>
    <row r="1089" spans="1:22" x14ac:dyDescent="0.3">
      <c r="A1089" t="str">
        <f t="shared" si="32"/>
        <v>GEPAPrevisão</v>
      </c>
      <c r="B1089" t="str">
        <f t="shared" si="33"/>
        <v>GEPAPrevisãoSet-2023</v>
      </c>
      <c r="C1089" t="s">
        <v>454</v>
      </c>
      <c r="D1089" t="s">
        <v>455</v>
      </c>
      <c r="E1089" t="s">
        <v>413</v>
      </c>
      <c r="F1089" t="s">
        <v>736</v>
      </c>
      <c r="G1089" t="s">
        <v>737</v>
      </c>
      <c r="H1089" t="s">
        <v>738</v>
      </c>
      <c r="I1089" t="s">
        <v>739</v>
      </c>
      <c r="J1089" t="s">
        <v>739</v>
      </c>
      <c r="K1089" s="2">
        <v>45199</v>
      </c>
      <c r="L1089">
        <v>25322.529550339899</v>
      </c>
      <c r="M1089">
        <v>3114735.4904138301</v>
      </c>
      <c r="N1089">
        <v>-565340.18211151403</v>
      </c>
      <c r="O1089">
        <v>127324.232015214</v>
      </c>
      <c r="P1089">
        <v>-3114735.4904138301</v>
      </c>
      <c r="Q1089">
        <v>114324.03461567</v>
      </c>
      <c r="R1089">
        <v>10094.1721557696</v>
      </c>
      <c r="S1089">
        <v>-52532.654556468602</v>
      </c>
      <c r="T1089">
        <v>1156293.13744736</v>
      </c>
      <c r="U1089">
        <v>2530426.1945587299</v>
      </c>
      <c r="V1089">
        <v>314577.610708519</v>
      </c>
    </row>
    <row r="1090" spans="1:22" x14ac:dyDescent="0.3">
      <c r="A1090" t="str">
        <f t="shared" ref="A1090:A1153" si="34">_xlfn.CONCAT(D1090,F1090)</f>
        <v>RNEWPrevisão</v>
      </c>
      <c r="B1090" t="str">
        <f t="shared" ref="B1090:B1153" si="35">_xlfn.CONCAT(D1090,F1090,PROPER(TEXT(K1090,"mmm-aaaa")))</f>
        <v>RNEWPrevisãoDez-2022</v>
      </c>
      <c r="C1090" t="s">
        <v>458</v>
      </c>
      <c r="D1090" t="s">
        <v>459</v>
      </c>
      <c r="E1090" t="s">
        <v>413</v>
      </c>
      <c r="F1090" t="s">
        <v>736</v>
      </c>
      <c r="G1090" t="s">
        <v>737</v>
      </c>
      <c r="H1090" t="s">
        <v>738</v>
      </c>
      <c r="I1090" t="s">
        <v>739</v>
      </c>
      <c r="J1090" t="s">
        <v>739</v>
      </c>
      <c r="K1090" s="2">
        <v>44925</v>
      </c>
      <c r="L1090">
        <v>120446.334012262</v>
      </c>
      <c r="M1090">
        <v>879320.31890349695</v>
      </c>
      <c r="N1090">
        <v>314157.61701032898</v>
      </c>
      <c r="O1090">
        <v>-225.05016552072999</v>
      </c>
      <c r="P1090">
        <v>-879320.31890349695</v>
      </c>
      <c r="Q1090">
        <v>-53734.785586929996</v>
      </c>
      <c r="R1090">
        <v>8554.2620320979604</v>
      </c>
      <c r="S1090">
        <v>2013.0089126497701</v>
      </c>
      <c r="T1090">
        <v>-3439.6096256701699</v>
      </c>
      <c r="U1090">
        <v>-512464.21772000502</v>
      </c>
      <c r="V1090">
        <v>138852.35514805699</v>
      </c>
    </row>
    <row r="1091" spans="1:22" x14ac:dyDescent="0.3">
      <c r="A1091" t="str">
        <f t="shared" si="34"/>
        <v>RNEWPrevisão</v>
      </c>
      <c r="B1091" t="str">
        <f t="shared" si="35"/>
        <v>RNEWPrevisãoMar-2023</v>
      </c>
      <c r="C1091" t="s">
        <v>458</v>
      </c>
      <c r="D1091" t="s">
        <v>459</v>
      </c>
      <c r="E1091" t="s">
        <v>413</v>
      </c>
      <c r="F1091" t="s">
        <v>736</v>
      </c>
      <c r="G1091" t="s">
        <v>737</v>
      </c>
      <c r="H1091" t="s">
        <v>738</v>
      </c>
      <c r="I1091" t="s">
        <v>739</v>
      </c>
      <c r="J1091" t="s">
        <v>739</v>
      </c>
      <c r="K1091" s="2">
        <v>45015</v>
      </c>
      <c r="L1091">
        <v>179412.77726375699</v>
      </c>
      <c r="M1091">
        <v>864024.30968132894</v>
      </c>
      <c r="N1091">
        <v>347173.39559106098</v>
      </c>
      <c r="O1091">
        <v>-302.46184763828802</v>
      </c>
      <c r="P1091">
        <v>-864024.30968132894</v>
      </c>
      <c r="Q1091">
        <v>136752.73591704201</v>
      </c>
      <c r="R1091">
        <v>8641.2772145855106</v>
      </c>
      <c r="S1091">
        <v>1109.63281921459</v>
      </c>
      <c r="T1091">
        <v>-3880.4623500514699</v>
      </c>
      <c r="U1091">
        <v>-287384.42361895699</v>
      </c>
      <c r="V1091">
        <v>195056.781634132</v>
      </c>
    </row>
    <row r="1092" spans="1:22" x14ac:dyDescent="0.3">
      <c r="A1092" t="str">
        <f t="shared" si="34"/>
        <v>RNEWPrevisão</v>
      </c>
      <c r="B1092" t="str">
        <f t="shared" si="35"/>
        <v>RNEWPrevisãoJun-2023</v>
      </c>
      <c r="C1092" t="s">
        <v>458</v>
      </c>
      <c r="D1092" t="s">
        <v>459</v>
      </c>
      <c r="E1092" t="s">
        <v>413</v>
      </c>
      <c r="F1092" t="s">
        <v>736</v>
      </c>
      <c r="G1092" t="s">
        <v>737</v>
      </c>
      <c r="H1092" t="s">
        <v>738</v>
      </c>
      <c r="I1092" t="s">
        <v>739</v>
      </c>
      <c r="J1092" t="s">
        <v>739</v>
      </c>
      <c r="K1092" s="2">
        <v>45107</v>
      </c>
      <c r="L1092">
        <v>245430.043475963</v>
      </c>
      <c r="M1092">
        <v>870015.31284091901</v>
      </c>
      <c r="N1092">
        <v>385964.45809775399</v>
      </c>
      <c r="O1092">
        <v>-387.274365998787</v>
      </c>
      <c r="P1092">
        <v>-870015.31284091901</v>
      </c>
      <c r="Q1092">
        <v>353663.83323800401</v>
      </c>
      <c r="R1092">
        <v>8762.5185800331401</v>
      </c>
      <c r="S1092">
        <v>151.48945169021499</v>
      </c>
      <c r="T1092">
        <v>-4241.1646191645104</v>
      </c>
      <c r="U1092">
        <v>-2050.7393624819802</v>
      </c>
      <c r="V1092">
        <v>257980.59152959101</v>
      </c>
    </row>
    <row r="1093" spans="1:22" x14ac:dyDescent="0.3">
      <c r="A1093" t="str">
        <f t="shared" si="34"/>
        <v>RNEWPrevisão</v>
      </c>
      <c r="B1093" t="str">
        <f t="shared" si="35"/>
        <v>RNEWPrevisãoSet-2023</v>
      </c>
      <c r="C1093" t="s">
        <v>458</v>
      </c>
      <c r="D1093" t="s">
        <v>459</v>
      </c>
      <c r="E1093" t="s">
        <v>413</v>
      </c>
      <c r="F1093" t="s">
        <v>736</v>
      </c>
      <c r="G1093" t="s">
        <v>737</v>
      </c>
      <c r="H1093" t="s">
        <v>738</v>
      </c>
      <c r="I1093" t="s">
        <v>739</v>
      </c>
      <c r="J1093" t="s">
        <v>739</v>
      </c>
      <c r="K1093" s="2">
        <v>45199</v>
      </c>
      <c r="L1093">
        <v>318821.48680038803</v>
      </c>
      <c r="M1093">
        <v>899190.97145134502</v>
      </c>
      <c r="N1093">
        <v>430871.773295252</v>
      </c>
      <c r="O1093">
        <v>-479.76404648536402</v>
      </c>
      <c r="P1093">
        <v>-899190.97145134502</v>
      </c>
      <c r="Q1093">
        <v>598300.20735210204</v>
      </c>
      <c r="R1093">
        <v>8921.4422736679007</v>
      </c>
      <c r="S1093">
        <v>-861.40067862424303</v>
      </c>
      <c r="T1093">
        <v>-4513.1246808292799</v>
      </c>
      <c r="U1093">
        <v>347364.87849740998</v>
      </c>
      <c r="V1093">
        <v>327935.97868237802</v>
      </c>
    </row>
    <row r="1094" spans="1:22" x14ac:dyDescent="0.3">
      <c r="A1094" t="str">
        <f t="shared" si="34"/>
        <v>REDEPrevisão</v>
      </c>
      <c r="B1094" t="str">
        <f t="shared" si="35"/>
        <v>REDEPrevisãoDez-2022</v>
      </c>
      <c r="C1094" t="s">
        <v>452</v>
      </c>
      <c r="D1094" t="s">
        <v>453</v>
      </c>
      <c r="E1094" t="s">
        <v>413</v>
      </c>
      <c r="F1094" t="s">
        <v>736</v>
      </c>
      <c r="G1094" t="s">
        <v>737</v>
      </c>
      <c r="H1094" t="s">
        <v>738</v>
      </c>
      <c r="I1094" t="s">
        <v>739</v>
      </c>
      <c r="J1094" t="s">
        <v>739</v>
      </c>
      <c r="K1094" s="2">
        <v>44925</v>
      </c>
      <c r="L1094">
        <v>492666.07698833902</v>
      </c>
      <c r="M1094">
        <v>4880381.9043370597</v>
      </c>
      <c r="N1094">
        <v>515261.53552327002</v>
      </c>
      <c r="O1094">
        <v>-39770.626602172597</v>
      </c>
      <c r="P1094">
        <v>-4880381.9043370597</v>
      </c>
      <c r="Q1094">
        <v>-345879.24480088498</v>
      </c>
      <c r="R1094">
        <v>10.085476614889201</v>
      </c>
      <c r="S1094">
        <v>1636.90628979035</v>
      </c>
      <c r="T1094">
        <v>231114.19607841701</v>
      </c>
      <c r="U1094">
        <v>3367069.1713770302</v>
      </c>
      <c r="V1094">
        <v>435210.73754352599</v>
      </c>
    </row>
    <row r="1095" spans="1:22" x14ac:dyDescent="0.3">
      <c r="A1095" t="str">
        <f t="shared" si="34"/>
        <v>REDEPrevisão</v>
      </c>
      <c r="B1095" t="str">
        <f t="shared" si="35"/>
        <v>REDEPrevisãoMar-2023</v>
      </c>
      <c r="C1095" t="s">
        <v>452</v>
      </c>
      <c r="D1095" t="s">
        <v>453</v>
      </c>
      <c r="E1095" t="s">
        <v>413</v>
      </c>
      <c r="F1095" t="s">
        <v>736</v>
      </c>
      <c r="G1095" t="s">
        <v>737</v>
      </c>
      <c r="H1095" t="s">
        <v>738</v>
      </c>
      <c r="I1095" t="s">
        <v>739</v>
      </c>
      <c r="J1095" t="s">
        <v>739</v>
      </c>
      <c r="K1095" s="2">
        <v>45015</v>
      </c>
      <c r="L1095">
        <v>538663.421058162</v>
      </c>
      <c r="M1095">
        <v>4729829.6135641597</v>
      </c>
      <c r="N1095">
        <v>536235.29236947803</v>
      </c>
      <c r="O1095">
        <v>-58798.170425606098</v>
      </c>
      <c r="P1095">
        <v>-4729829.6135641597</v>
      </c>
      <c r="Q1095">
        <v>-447180.25409204297</v>
      </c>
      <c r="R1095">
        <v>13.6882612176694</v>
      </c>
      <c r="S1095">
        <v>2220.1213360053598</v>
      </c>
      <c r="T1095">
        <v>201786.13066845699</v>
      </c>
      <c r="U1095">
        <v>3074212.93427965</v>
      </c>
      <c r="V1095">
        <v>454654.245805807</v>
      </c>
    </row>
    <row r="1096" spans="1:22" x14ac:dyDescent="0.3">
      <c r="A1096" t="str">
        <f t="shared" si="34"/>
        <v>REDEPrevisão</v>
      </c>
      <c r="B1096" t="str">
        <f t="shared" si="35"/>
        <v>REDEPrevisãoJun-2023</v>
      </c>
      <c r="C1096" t="s">
        <v>452</v>
      </c>
      <c r="D1096" t="s">
        <v>453</v>
      </c>
      <c r="E1096" t="s">
        <v>413</v>
      </c>
      <c r="F1096" t="s">
        <v>736</v>
      </c>
      <c r="G1096" t="s">
        <v>737</v>
      </c>
      <c r="H1096" t="s">
        <v>738</v>
      </c>
      <c r="I1096" t="s">
        <v>739</v>
      </c>
      <c r="J1096" t="s">
        <v>739</v>
      </c>
      <c r="K1096" s="2">
        <v>45107</v>
      </c>
      <c r="L1096">
        <v>588300.632720439</v>
      </c>
      <c r="M1096">
        <v>4545986.2551517803</v>
      </c>
      <c r="N1096">
        <v>555928.44038619695</v>
      </c>
      <c r="O1096">
        <v>-80265.042661124302</v>
      </c>
      <c r="P1096">
        <v>-4545986.2551517803</v>
      </c>
      <c r="Q1096">
        <v>-561670.33378502796</v>
      </c>
      <c r="R1096">
        <v>17.6911775270822</v>
      </c>
      <c r="S1096">
        <v>2875.1922235870202</v>
      </c>
      <c r="T1096">
        <v>166681.603061667</v>
      </c>
      <c r="U1096">
        <v>2727455.18822886</v>
      </c>
      <c r="V1096">
        <v>473606.40846676897</v>
      </c>
    </row>
    <row r="1097" spans="1:22" x14ac:dyDescent="0.3">
      <c r="A1097" t="str">
        <f t="shared" si="34"/>
        <v>REDEPrevisão</v>
      </c>
      <c r="B1097" t="str">
        <f t="shared" si="35"/>
        <v>REDEPrevisãoSet-2023</v>
      </c>
      <c r="C1097" t="s">
        <v>452</v>
      </c>
      <c r="D1097" t="s">
        <v>453</v>
      </c>
      <c r="E1097" t="s">
        <v>413</v>
      </c>
      <c r="F1097" t="s">
        <v>736</v>
      </c>
      <c r="G1097" t="s">
        <v>737</v>
      </c>
      <c r="H1097" t="s">
        <v>738</v>
      </c>
      <c r="I1097" t="s">
        <v>739</v>
      </c>
      <c r="J1097" t="s">
        <v>739</v>
      </c>
      <c r="K1097" s="2">
        <v>45199</v>
      </c>
      <c r="L1097">
        <v>641743.911287411</v>
      </c>
      <c r="M1097">
        <v>4327042.6769024404</v>
      </c>
      <c r="N1097">
        <v>574181.252349847</v>
      </c>
      <c r="O1097">
        <v>-104298.38728090499</v>
      </c>
      <c r="P1097">
        <v>-4327042.6769024404</v>
      </c>
      <c r="Q1097">
        <v>-689917.51223858097</v>
      </c>
      <c r="R1097">
        <v>22.099515858015099</v>
      </c>
      <c r="S1097">
        <v>3604.6080442597199</v>
      </c>
      <c r="T1097">
        <v>125490.594808782</v>
      </c>
      <c r="U1097">
        <v>2324086.50940665</v>
      </c>
      <c r="V1097">
        <v>492008.18975245202</v>
      </c>
    </row>
    <row r="1098" spans="1:22" x14ac:dyDescent="0.3">
      <c r="A1098" t="str">
        <f t="shared" si="34"/>
        <v>EQPAPrevisão</v>
      </c>
      <c r="B1098" t="str">
        <f t="shared" si="35"/>
        <v>EQPAPrevisãoDez-2022</v>
      </c>
      <c r="C1098" t="s">
        <v>450</v>
      </c>
      <c r="D1098" t="s">
        <v>451</v>
      </c>
      <c r="E1098" t="s">
        <v>413</v>
      </c>
      <c r="F1098" t="s">
        <v>736</v>
      </c>
      <c r="G1098" t="s">
        <v>737</v>
      </c>
      <c r="H1098" t="s">
        <v>738</v>
      </c>
      <c r="I1098" t="s">
        <v>739</v>
      </c>
      <c r="J1098" t="s">
        <v>739</v>
      </c>
      <c r="K1098" s="2">
        <v>44925</v>
      </c>
      <c r="L1098">
        <v>427340.53781522898</v>
      </c>
      <c r="M1098">
        <v>13295869.787709201</v>
      </c>
      <c r="N1098">
        <v>5426315.2640696196</v>
      </c>
      <c r="O1098">
        <v>1651550.16772771</v>
      </c>
      <c r="P1098">
        <v>-13295869.787709201</v>
      </c>
      <c r="Q1098">
        <v>-3464659.9658772601</v>
      </c>
      <c r="R1098">
        <v>17857.976402674401</v>
      </c>
      <c r="S1098">
        <v>478216.50089127099</v>
      </c>
      <c r="T1098">
        <v>1618850.5255070101</v>
      </c>
      <c r="U1098">
        <v>3692174.9931251798</v>
      </c>
      <c r="V1098">
        <v>2221632.7694592299</v>
      </c>
    </row>
    <row r="1099" spans="1:22" x14ac:dyDescent="0.3">
      <c r="A1099" t="str">
        <f t="shared" si="34"/>
        <v>EQPAPrevisão</v>
      </c>
      <c r="B1099" t="str">
        <f t="shared" si="35"/>
        <v>EQPAPrevisãoMar-2023</v>
      </c>
      <c r="C1099" t="s">
        <v>450</v>
      </c>
      <c r="D1099" t="s">
        <v>451</v>
      </c>
      <c r="E1099" t="s">
        <v>413</v>
      </c>
      <c r="F1099" t="s">
        <v>736</v>
      </c>
      <c r="G1099" t="s">
        <v>737</v>
      </c>
      <c r="H1099" t="s">
        <v>738</v>
      </c>
      <c r="I1099" t="s">
        <v>739</v>
      </c>
      <c r="J1099" t="s">
        <v>739</v>
      </c>
      <c r="K1099" s="2">
        <v>45015</v>
      </c>
      <c r="L1099">
        <v>475171.88129318599</v>
      </c>
      <c r="M1099">
        <v>13436678.650117001</v>
      </c>
      <c r="N1099">
        <v>5513690.0551418299</v>
      </c>
      <c r="O1099">
        <v>1510658.59641613</v>
      </c>
      <c r="P1099">
        <v>-13436678.650117001</v>
      </c>
      <c r="Q1099">
        <v>-3708527.3549921</v>
      </c>
      <c r="R1099">
        <v>15706.3687040607</v>
      </c>
      <c r="S1099">
        <v>490038.423506002</v>
      </c>
      <c r="T1099">
        <v>1585465.1067222401</v>
      </c>
      <c r="U1099">
        <v>3580790.1318598399</v>
      </c>
      <c r="V1099">
        <v>2333692.1071353499</v>
      </c>
    </row>
    <row r="1100" spans="1:22" x14ac:dyDescent="0.3">
      <c r="A1100" t="str">
        <f t="shared" si="34"/>
        <v>EQPAPrevisão</v>
      </c>
      <c r="B1100" t="str">
        <f t="shared" si="35"/>
        <v>EQPAPrevisãoJun-2023</v>
      </c>
      <c r="C1100" t="s">
        <v>450</v>
      </c>
      <c r="D1100" t="s">
        <v>451</v>
      </c>
      <c r="E1100" t="s">
        <v>413</v>
      </c>
      <c r="F1100" t="s">
        <v>736</v>
      </c>
      <c r="G1100" t="s">
        <v>737</v>
      </c>
      <c r="H1100" t="s">
        <v>738</v>
      </c>
      <c r="I1100" t="s">
        <v>739</v>
      </c>
      <c r="J1100" t="s">
        <v>739</v>
      </c>
      <c r="K1100" s="2">
        <v>45107</v>
      </c>
      <c r="L1100">
        <v>527230.64360439696</v>
      </c>
      <c r="M1100">
        <v>13544197.8890478</v>
      </c>
      <c r="N1100">
        <v>5587251.9881116301</v>
      </c>
      <c r="O1100">
        <v>1347220.36717341</v>
      </c>
      <c r="P1100">
        <v>-13544197.8890478</v>
      </c>
      <c r="Q1100">
        <v>-3973241.00193174</v>
      </c>
      <c r="R1100">
        <v>13025.058654468199</v>
      </c>
      <c r="S1100">
        <v>501077.80782565102</v>
      </c>
      <c r="T1100">
        <v>1535251.1426401199</v>
      </c>
      <c r="U1100">
        <v>3435153.51267173</v>
      </c>
      <c r="V1100">
        <v>2452916.8899541702</v>
      </c>
    </row>
    <row r="1101" spans="1:22" x14ac:dyDescent="0.3">
      <c r="A1101" t="str">
        <f t="shared" si="34"/>
        <v>EQPAPrevisão</v>
      </c>
      <c r="B1101" t="str">
        <f t="shared" si="35"/>
        <v>EQPAPrevisãoSet-2023</v>
      </c>
      <c r="C1101" t="s">
        <v>450</v>
      </c>
      <c r="D1101" t="s">
        <v>451</v>
      </c>
      <c r="E1101" t="s">
        <v>413</v>
      </c>
      <c r="F1101" t="s">
        <v>736</v>
      </c>
      <c r="G1101" t="s">
        <v>737</v>
      </c>
      <c r="H1101" t="s">
        <v>738</v>
      </c>
      <c r="I1101" t="s">
        <v>739</v>
      </c>
      <c r="J1101" t="s">
        <v>739</v>
      </c>
      <c r="K1101" s="2">
        <v>45199</v>
      </c>
      <c r="L1101">
        <v>583714.02780879301</v>
      </c>
      <c r="M1101">
        <v>13616228.6511424</v>
      </c>
      <c r="N1101">
        <v>5646020.5710056899</v>
      </c>
      <c r="O1101">
        <v>1160176.8056882899</v>
      </c>
      <c r="P1101">
        <v>-13616228.6511424</v>
      </c>
      <c r="Q1101">
        <v>-4259592.7452225201</v>
      </c>
      <c r="R1101">
        <v>9769.1069199668691</v>
      </c>
      <c r="S1101">
        <v>511233.625625799</v>
      </c>
      <c r="T1101">
        <v>1467188.9281105699</v>
      </c>
      <c r="U1101">
        <v>3253394.0895616398</v>
      </c>
      <c r="V1101">
        <v>2579604.2000305899</v>
      </c>
    </row>
    <row r="1102" spans="1:22" x14ac:dyDescent="0.3">
      <c r="A1102" t="str">
        <f t="shared" si="34"/>
        <v>EQTLPrevisão</v>
      </c>
      <c r="B1102" t="str">
        <f t="shared" si="35"/>
        <v>EQTLPrevisãoDez-2022</v>
      </c>
      <c r="C1102" t="s">
        <v>448</v>
      </c>
      <c r="D1102" t="s">
        <v>449</v>
      </c>
      <c r="E1102" t="s">
        <v>413</v>
      </c>
      <c r="F1102" t="s">
        <v>736</v>
      </c>
      <c r="G1102" t="s">
        <v>737</v>
      </c>
      <c r="H1102" t="s">
        <v>738</v>
      </c>
      <c r="I1102" t="s">
        <v>739</v>
      </c>
      <c r="J1102" t="s">
        <v>739</v>
      </c>
      <c r="K1102" s="2">
        <v>44925</v>
      </c>
      <c r="L1102">
        <v>543294.02062636998</v>
      </c>
      <c r="M1102">
        <v>24046323.0206284</v>
      </c>
      <c r="N1102">
        <v>1341323.9468636001</v>
      </c>
      <c r="O1102">
        <v>596115.73593019298</v>
      </c>
      <c r="P1102">
        <v>-24046323.0206284</v>
      </c>
      <c r="Q1102">
        <v>-667293.75638734596</v>
      </c>
      <c r="R1102">
        <v>491.39105339109801</v>
      </c>
      <c r="S1102">
        <v>315.52983617369603</v>
      </c>
      <c r="T1102">
        <v>8901802.3469144609</v>
      </c>
      <c r="U1102">
        <v>18471409.661999699</v>
      </c>
      <c r="V1102">
        <v>617492.95399374096</v>
      </c>
    </row>
    <row r="1103" spans="1:22" x14ac:dyDescent="0.3">
      <c r="A1103" t="str">
        <f t="shared" si="34"/>
        <v>EQTLPrevisão</v>
      </c>
      <c r="B1103" t="str">
        <f t="shared" si="35"/>
        <v>EQTLPrevisãoMar-2023</v>
      </c>
      <c r="C1103" t="s">
        <v>448</v>
      </c>
      <c r="D1103" t="s">
        <v>449</v>
      </c>
      <c r="E1103" t="s">
        <v>413</v>
      </c>
      <c r="F1103" t="s">
        <v>736</v>
      </c>
      <c r="G1103" t="s">
        <v>737</v>
      </c>
      <c r="H1103" t="s">
        <v>738</v>
      </c>
      <c r="I1103" t="s">
        <v>739</v>
      </c>
      <c r="J1103" t="s">
        <v>739</v>
      </c>
      <c r="K1103" s="2">
        <v>45015</v>
      </c>
      <c r="L1103">
        <v>543981.48647264403</v>
      </c>
      <c r="M1103">
        <v>26408659.326659799</v>
      </c>
      <c r="N1103">
        <v>1408309.56359188</v>
      </c>
      <c r="O1103">
        <v>716434.76460208301</v>
      </c>
      <c r="P1103">
        <v>-26408659.326659799</v>
      </c>
      <c r="Q1103">
        <v>-595803.15432536299</v>
      </c>
      <c r="R1103">
        <v>431.80518562881099</v>
      </c>
      <c r="S1103">
        <v>-143.923656279559</v>
      </c>
      <c r="T1103">
        <v>9557817.6637576409</v>
      </c>
      <c r="U1103">
        <v>20198734.8623937</v>
      </c>
      <c r="V1103">
        <v>620211.727323208</v>
      </c>
    </row>
    <row r="1104" spans="1:22" x14ac:dyDescent="0.3">
      <c r="A1104" t="str">
        <f t="shared" si="34"/>
        <v>EQTLPrevisão</v>
      </c>
      <c r="B1104" t="str">
        <f t="shared" si="35"/>
        <v>EQTLPrevisãoJun-2023</v>
      </c>
      <c r="C1104" t="s">
        <v>448</v>
      </c>
      <c r="D1104" t="s">
        <v>449</v>
      </c>
      <c r="E1104" t="s">
        <v>413</v>
      </c>
      <c r="F1104" t="s">
        <v>736</v>
      </c>
      <c r="G1104" t="s">
        <v>737</v>
      </c>
      <c r="H1104" t="s">
        <v>738</v>
      </c>
      <c r="I1104" t="s">
        <v>739</v>
      </c>
      <c r="J1104" t="s">
        <v>739</v>
      </c>
      <c r="K1104" s="2">
        <v>45107</v>
      </c>
      <c r="L1104">
        <v>541388.73095831706</v>
      </c>
      <c r="M1104">
        <v>28949749.4384453</v>
      </c>
      <c r="N1104">
        <v>1479986.75858185</v>
      </c>
      <c r="O1104">
        <v>853667.52489562903</v>
      </c>
      <c r="P1104">
        <v>-28949749.4384453</v>
      </c>
      <c r="Q1104">
        <v>-510493.97561073297</v>
      </c>
      <c r="R1104">
        <v>366.31762476979202</v>
      </c>
      <c r="S1104">
        <v>-576.49221563107403</v>
      </c>
      <c r="T1104">
        <v>10244700.326236101</v>
      </c>
      <c r="U1104">
        <v>22056020.289475199</v>
      </c>
      <c r="V1104">
        <v>618682.82327669195</v>
      </c>
    </row>
    <row r="1105" spans="1:22" x14ac:dyDescent="0.3">
      <c r="A1105" t="str">
        <f t="shared" si="34"/>
        <v>EQTLPrevisão</v>
      </c>
      <c r="B1105" t="str">
        <f t="shared" si="35"/>
        <v>EQTLPrevisãoSet-2023</v>
      </c>
      <c r="C1105" t="s">
        <v>448</v>
      </c>
      <c r="D1105" t="s">
        <v>449</v>
      </c>
      <c r="E1105" t="s">
        <v>413</v>
      </c>
      <c r="F1105" t="s">
        <v>736</v>
      </c>
      <c r="G1105" t="s">
        <v>737</v>
      </c>
      <c r="H1105" t="s">
        <v>738</v>
      </c>
      <c r="I1105" t="s">
        <v>739</v>
      </c>
      <c r="J1105" t="s">
        <v>739</v>
      </c>
      <c r="K1105" s="2">
        <v>45199</v>
      </c>
      <c r="L1105">
        <v>535308.48586890998</v>
      </c>
      <c r="M1105">
        <v>31676471.0167218</v>
      </c>
      <c r="N1105">
        <v>1556594.7190477599</v>
      </c>
      <c r="O1105">
        <v>1008724.60968336</v>
      </c>
      <c r="P1105">
        <v>-31676471.0167218</v>
      </c>
      <c r="Q1105">
        <v>-410643.52453837299</v>
      </c>
      <c r="R1105">
        <v>294.75665962375598</v>
      </c>
      <c r="S1105">
        <v>-977.83522115013602</v>
      </c>
      <c r="T1105">
        <v>10963100.907391701</v>
      </c>
      <c r="U1105">
        <v>24048316.056953698</v>
      </c>
      <c r="V1105">
        <v>612621.92263573396</v>
      </c>
    </row>
    <row r="1106" spans="1:22" x14ac:dyDescent="0.3">
      <c r="A1106" t="str">
        <f t="shared" si="34"/>
        <v>EGIEPrevisão</v>
      </c>
      <c r="B1106" t="str">
        <f t="shared" si="35"/>
        <v>EGIEPrevisãoDez-2022</v>
      </c>
      <c r="C1106" t="s">
        <v>446</v>
      </c>
      <c r="D1106" t="s">
        <v>447</v>
      </c>
      <c r="E1106" t="s">
        <v>413</v>
      </c>
      <c r="F1106" t="s">
        <v>736</v>
      </c>
      <c r="G1106" t="s">
        <v>737</v>
      </c>
      <c r="H1106" t="s">
        <v>738</v>
      </c>
      <c r="I1106" t="s">
        <v>739</v>
      </c>
      <c r="J1106" t="s">
        <v>739</v>
      </c>
      <c r="K1106" s="2">
        <v>44925</v>
      </c>
      <c r="L1106">
        <v>566466.10635764699</v>
      </c>
      <c r="M1106">
        <v>24872253.242162701</v>
      </c>
      <c r="N1106">
        <v>3545567.94966526</v>
      </c>
      <c r="O1106">
        <v>665566.86325466295</v>
      </c>
      <c r="P1106">
        <v>-24872253.242162701</v>
      </c>
      <c r="Q1106">
        <v>-3772206.0287751299</v>
      </c>
      <c r="R1106">
        <v>136240.92394533099</v>
      </c>
      <c r="S1106">
        <v>41851.780748688798</v>
      </c>
      <c r="T1106">
        <v>2593134.8651224598</v>
      </c>
      <c r="U1106">
        <v>8093015.4137169402</v>
      </c>
      <c r="V1106">
        <v>1044597.10211351</v>
      </c>
    </row>
    <row r="1107" spans="1:22" x14ac:dyDescent="0.3">
      <c r="A1107" t="str">
        <f t="shared" si="34"/>
        <v>EGIEPrevisão</v>
      </c>
      <c r="B1107" t="str">
        <f t="shared" si="35"/>
        <v>EGIEPrevisãoMar-2023</v>
      </c>
      <c r="C1107" t="s">
        <v>446</v>
      </c>
      <c r="D1107" t="s">
        <v>447</v>
      </c>
      <c r="E1107" t="s">
        <v>413</v>
      </c>
      <c r="F1107" t="s">
        <v>736</v>
      </c>
      <c r="G1107" t="s">
        <v>737</v>
      </c>
      <c r="H1107" t="s">
        <v>738</v>
      </c>
      <c r="I1107" t="s">
        <v>739</v>
      </c>
      <c r="J1107" t="s">
        <v>739</v>
      </c>
      <c r="K1107" s="2">
        <v>45015</v>
      </c>
      <c r="L1107">
        <v>556987.15288926696</v>
      </c>
      <c r="M1107">
        <v>25068314.8575342</v>
      </c>
      <c r="N1107">
        <v>3641593.5812320099</v>
      </c>
      <c r="O1107">
        <v>639952.145348878</v>
      </c>
      <c r="P1107">
        <v>-25068314.8575342</v>
      </c>
      <c r="Q1107">
        <v>-3908038.9985890999</v>
      </c>
      <c r="R1107">
        <v>143501.56904956599</v>
      </c>
      <c r="S1107">
        <v>47529.3747926879</v>
      </c>
      <c r="T1107">
        <v>2625444.38046681</v>
      </c>
      <c r="U1107">
        <v>8122266.4914187901</v>
      </c>
      <c r="V1107">
        <v>1033830.45683034</v>
      </c>
    </row>
    <row r="1108" spans="1:22" x14ac:dyDescent="0.3">
      <c r="A1108" t="str">
        <f t="shared" si="34"/>
        <v>EGIEPrevisão</v>
      </c>
      <c r="B1108" t="str">
        <f t="shared" si="35"/>
        <v>EGIEPrevisãoJun-2023</v>
      </c>
      <c r="C1108" t="s">
        <v>446</v>
      </c>
      <c r="D1108" t="s">
        <v>447</v>
      </c>
      <c r="E1108" t="s">
        <v>413</v>
      </c>
      <c r="F1108" t="s">
        <v>736</v>
      </c>
      <c r="G1108" t="s">
        <v>737</v>
      </c>
      <c r="H1108" t="s">
        <v>738</v>
      </c>
      <c r="I1108" t="s">
        <v>739</v>
      </c>
      <c r="J1108" t="s">
        <v>739</v>
      </c>
      <c r="K1108" s="2">
        <v>45107</v>
      </c>
      <c r="L1108">
        <v>544500.51401934901</v>
      </c>
      <c r="M1108">
        <v>25184947.573226601</v>
      </c>
      <c r="N1108">
        <v>3741011.4274527002</v>
      </c>
      <c r="O1108">
        <v>613481.92615193198</v>
      </c>
      <c r="P1108">
        <v>-25184947.573226601</v>
      </c>
      <c r="Q1108">
        <v>-4043487.4780084901</v>
      </c>
      <c r="R1108">
        <v>151423.587704748</v>
      </c>
      <c r="S1108">
        <v>54283.233563758396</v>
      </c>
      <c r="T1108">
        <v>2664004.6772698201</v>
      </c>
      <c r="U1108">
        <v>8142629.2035521399</v>
      </c>
      <c r="V1108">
        <v>1022274.40491308</v>
      </c>
    </row>
    <row r="1109" spans="1:22" x14ac:dyDescent="0.3">
      <c r="A1109" t="str">
        <f t="shared" si="34"/>
        <v>EGIEPrevisão</v>
      </c>
      <c r="B1109" t="str">
        <f t="shared" si="35"/>
        <v>EGIEPrevisãoSet-2023</v>
      </c>
      <c r="C1109" t="s">
        <v>446</v>
      </c>
      <c r="D1109" t="s">
        <v>447</v>
      </c>
      <c r="E1109" t="s">
        <v>413</v>
      </c>
      <c r="F1109" t="s">
        <v>736</v>
      </c>
      <c r="G1109" t="s">
        <v>737</v>
      </c>
      <c r="H1109" t="s">
        <v>738</v>
      </c>
      <c r="I1109" t="s">
        <v>739</v>
      </c>
      <c r="J1109" t="s">
        <v>739</v>
      </c>
      <c r="K1109" s="2">
        <v>45199</v>
      </c>
      <c r="L1109">
        <v>528832.02259845205</v>
      </c>
      <c r="M1109">
        <v>25216777.3480388</v>
      </c>
      <c r="N1109">
        <v>3843983.4411958</v>
      </c>
      <c r="O1109">
        <v>586235.96160977101</v>
      </c>
      <c r="P1109">
        <v>-25216777.3480388</v>
      </c>
      <c r="Q1109">
        <v>-4178216.6539024101</v>
      </c>
      <c r="R1109">
        <v>160039.75074525399</v>
      </c>
      <c r="S1109">
        <v>62148.057317352497</v>
      </c>
      <c r="T1109">
        <v>2709317.69853898</v>
      </c>
      <c r="U1109">
        <v>8153612.1009578202</v>
      </c>
      <c r="V1109">
        <v>1009940.72674214</v>
      </c>
    </row>
    <row r="1110" spans="1:22" x14ac:dyDescent="0.3">
      <c r="A1110" t="str">
        <f t="shared" si="34"/>
        <v>ENEVPrevisão</v>
      </c>
      <c r="B1110" t="str">
        <f t="shared" si="35"/>
        <v>ENEVPrevisãoDez-2022</v>
      </c>
      <c r="C1110" t="s">
        <v>444</v>
      </c>
      <c r="D1110" t="s">
        <v>445</v>
      </c>
      <c r="E1110" t="s">
        <v>413</v>
      </c>
      <c r="F1110" t="s">
        <v>736</v>
      </c>
      <c r="G1110" t="s">
        <v>737</v>
      </c>
      <c r="H1110" t="s">
        <v>738</v>
      </c>
      <c r="I1110" t="s">
        <v>739</v>
      </c>
      <c r="J1110" t="s">
        <v>739</v>
      </c>
      <c r="K1110" s="2">
        <v>44925</v>
      </c>
      <c r="L1110">
        <v>200306.57804942</v>
      </c>
      <c r="M1110">
        <v>24185259.7462865</v>
      </c>
      <c r="N1110">
        <v>5685502.2644938398</v>
      </c>
      <c r="O1110">
        <v>10394.9786945091</v>
      </c>
      <c r="P1110">
        <v>-24185259.7462865</v>
      </c>
      <c r="Q1110">
        <v>-2550502.1355568999</v>
      </c>
      <c r="R1110">
        <v>25481.164587051499</v>
      </c>
      <c r="S1110">
        <v>76031.536711653607</v>
      </c>
      <c r="T1110">
        <v>742281.13394437905</v>
      </c>
      <c r="U1110">
        <v>13400428.8355825</v>
      </c>
      <c r="V1110">
        <v>237282.47194638601</v>
      </c>
    </row>
    <row r="1111" spans="1:22" x14ac:dyDescent="0.3">
      <c r="A1111" t="str">
        <f t="shared" si="34"/>
        <v>ENEVPrevisão</v>
      </c>
      <c r="B1111" t="str">
        <f t="shared" si="35"/>
        <v>ENEVPrevisãoMar-2023</v>
      </c>
      <c r="C1111" t="s">
        <v>444</v>
      </c>
      <c r="D1111" t="s">
        <v>445</v>
      </c>
      <c r="E1111" t="s">
        <v>413</v>
      </c>
      <c r="F1111" t="s">
        <v>736</v>
      </c>
      <c r="G1111" t="s">
        <v>737</v>
      </c>
      <c r="H1111" t="s">
        <v>738</v>
      </c>
      <c r="I1111" t="s">
        <v>739</v>
      </c>
      <c r="J1111" t="s">
        <v>739</v>
      </c>
      <c r="K1111" s="2">
        <v>45015</v>
      </c>
      <c r="L1111">
        <v>197242.94123842899</v>
      </c>
      <c r="M1111">
        <v>26552131.7450822</v>
      </c>
      <c r="N1111">
        <v>6565357.8140503298</v>
      </c>
      <c r="O1111">
        <v>11927.5725113973</v>
      </c>
      <c r="P1111">
        <v>-26552131.7450822</v>
      </c>
      <c r="Q1111">
        <v>-3141454.5130819399</v>
      </c>
      <c r="R1111">
        <v>24820.9985707675</v>
      </c>
      <c r="S1111">
        <v>84303.358974710805</v>
      </c>
      <c r="T1111">
        <v>858953.83943443396</v>
      </c>
      <c r="U1111">
        <v>14353343.7007227</v>
      </c>
      <c r="V1111">
        <v>233103.03495783199</v>
      </c>
    </row>
    <row r="1112" spans="1:22" x14ac:dyDescent="0.3">
      <c r="A1112" t="str">
        <f t="shared" si="34"/>
        <v>ENEVPrevisão</v>
      </c>
      <c r="B1112" t="str">
        <f t="shared" si="35"/>
        <v>ENEVPrevisãoJun-2023</v>
      </c>
      <c r="C1112" t="s">
        <v>444</v>
      </c>
      <c r="D1112" t="s">
        <v>445</v>
      </c>
      <c r="E1112" t="s">
        <v>413</v>
      </c>
      <c r="F1112" t="s">
        <v>736</v>
      </c>
      <c r="G1112" t="s">
        <v>737</v>
      </c>
      <c r="H1112" t="s">
        <v>738</v>
      </c>
      <c r="I1112" t="s">
        <v>739</v>
      </c>
      <c r="J1112" t="s">
        <v>739</v>
      </c>
      <c r="K1112" s="2">
        <v>45107</v>
      </c>
      <c r="L1112">
        <v>191762.08728246501</v>
      </c>
      <c r="M1112">
        <v>29106908.907067001</v>
      </c>
      <c r="N1112">
        <v>7525469.4784915401</v>
      </c>
      <c r="O1112">
        <v>13597.8024209742</v>
      </c>
      <c r="P1112">
        <v>-29106908.907067001</v>
      </c>
      <c r="Q1112">
        <v>-3805986.86704181</v>
      </c>
      <c r="R1112">
        <v>23898.215390457601</v>
      </c>
      <c r="S1112">
        <v>93133.535211660695</v>
      </c>
      <c r="T1112">
        <v>986272.24193946598</v>
      </c>
      <c r="U1112">
        <v>15360739.5015809</v>
      </c>
      <c r="V1112">
        <v>226249.48183054299</v>
      </c>
    </row>
    <row r="1113" spans="1:22" x14ac:dyDescent="0.3">
      <c r="A1113" t="str">
        <f t="shared" si="34"/>
        <v>ENEVPrevisão</v>
      </c>
      <c r="B1113" t="str">
        <f t="shared" si="35"/>
        <v>ENEVPrevisãoSet-2023</v>
      </c>
      <c r="C1113" t="s">
        <v>444</v>
      </c>
      <c r="D1113" t="s">
        <v>445</v>
      </c>
      <c r="E1113" t="s">
        <v>413</v>
      </c>
      <c r="F1113" t="s">
        <v>736</v>
      </c>
      <c r="G1113" t="s">
        <v>737</v>
      </c>
      <c r="H1113" t="s">
        <v>738</v>
      </c>
      <c r="I1113" t="s">
        <v>739</v>
      </c>
      <c r="J1113" t="s">
        <v>739</v>
      </c>
      <c r="K1113" s="2">
        <v>45199</v>
      </c>
      <c r="L1113">
        <v>183717.293577437</v>
      </c>
      <c r="M1113">
        <v>31856999.402091</v>
      </c>
      <c r="N1113">
        <v>8569051.1872004904</v>
      </c>
      <c r="O1113">
        <v>15411.316097175501</v>
      </c>
      <c r="P1113">
        <v>-31856999.402091</v>
      </c>
      <c r="Q1113">
        <v>-4547709.5732331602</v>
      </c>
      <c r="R1113">
        <v>22696.8953137934</v>
      </c>
      <c r="S1113">
        <v>102539.597304403</v>
      </c>
      <c r="T1113">
        <v>1124672.4874271001</v>
      </c>
      <c r="U1113">
        <v>16424252.9405147</v>
      </c>
      <c r="V1113">
        <v>216565.54303926101</v>
      </c>
    </row>
    <row r="1114" spans="1:22" x14ac:dyDescent="0.3">
      <c r="A1114" t="str">
        <f t="shared" si="34"/>
        <v>ENMTPrevisão</v>
      </c>
      <c r="B1114" t="str">
        <f t="shared" si="35"/>
        <v>ENMTPrevisãoDez-2022</v>
      </c>
      <c r="C1114" t="s">
        <v>442</v>
      </c>
      <c r="D1114" t="s">
        <v>443</v>
      </c>
      <c r="E1114" t="s">
        <v>413</v>
      </c>
      <c r="F1114" t="s">
        <v>736</v>
      </c>
      <c r="G1114" t="s">
        <v>737</v>
      </c>
      <c r="H1114" t="s">
        <v>738</v>
      </c>
      <c r="I1114" t="s">
        <v>739</v>
      </c>
      <c r="J1114" t="s">
        <v>739</v>
      </c>
      <c r="K1114" s="2">
        <v>44925</v>
      </c>
      <c r="L1114">
        <v>359964.47254045698</v>
      </c>
      <c r="M1114">
        <v>13079957.529412</v>
      </c>
      <c r="N1114">
        <v>3584733.3572701998</v>
      </c>
      <c r="O1114">
        <v>2588888.72591474</v>
      </c>
      <c r="P1114">
        <v>-13079957.529412</v>
      </c>
      <c r="Q1114">
        <v>-2781726.64086241</v>
      </c>
      <c r="R1114">
        <v>-306.79475426488102</v>
      </c>
      <c r="S1114">
        <v>37895.429674880899</v>
      </c>
      <c r="T1114">
        <v>1283038.39928696</v>
      </c>
      <c r="U1114">
        <v>3578872.6597062601</v>
      </c>
      <c r="V1114">
        <v>2049169.1944655699</v>
      </c>
    </row>
    <row r="1115" spans="1:22" x14ac:dyDescent="0.3">
      <c r="A1115" t="str">
        <f t="shared" si="34"/>
        <v>ENMTPrevisão</v>
      </c>
      <c r="B1115" t="str">
        <f t="shared" si="35"/>
        <v>ENMTPrevisãoMar-2023</v>
      </c>
      <c r="C1115" t="s">
        <v>442</v>
      </c>
      <c r="D1115" t="s">
        <v>443</v>
      </c>
      <c r="E1115" t="s">
        <v>413</v>
      </c>
      <c r="F1115" t="s">
        <v>736</v>
      </c>
      <c r="G1115" t="s">
        <v>737</v>
      </c>
      <c r="H1115" t="s">
        <v>738</v>
      </c>
      <c r="I1115" t="s">
        <v>739</v>
      </c>
      <c r="J1115" t="s">
        <v>739</v>
      </c>
      <c r="K1115" s="2">
        <v>45015</v>
      </c>
      <c r="L1115">
        <v>380792.432973755</v>
      </c>
      <c r="M1115">
        <v>13800334.928382499</v>
      </c>
      <c r="N1115">
        <v>3736893.9597037798</v>
      </c>
      <c r="O1115">
        <v>2762599.3273091</v>
      </c>
      <c r="P1115">
        <v>-13800334.928382499</v>
      </c>
      <c r="Q1115">
        <v>-2910784.6900299899</v>
      </c>
      <c r="R1115">
        <v>-261.11216869960401</v>
      </c>
      <c r="S1115">
        <v>53128.552297881302</v>
      </c>
      <c r="T1115">
        <v>1438042.1931809201</v>
      </c>
      <c r="U1115">
        <v>3756358.09313661</v>
      </c>
      <c r="V1115">
        <v>2159992.1846306701</v>
      </c>
    </row>
    <row r="1116" spans="1:22" x14ac:dyDescent="0.3">
      <c r="A1116" t="str">
        <f t="shared" si="34"/>
        <v>ENMTPrevisão</v>
      </c>
      <c r="B1116" t="str">
        <f t="shared" si="35"/>
        <v>ENMTPrevisãoJun-2023</v>
      </c>
      <c r="C1116" t="s">
        <v>442</v>
      </c>
      <c r="D1116" t="s">
        <v>443</v>
      </c>
      <c r="E1116" t="s">
        <v>413</v>
      </c>
      <c r="F1116" t="s">
        <v>736</v>
      </c>
      <c r="G1116" t="s">
        <v>737</v>
      </c>
      <c r="H1116" t="s">
        <v>738</v>
      </c>
      <c r="I1116" t="s">
        <v>739</v>
      </c>
      <c r="J1116" t="s">
        <v>739</v>
      </c>
      <c r="K1116" s="2">
        <v>45107</v>
      </c>
      <c r="L1116">
        <v>401566.257486602</v>
      </c>
      <c r="M1116">
        <v>14557319.3377087</v>
      </c>
      <c r="N1116">
        <v>3892654.4713912802</v>
      </c>
      <c r="O1116">
        <v>2944816.7034604899</v>
      </c>
      <c r="P1116">
        <v>-14557319.3377087</v>
      </c>
      <c r="Q1116">
        <v>-3046049.5948208701</v>
      </c>
      <c r="R1116">
        <v>-187.24812319739701</v>
      </c>
      <c r="S1116">
        <v>70452.897415983098</v>
      </c>
      <c r="T1116">
        <v>1605084.40646741</v>
      </c>
      <c r="U1116">
        <v>3941365.0283438801</v>
      </c>
      <c r="V1116">
        <v>2277278.4460092899</v>
      </c>
    </row>
    <row r="1117" spans="1:22" x14ac:dyDescent="0.3">
      <c r="A1117" t="str">
        <f t="shared" si="34"/>
        <v>ENMTPrevisão</v>
      </c>
      <c r="B1117" t="str">
        <f t="shared" si="35"/>
        <v>ENMTPrevisãoSet-2023</v>
      </c>
      <c r="C1117" t="s">
        <v>442</v>
      </c>
      <c r="D1117" t="s">
        <v>443</v>
      </c>
      <c r="E1117" t="s">
        <v>413</v>
      </c>
      <c r="F1117" t="s">
        <v>736</v>
      </c>
      <c r="G1117" t="s">
        <v>737</v>
      </c>
      <c r="H1117" t="s">
        <v>738</v>
      </c>
      <c r="I1117" t="s">
        <v>739</v>
      </c>
      <c r="J1117" t="s">
        <v>739</v>
      </c>
      <c r="K1117" s="2">
        <v>45199</v>
      </c>
      <c r="L1117">
        <v>422231.74578645598</v>
      </c>
      <c r="M1117">
        <v>15351868.806018701</v>
      </c>
      <c r="N1117">
        <v>4051971.29330175</v>
      </c>
      <c r="O1117">
        <v>3135684.33371206</v>
      </c>
      <c r="P1117">
        <v>-15351868.806018701</v>
      </c>
      <c r="Q1117">
        <v>-3187654.00566317</v>
      </c>
      <c r="R1117">
        <v>-83.609596604865999</v>
      </c>
      <c r="S1117">
        <v>89944.692841249707</v>
      </c>
      <c r="T1117">
        <v>1784573.3052056499</v>
      </c>
      <c r="U1117">
        <v>4134008.5100336</v>
      </c>
      <c r="V1117">
        <v>2401256.5198289799</v>
      </c>
    </row>
    <row r="1118" spans="1:22" x14ac:dyDescent="0.3">
      <c r="A1118" t="str">
        <f t="shared" si="34"/>
        <v>EMAEPrevisão</v>
      </c>
      <c r="B1118" t="str">
        <f t="shared" si="35"/>
        <v>EMAEPrevisãoDez-2022</v>
      </c>
      <c r="C1118" t="s">
        <v>440</v>
      </c>
      <c r="D1118" t="s">
        <v>441</v>
      </c>
      <c r="E1118" t="s">
        <v>413</v>
      </c>
      <c r="F1118" t="s">
        <v>736</v>
      </c>
      <c r="G1118" t="s">
        <v>737</v>
      </c>
      <c r="H1118" t="s">
        <v>738</v>
      </c>
      <c r="I1118" t="s">
        <v>739</v>
      </c>
      <c r="J1118" t="s">
        <v>739</v>
      </c>
      <c r="K1118" s="2">
        <v>44925</v>
      </c>
      <c r="L1118">
        <v>31642.832696716199</v>
      </c>
      <c r="M1118">
        <v>1900574.2318985299</v>
      </c>
      <c r="N1118">
        <v>643500.93650796695</v>
      </c>
      <c r="O1118">
        <v>69777.422799413805</v>
      </c>
      <c r="P1118">
        <v>-1900574.2318985299</v>
      </c>
      <c r="Q1118">
        <v>-132682.607248947</v>
      </c>
      <c r="R1118">
        <v>-2748.6956115724402</v>
      </c>
      <c r="S1118">
        <v>9394.7927170898001</v>
      </c>
      <c r="T1118">
        <v>285278.20312373701</v>
      </c>
      <c r="U1118">
        <v>760390.31304637797</v>
      </c>
      <c r="V1118">
        <v>134577.85188014299</v>
      </c>
    </row>
    <row r="1119" spans="1:22" x14ac:dyDescent="0.3">
      <c r="A1119" t="str">
        <f t="shared" si="34"/>
        <v>EMAEPrevisão</v>
      </c>
      <c r="B1119" t="str">
        <f t="shared" si="35"/>
        <v>EMAEPrevisãoMar-2023</v>
      </c>
      <c r="C1119" t="s">
        <v>440</v>
      </c>
      <c r="D1119" t="s">
        <v>441</v>
      </c>
      <c r="E1119" t="s">
        <v>413</v>
      </c>
      <c r="F1119" t="s">
        <v>736</v>
      </c>
      <c r="G1119" t="s">
        <v>737</v>
      </c>
      <c r="H1119" t="s">
        <v>738</v>
      </c>
      <c r="I1119" t="s">
        <v>739</v>
      </c>
      <c r="J1119" t="s">
        <v>739</v>
      </c>
      <c r="K1119" s="2">
        <v>45015</v>
      </c>
      <c r="L1119">
        <v>32248.020316727401</v>
      </c>
      <c r="M1119">
        <v>1970988.93016894</v>
      </c>
      <c r="N1119">
        <v>657228.92590912594</v>
      </c>
      <c r="O1119">
        <v>73627.481719294999</v>
      </c>
      <c r="P1119">
        <v>-1970988.93016894</v>
      </c>
      <c r="Q1119">
        <v>-135008.22201573299</v>
      </c>
      <c r="R1119">
        <v>-3910.9597496599299</v>
      </c>
      <c r="S1119">
        <v>9222.9039291421504</v>
      </c>
      <c r="T1119">
        <v>272393.442746852</v>
      </c>
      <c r="U1119">
        <v>719423.43493983406</v>
      </c>
      <c r="V1119">
        <v>139844.38488449701</v>
      </c>
    </row>
    <row r="1120" spans="1:22" x14ac:dyDescent="0.3">
      <c r="A1120" t="str">
        <f t="shared" si="34"/>
        <v>EMAEPrevisão</v>
      </c>
      <c r="B1120" t="str">
        <f t="shared" si="35"/>
        <v>EMAEPrevisãoJun-2023</v>
      </c>
      <c r="C1120" t="s">
        <v>440</v>
      </c>
      <c r="D1120" t="s">
        <v>441</v>
      </c>
      <c r="E1120" t="s">
        <v>413</v>
      </c>
      <c r="F1120" t="s">
        <v>736</v>
      </c>
      <c r="G1120" t="s">
        <v>737</v>
      </c>
      <c r="H1120" t="s">
        <v>738</v>
      </c>
      <c r="I1120" t="s">
        <v>739</v>
      </c>
      <c r="J1120" t="s">
        <v>739</v>
      </c>
      <c r="K1120" s="2">
        <v>45107</v>
      </c>
      <c r="L1120">
        <v>32756.960924860101</v>
      </c>
      <c r="M1120">
        <v>2043926.10060401</v>
      </c>
      <c r="N1120">
        <v>669371.98921523802</v>
      </c>
      <c r="O1120">
        <v>77746.160791232804</v>
      </c>
      <c r="P1120">
        <v>-2043926.10060401</v>
      </c>
      <c r="Q1120">
        <v>-137151.98534006599</v>
      </c>
      <c r="R1120">
        <v>-5264.4669277800103</v>
      </c>
      <c r="S1120">
        <v>8974.3996836316001</v>
      </c>
      <c r="T1120">
        <v>255135.82028014</v>
      </c>
      <c r="U1120">
        <v>672036.38305515097</v>
      </c>
      <c r="V1120">
        <v>145100.83921695899</v>
      </c>
    </row>
    <row r="1121" spans="1:22" x14ac:dyDescent="0.3">
      <c r="A1121" t="str">
        <f t="shared" si="34"/>
        <v>EMAEPrevisão</v>
      </c>
      <c r="B1121" t="str">
        <f t="shared" si="35"/>
        <v>EMAEPrevisãoSet-2023</v>
      </c>
      <c r="C1121" t="s">
        <v>440</v>
      </c>
      <c r="D1121" t="s">
        <v>441</v>
      </c>
      <c r="E1121" t="s">
        <v>413</v>
      </c>
      <c r="F1121" t="s">
        <v>736</v>
      </c>
      <c r="G1121" t="s">
        <v>737</v>
      </c>
      <c r="H1121" t="s">
        <v>738</v>
      </c>
      <c r="I1121" t="s">
        <v>739</v>
      </c>
      <c r="J1121" t="s">
        <v>739</v>
      </c>
      <c r="K1121" s="2">
        <v>45199</v>
      </c>
      <c r="L1121">
        <v>33162.8705455995</v>
      </c>
      <c r="M1121">
        <v>2119364.9494076902</v>
      </c>
      <c r="N1121">
        <v>679800.18156527099</v>
      </c>
      <c r="O1121">
        <v>82144.058896491697</v>
      </c>
      <c r="P1121">
        <v>-2119364.9494076902</v>
      </c>
      <c r="Q1121">
        <v>-139090.86452517399</v>
      </c>
      <c r="R1121">
        <v>-6821.1309513789101</v>
      </c>
      <c r="S1121">
        <v>8644.2273425427102</v>
      </c>
      <c r="T1121">
        <v>233225.536440111</v>
      </c>
      <c r="U1121">
        <v>617884.27471729997</v>
      </c>
      <c r="V1121">
        <v>150333.90193313299</v>
      </c>
    </row>
    <row r="1122" spans="1:22" x14ac:dyDescent="0.3">
      <c r="A1122" t="str">
        <f t="shared" si="34"/>
        <v>EKTRPrevisão</v>
      </c>
      <c r="B1122" t="str">
        <f t="shared" si="35"/>
        <v>EKTRPrevisãoDez-2022</v>
      </c>
      <c r="C1122" t="s">
        <v>438</v>
      </c>
      <c r="D1122" t="s">
        <v>439</v>
      </c>
      <c r="E1122" t="s">
        <v>413</v>
      </c>
      <c r="F1122" t="s">
        <v>736</v>
      </c>
      <c r="G1122" t="s">
        <v>737</v>
      </c>
      <c r="H1122" t="s">
        <v>738</v>
      </c>
      <c r="I1122" t="s">
        <v>739</v>
      </c>
      <c r="J1122" t="s">
        <v>739</v>
      </c>
      <c r="K1122" s="2">
        <v>44925</v>
      </c>
      <c r="L1122">
        <v>261590.16713351899</v>
      </c>
      <c r="M1122">
        <v>11367655.8098635</v>
      </c>
      <c r="N1122">
        <v>3662033.5692222398</v>
      </c>
      <c r="O1122">
        <v>1528012.9688482</v>
      </c>
      <c r="P1122">
        <v>-11367655.8098635</v>
      </c>
      <c r="Q1122">
        <v>-2825135.7608013102</v>
      </c>
      <c r="R1122">
        <v>90784.417876238804</v>
      </c>
      <c r="S1122">
        <v>-69360.456412849104</v>
      </c>
      <c r="T1122">
        <v>1335172.7300740101</v>
      </c>
      <c r="U1122">
        <v>3534930.98124129</v>
      </c>
      <c r="V1122">
        <v>2176177.29174098</v>
      </c>
    </row>
    <row r="1123" spans="1:22" x14ac:dyDescent="0.3">
      <c r="A1123" t="str">
        <f t="shared" si="34"/>
        <v>EKTRPrevisão</v>
      </c>
      <c r="B1123" t="str">
        <f t="shared" si="35"/>
        <v>EKTRPrevisãoMar-2023</v>
      </c>
      <c r="C1123" t="s">
        <v>438</v>
      </c>
      <c r="D1123" t="s">
        <v>439</v>
      </c>
      <c r="E1123" t="s">
        <v>413</v>
      </c>
      <c r="F1123" t="s">
        <v>736</v>
      </c>
      <c r="G1123" t="s">
        <v>737</v>
      </c>
      <c r="H1123" t="s">
        <v>738</v>
      </c>
      <c r="I1123" t="s">
        <v>739</v>
      </c>
      <c r="J1123" t="s">
        <v>739</v>
      </c>
      <c r="K1123" s="2">
        <v>45015</v>
      </c>
      <c r="L1123">
        <v>276832.11648622999</v>
      </c>
      <c r="M1123">
        <v>11767659.4522631</v>
      </c>
      <c r="N1123">
        <v>3716244.5420852201</v>
      </c>
      <c r="O1123">
        <v>1407012.1330957499</v>
      </c>
      <c r="P1123">
        <v>-11767659.4522631</v>
      </c>
      <c r="Q1123">
        <v>-2857588.26752197</v>
      </c>
      <c r="R1123">
        <v>93704.033228029904</v>
      </c>
      <c r="S1123">
        <v>-111585.097738663</v>
      </c>
      <c r="T1123">
        <v>1410508.1910957701</v>
      </c>
      <c r="U1123">
        <v>3689527.20023114</v>
      </c>
      <c r="V1123">
        <v>2225933.9511261201</v>
      </c>
    </row>
    <row r="1124" spans="1:22" x14ac:dyDescent="0.3">
      <c r="A1124" t="str">
        <f t="shared" si="34"/>
        <v>EKTRPrevisão</v>
      </c>
      <c r="B1124" t="str">
        <f t="shared" si="35"/>
        <v>EKTRPrevisãoJun-2023</v>
      </c>
      <c r="C1124" t="s">
        <v>438</v>
      </c>
      <c r="D1124" t="s">
        <v>439</v>
      </c>
      <c r="E1124" t="s">
        <v>413</v>
      </c>
      <c r="F1124" t="s">
        <v>736</v>
      </c>
      <c r="G1124" t="s">
        <v>737</v>
      </c>
      <c r="H1124" t="s">
        <v>738</v>
      </c>
      <c r="I1124" t="s">
        <v>739</v>
      </c>
      <c r="J1124" t="s">
        <v>739</v>
      </c>
      <c r="K1124" s="2">
        <v>45107</v>
      </c>
      <c r="L1124">
        <v>292313.17959710199</v>
      </c>
      <c r="M1124">
        <v>12189639.445705701</v>
      </c>
      <c r="N1124">
        <v>3770895.83801885</v>
      </c>
      <c r="O1124">
        <v>1269900.7089301499</v>
      </c>
      <c r="P1124">
        <v>-12189639.445705701</v>
      </c>
      <c r="Q1124">
        <v>-2885877.11010287</v>
      </c>
      <c r="R1124">
        <v>96717.847967218302</v>
      </c>
      <c r="S1124">
        <v>-157851.643400762</v>
      </c>
      <c r="T1124">
        <v>1487025.47111691</v>
      </c>
      <c r="U1124">
        <v>3855630.45970811</v>
      </c>
      <c r="V1124">
        <v>2275417.02520278</v>
      </c>
    </row>
    <row r="1125" spans="1:22" x14ac:dyDescent="0.3">
      <c r="A1125" t="str">
        <f t="shared" si="34"/>
        <v>EKTRPrevisão</v>
      </c>
      <c r="B1125" t="str">
        <f t="shared" si="35"/>
        <v>EKTRPrevisãoSet-2023</v>
      </c>
      <c r="C1125" t="s">
        <v>438</v>
      </c>
      <c r="D1125" t="s">
        <v>439</v>
      </c>
      <c r="E1125" t="s">
        <v>413</v>
      </c>
      <c r="F1125" t="s">
        <v>736</v>
      </c>
      <c r="G1125" t="s">
        <v>737</v>
      </c>
      <c r="H1125" t="s">
        <v>738</v>
      </c>
      <c r="I1125" t="s">
        <v>739</v>
      </c>
      <c r="J1125" t="s">
        <v>739</v>
      </c>
      <c r="K1125" s="2">
        <v>45199</v>
      </c>
      <c r="L1125">
        <v>308000.90627600998</v>
      </c>
      <c r="M1125">
        <v>12634611.190061601</v>
      </c>
      <c r="N1125">
        <v>3826142.7817607098</v>
      </c>
      <c r="O1125">
        <v>1116049.83483769</v>
      </c>
      <c r="P1125">
        <v>-12634611.190061601</v>
      </c>
      <c r="Q1125">
        <v>-2909766.4107337799</v>
      </c>
      <c r="R1125">
        <v>99826.724676038299</v>
      </c>
      <c r="S1125">
        <v>-208323.30836660901</v>
      </c>
      <c r="T1125">
        <v>1564620.14445652</v>
      </c>
      <c r="U1125">
        <v>4033730.6297166599</v>
      </c>
      <c r="V1125">
        <v>2324550.4939309601</v>
      </c>
    </row>
    <row r="1126" spans="1:22" x14ac:dyDescent="0.3">
      <c r="A1126" t="str">
        <f t="shared" si="34"/>
        <v>ENBRPrevisão</v>
      </c>
      <c r="B1126" t="str">
        <f t="shared" si="35"/>
        <v>ENBRPrevisãoDez-2022</v>
      </c>
      <c r="C1126" t="s">
        <v>436</v>
      </c>
      <c r="D1126" t="s">
        <v>437</v>
      </c>
      <c r="E1126" t="s">
        <v>413</v>
      </c>
      <c r="F1126" t="s">
        <v>736</v>
      </c>
      <c r="G1126" t="s">
        <v>737</v>
      </c>
      <c r="H1126" t="s">
        <v>738</v>
      </c>
      <c r="I1126" t="s">
        <v>739</v>
      </c>
      <c r="J1126" t="s">
        <v>739</v>
      </c>
      <c r="K1126" s="2">
        <v>44925</v>
      </c>
      <c r="L1126">
        <v>544950.88354137703</v>
      </c>
      <c r="M1126">
        <v>12137427.6763424</v>
      </c>
      <c r="N1126">
        <v>1628094.4508104201</v>
      </c>
      <c r="O1126">
        <v>347602.38638483599</v>
      </c>
      <c r="P1126">
        <v>-12137427.6763424</v>
      </c>
      <c r="Q1126">
        <v>-503421.58814919699</v>
      </c>
      <c r="R1126">
        <v>3065.9831083951099</v>
      </c>
      <c r="S1126">
        <v>35589.924369749599</v>
      </c>
      <c r="T1126">
        <v>5869259.0431199996</v>
      </c>
      <c r="U1126">
        <v>11537588.171802601</v>
      </c>
      <c r="V1126">
        <v>-28939.69179176</v>
      </c>
    </row>
    <row r="1127" spans="1:22" x14ac:dyDescent="0.3">
      <c r="A1127" t="str">
        <f t="shared" si="34"/>
        <v>ENBRPrevisão</v>
      </c>
      <c r="B1127" t="str">
        <f t="shared" si="35"/>
        <v>ENBRPrevisãoMar-2023</v>
      </c>
      <c r="C1127" t="s">
        <v>436</v>
      </c>
      <c r="D1127" t="s">
        <v>437</v>
      </c>
      <c r="E1127" t="s">
        <v>413</v>
      </c>
      <c r="F1127" t="s">
        <v>736</v>
      </c>
      <c r="G1127" t="s">
        <v>737</v>
      </c>
      <c r="H1127" t="s">
        <v>738</v>
      </c>
      <c r="I1127" t="s">
        <v>739</v>
      </c>
      <c r="J1127" t="s">
        <v>739</v>
      </c>
      <c r="K1127" s="2">
        <v>45015</v>
      </c>
      <c r="L1127">
        <v>582126.40092279401</v>
      </c>
      <c r="M1127">
        <v>12195713.0152367</v>
      </c>
      <c r="N1127">
        <v>1689727.60739101</v>
      </c>
      <c r="O1127">
        <v>339587.20478687802</v>
      </c>
      <c r="P1127">
        <v>-12195713.0152367</v>
      </c>
      <c r="Q1127">
        <v>-562262.92607299099</v>
      </c>
      <c r="R1127">
        <v>4236.7745866572104</v>
      </c>
      <c r="S1127">
        <v>38720.247861309799</v>
      </c>
      <c r="T1127">
        <v>5974085.6143007604</v>
      </c>
      <c r="U1127">
        <v>11624850.7114347</v>
      </c>
      <c r="V1127">
        <v>-41719.608714786002</v>
      </c>
    </row>
    <row r="1128" spans="1:22" x14ac:dyDescent="0.3">
      <c r="A1128" t="str">
        <f t="shared" si="34"/>
        <v>ENBRPrevisão</v>
      </c>
      <c r="B1128" t="str">
        <f t="shared" si="35"/>
        <v>ENBRPrevisãoJun-2023</v>
      </c>
      <c r="C1128" t="s">
        <v>436</v>
      </c>
      <c r="D1128" t="s">
        <v>437</v>
      </c>
      <c r="E1128" t="s">
        <v>413</v>
      </c>
      <c r="F1128" t="s">
        <v>736</v>
      </c>
      <c r="G1128" t="s">
        <v>737</v>
      </c>
      <c r="H1128" t="s">
        <v>738</v>
      </c>
      <c r="I1128" t="s">
        <v>739</v>
      </c>
      <c r="J1128" t="s">
        <v>739</v>
      </c>
      <c r="K1128" s="2">
        <v>45107</v>
      </c>
      <c r="L1128">
        <v>621862.58727683302</v>
      </c>
      <c r="M1128">
        <v>12233643.077468099</v>
      </c>
      <c r="N1128">
        <v>1757119.52846702</v>
      </c>
      <c r="O1128">
        <v>329984.71095834998</v>
      </c>
      <c r="P1128">
        <v>-12233643.077468099</v>
      </c>
      <c r="Q1128">
        <v>-634589.79220558598</v>
      </c>
      <c r="R1128">
        <v>5567.3925432411197</v>
      </c>
      <c r="S1128">
        <v>42104.713871328502</v>
      </c>
      <c r="T1128">
        <v>6064382.8738870099</v>
      </c>
      <c r="U1128">
        <v>11682485.8844906</v>
      </c>
      <c r="V1128">
        <v>-56626.003948417499</v>
      </c>
    </row>
    <row r="1129" spans="1:22" x14ac:dyDescent="0.3">
      <c r="A1129" t="str">
        <f t="shared" si="34"/>
        <v>ENBRPrevisão</v>
      </c>
      <c r="B1129" t="str">
        <f t="shared" si="35"/>
        <v>ENBRPrevisãoSet-2023</v>
      </c>
      <c r="C1129" t="s">
        <v>436</v>
      </c>
      <c r="D1129" t="s">
        <v>437</v>
      </c>
      <c r="E1129" t="s">
        <v>413</v>
      </c>
      <c r="F1129" t="s">
        <v>736</v>
      </c>
      <c r="G1129" t="s">
        <v>737</v>
      </c>
      <c r="H1129" t="s">
        <v>738</v>
      </c>
      <c r="I1129" t="s">
        <v>739</v>
      </c>
      <c r="J1129" t="s">
        <v>739</v>
      </c>
      <c r="K1129" s="2">
        <v>45199</v>
      </c>
      <c r="L1129">
        <v>664256.77812141494</v>
      </c>
      <c r="M1129">
        <v>12250273.6257594</v>
      </c>
      <c r="N1129">
        <v>1830622.1039392599</v>
      </c>
      <c r="O1129">
        <v>318710.81941551203</v>
      </c>
      <c r="P1129">
        <v>-12250273.6257594</v>
      </c>
      <c r="Q1129">
        <v>-721295.96052037994</v>
      </c>
      <c r="R1129">
        <v>7064.7687411467696</v>
      </c>
      <c r="S1129">
        <v>45753.390084303901</v>
      </c>
      <c r="T1129">
        <v>6139096.1313404804</v>
      </c>
      <c r="U1129">
        <v>11708590.7208586</v>
      </c>
      <c r="V1129">
        <v>-73793.122161557898</v>
      </c>
    </row>
    <row r="1130" spans="1:22" x14ac:dyDescent="0.3">
      <c r="A1130" t="str">
        <f t="shared" si="34"/>
        <v>TRPLPrevisão</v>
      </c>
      <c r="B1130" t="str">
        <f t="shared" si="35"/>
        <v>TRPLPrevisãoDez-2022</v>
      </c>
      <c r="C1130" t="s">
        <v>434</v>
      </c>
      <c r="D1130" t="s">
        <v>435</v>
      </c>
      <c r="E1130" t="s">
        <v>413</v>
      </c>
      <c r="F1130" t="s">
        <v>736</v>
      </c>
      <c r="G1130" t="s">
        <v>737</v>
      </c>
      <c r="H1130" t="s">
        <v>738</v>
      </c>
      <c r="I1130" t="s">
        <v>739</v>
      </c>
      <c r="J1130" t="s">
        <v>739</v>
      </c>
      <c r="K1130" s="2">
        <v>44925</v>
      </c>
      <c r="L1130">
        <v>411122.75341652503</v>
      </c>
      <c r="M1130">
        <v>31490449.612770502</v>
      </c>
      <c r="N1130">
        <v>3513333.4680407899</v>
      </c>
      <c r="O1130">
        <v>19195692.165945198</v>
      </c>
      <c r="P1130">
        <v>-31490449.612770502</v>
      </c>
      <c r="Q1130">
        <v>-1034615.0802132</v>
      </c>
      <c r="R1130">
        <v>0</v>
      </c>
      <c r="S1130">
        <v>142805.47474780999</v>
      </c>
      <c r="T1130">
        <v>10975367.432728199</v>
      </c>
      <c r="U1130">
        <v>15446199.503096599</v>
      </c>
      <c r="V1130">
        <v>794926.94601479196</v>
      </c>
    </row>
    <row r="1131" spans="1:22" x14ac:dyDescent="0.3">
      <c r="A1131" t="str">
        <f t="shared" si="34"/>
        <v>TRPLPrevisão</v>
      </c>
      <c r="B1131" t="str">
        <f t="shared" si="35"/>
        <v>TRPLPrevisãoMar-2023</v>
      </c>
      <c r="C1131" t="s">
        <v>434</v>
      </c>
      <c r="D1131" t="s">
        <v>435</v>
      </c>
      <c r="E1131" t="s">
        <v>413</v>
      </c>
      <c r="F1131" t="s">
        <v>736</v>
      </c>
      <c r="G1131" t="s">
        <v>737</v>
      </c>
      <c r="H1131" t="s">
        <v>738</v>
      </c>
      <c r="I1131" t="s">
        <v>739</v>
      </c>
      <c r="J1131" t="s">
        <v>739</v>
      </c>
      <c r="K1131" s="2">
        <v>45015</v>
      </c>
      <c r="L1131">
        <v>339794.50628475001</v>
      </c>
      <c r="M1131">
        <v>32580587.4800651</v>
      </c>
      <c r="N1131">
        <v>3472643.0699098199</v>
      </c>
      <c r="O1131">
        <v>20573724.831015199</v>
      </c>
      <c r="P1131">
        <v>-32580587.4800651</v>
      </c>
      <c r="Q1131">
        <v>-952984.93369447696</v>
      </c>
      <c r="R1131">
        <v>0</v>
      </c>
      <c r="S1131">
        <v>94283.861515807293</v>
      </c>
      <c r="T1131">
        <v>11098923.2898569</v>
      </c>
      <c r="U1131">
        <v>15501122.268352799</v>
      </c>
      <c r="V1131">
        <v>733028.31695334904</v>
      </c>
    </row>
    <row r="1132" spans="1:22" x14ac:dyDescent="0.3">
      <c r="A1132" t="str">
        <f t="shared" si="34"/>
        <v>TRPLPrevisão</v>
      </c>
      <c r="B1132" t="str">
        <f t="shared" si="35"/>
        <v>TRPLPrevisãoJun-2023</v>
      </c>
      <c r="C1132" t="s">
        <v>434</v>
      </c>
      <c r="D1132" t="s">
        <v>435</v>
      </c>
      <c r="E1132" t="s">
        <v>413</v>
      </c>
      <c r="F1132" t="s">
        <v>736</v>
      </c>
      <c r="G1132" t="s">
        <v>737</v>
      </c>
      <c r="H1132" t="s">
        <v>738</v>
      </c>
      <c r="I1132" t="s">
        <v>739</v>
      </c>
      <c r="J1132" t="s">
        <v>739</v>
      </c>
      <c r="K1132" s="2">
        <v>45107</v>
      </c>
      <c r="L1132">
        <v>258835.211000365</v>
      </c>
      <c r="M1132">
        <v>33649742.955022402</v>
      </c>
      <c r="N1132">
        <v>3408165.9091756898</v>
      </c>
      <c r="O1132">
        <v>22037775.0433526</v>
      </c>
      <c r="P1132">
        <v>-33649742.955022402</v>
      </c>
      <c r="Q1132">
        <v>-853244.91935072094</v>
      </c>
      <c r="R1132">
        <v>0</v>
      </c>
      <c r="S1132">
        <v>38205.489401486702</v>
      </c>
      <c r="T1132">
        <v>11176620.8272935</v>
      </c>
      <c r="U1132">
        <v>15497927.362014201</v>
      </c>
      <c r="V1132">
        <v>662322.49370938505</v>
      </c>
    </row>
    <row r="1133" spans="1:22" x14ac:dyDescent="0.3">
      <c r="A1133" t="str">
        <f t="shared" si="34"/>
        <v>TRPLPrevisão</v>
      </c>
      <c r="B1133" t="str">
        <f t="shared" si="35"/>
        <v>TRPLPrevisãoSet-2023</v>
      </c>
      <c r="C1133" t="s">
        <v>434</v>
      </c>
      <c r="D1133" t="s">
        <v>435</v>
      </c>
      <c r="E1133" t="s">
        <v>413</v>
      </c>
      <c r="F1133" t="s">
        <v>736</v>
      </c>
      <c r="G1133" t="s">
        <v>737</v>
      </c>
      <c r="H1133" t="s">
        <v>738</v>
      </c>
      <c r="I1133" t="s">
        <v>739</v>
      </c>
      <c r="J1133" t="s">
        <v>739</v>
      </c>
      <c r="K1133" s="2">
        <v>45199</v>
      </c>
      <c r="L1133">
        <v>167819.77253105599</v>
      </c>
      <c r="M1133">
        <v>34694405.975645497</v>
      </c>
      <c r="N1133">
        <v>3318343.1596926302</v>
      </c>
      <c r="O1133">
        <v>23590423.453706998</v>
      </c>
      <c r="P1133">
        <v>-34694405.975645497</v>
      </c>
      <c r="Q1133">
        <v>-734255.50627650996</v>
      </c>
      <c r="R1133">
        <v>0</v>
      </c>
      <c r="S1133">
        <v>-25821.8079813105</v>
      </c>
      <c r="T1133">
        <v>11205436.184863601</v>
      </c>
      <c r="U1133">
        <v>15433040.9689645</v>
      </c>
      <c r="V1133">
        <v>582430.08141703496</v>
      </c>
    </row>
    <row r="1134" spans="1:22" x14ac:dyDescent="0.3">
      <c r="A1134" t="str">
        <f t="shared" si="34"/>
        <v>CPLEPrevisão</v>
      </c>
      <c r="B1134" t="str">
        <f t="shared" si="35"/>
        <v>CPLEPrevisãoDez-2022</v>
      </c>
      <c r="C1134" t="s">
        <v>460</v>
      </c>
      <c r="D1134" t="s">
        <v>461</v>
      </c>
      <c r="E1134" t="s">
        <v>413</v>
      </c>
      <c r="F1134" t="s">
        <v>736</v>
      </c>
      <c r="G1134" t="s">
        <v>737</v>
      </c>
      <c r="H1134" t="s">
        <v>738</v>
      </c>
      <c r="I1134" t="s">
        <v>739</v>
      </c>
      <c r="J1134" t="s">
        <v>739</v>
      </c>
      <c r="K1134" s="2">
        <v>44925</v>
      </c>
      <c r="L1134">
        <v>676298.60266585299</v>
      </c>
      <c r="M1134">
        <v>23752819.2156858</v>
      </c>
      <c r="N1134">
        <v>1973074.44053988</v>
      </c>
      <c r="O1134">
        <v>982616.67235400504</v>
      </c>
      <c r="P1134">
        <v>-23752819.2156858</v>
      </c>
      <c r="Q1134">
        <v>-785967.58704681695</v>
      </c>
      <c r="R1134">
        <v>23309.1082251099</v>
      </c>
      <c r="S1134">
        <v>66788.805279728505</v>
      </c>
      <c r="T1134">
        <v>10135690.2952192</v>
      </c>
      <c r="U1134">
        <v>22760222.0224078</v>
      </c>
      <c r="V1134">
        <v>271708.11221450398</v>
      </c>
    </row>
    <row r="1135" spans="1:22" x14ac:dyDescent="0.3">
      <c r="A1135" t="str">
        <f t="shared" si="34"/>
        <v>CPLEPrevisão</v>
      </c>
      <c r="B1135" t="str">
        <f t="shared" si="35"/>
        <v>CPLEPrevisãoMar-2023</v>
      </c>
      <c r="C1135" t="s">
        <v>460</v>
      </c>
      <c r="D1135" t="s">
        <v>461</v>
      </c>
      <c r="E1135" t="s">
        <v>413</v>
      </c>
      <c r="F1135" t="s">
        <v>736</v>
      </c>
      <c r="G1135" t="s">
        <v>737</v>
      </c>
      <c r="H1135" t="s">
        <v>738</v>
      </c>
      <c r="I1135" t="s">
        <v>739</v>
      </c>
      <c r="J1135" t="s">
        <v>739</v>
      </c>
      <c r="K1135" s="2">
        <v>45015</v>
      </c>
      <c r="L1135">
        <v>631160.86065803003</v>
      </c>
      <c r="M1135">
        <v>23974571.590960201</v>
      </c>
      <c r="N1135">
        <v>2073227.9579349901</v>
      </c>
      <c r="O1135">
        <v>1003493.8679299901</v>
      </c>
      <c r="P1135">
        <v>-23974571.590960201</v>
      </c>
      <c r="Q1135">
        <v>-583154.28065787896</v>
      </c>
      <c r="R1135">
        <v>25520.513905810501</v>
      </c>
      <c r="S1135">
        <v>71027.612064360903</v>
      </c>
      <c r="T1135">
        <v>10840854.661918201</v>
      </c>
      <c r="U1135">
        <v>23385455.8208027</v>
      </c>
      <c r="V1135">
        <v>173436.86289410101</v>
      </c>
    </row>
    <row r="1136" spans="1:22" x14ac:dyDescent="0.3">
      <c r="A1136" t="str">
        <f t="shared" si="34"/>
        <v>CPLEPrevisão</v>
      </c>
      <c r="B1136" t="str">
        <f t="shared" si="35"/>
        <v>CPLEPrevisãoJun-2023</v>
      </c>
      <c r="C1136" t="s">
        <v>460</v>
      </c>
      <c r="D1136" t="s">
        <v>461</v>
      </c>
      <c r="E1136" t="s">
        <v>413</v>
      </c>
      <c r="F1136" t="s">
        <v>736</v>
      </c>
      <c r="G1136" t="s">
        <v>737</v>
      </c>
      <c r="H1136" t="s">
        <v>738</v>
      </c>
      <c r="I1136" t="s">
        <v>739</v>
      </c>
      <c r="J1136" t="s">
        <v>739</v>
      </c>
      <c r="K1136" s="2">
        <v>45107</v>
      </c>
      <c r="L1136">
        <v>575733.85583316803</v>
      </c>
      <c r="M1136">
        <v>24175686.837590199</v>
      </c>
      <c r="N1136">
        <v>2176496.4047170798</v>
      </c>
      <c r="O1136">
        <v>1022858.95293905</v>
      </c>
      <c r="P1136">
        <v>-24175686.837590199</v>
      </c>
      <c r="Q1136">
        <v>-348542.67608018499</v>
      </c>
      <c r="R1136">
        <v>27965.231375885</v>
      </c>
      <c r="S1136">
        <v>75109.664604659905</v>
      </c>
      <c r="T1136">
        <v>11616922.185299899</v>
      </c>
      <c r="U1136">
        <v>24035943.453170501</v>
      </c>
      <c r="V1136">
        <v>60623.677903109397</v>
      </c>
    </row>
    <row r="1137" spans="1:22" x14ac:dyDescent="0.3">
      <c r="A1137" t="str">
        <f t="shared" si="34"/>
        <v>CPLEPrevisão</v>
      </c>
      <c r="B1137" t="str">
        <f t="shared" si="35"/>
        <v>CPLEPrevisãoSet-2023</v>
      </c>
      <c r="C1137" t="s">
        <v>460</v>
      </c>
      <c r="D1137" t="s">
        <v>461</v>
      </c>
      <c r="E1137" t="s">
        <v>413</v>
      </c>
      <c r="F1137" t="s">
        <v>736</v>
      </c>
      <c r="G1137" t="s">
        <v>737</v>
      </c>
      <c r="H1137" t="s">
        <v>738</v>
      </c>
      <c r="I1137" t="s">
        <v>739</v>
      </c>
      <c r="J1137" t="s">
        <v>739</v>
      </c>
      <c r="K1137" s="2">
        <v>45199</v>
      </c>
      <c r="L1137">
        <v>509420.00836547301</v>
      </c>
      <c r="M1137">
        <v>24354851.837310899</v>
      </c>
      <c r="N1137">
        <v>2282753.7629724802</v>
      </c>
      <c r="O1137">
        <v>1040461.83053384</v>
      </c>
      <c r="P1137">
        <v>-24354851.837310899</v>
      </c>
      <c r="Q1137">
        <v>-80491.373278101601</v>
      </c>
      <c r="R1137">
        <v>30655.354554774</v>
      </c>
      <c r="S1137">
        <v>79006.290396538199</v>
      </c>
      <c r="T1137">
        <v>12467474.6200929</v>
      </c>
      <c r="U1137">
        <v>24712338.337384</v>
      </c>
      <c r="V1137">
        <v>-67487.044553339307</v>
      </c>
    </row>
    <row r="1138" spans="1:22" x14ac:dyDescent="0.3">
      <c r="A1138" t="str">
        <f t="shared" si="34"/>
        <v>EEELPrevisão</v>
      </c>
      <c r="B1138" t="str">
        <f t="shared" si="35"/>
        <v>EEELPrevisãoDez-2016</v>
      </c>
      <c r="C1138" t="s">
        <v>722</v>
      </c>
      <c r="D1138" t="s">
        <v>433</v>
      </c>
      <c r="E1138" t="s">
        <v>413</v>
      </c>
      <c r="F1138" t="s">
        <v>736</v>
      </c>
      <c r="G1138" t="s">
        <v>737</v>
      </c>
      <c r="H1138" t="s">
        <v>738</v>
      </c>
      <c r="I1138" t="s">
        <v>739</v>
      </c>
      <c r="J1138" t="s">
        <v>739</v>
      </c>
      <c r="K1138" s="2">
        <v>42734</v>
      </c>
      <c r="L1138">
        <v>245304.02903652401</v>
      </c>
      <c r="M1138">
        <v>3879804.7821903601</v>
      </c>
      <c r="N1138">
        <v>343205.183091591</v>
      </c>
      <c r="O1138">
        <v>866601.50394698698</v>
      </c>
      <c r="P1138">
        <v>-3879804.7821903601</v>
      </c>
      <c r="Q1138">
        <v>-359812.24047188798</v>
      </c>
      <c r="R1138">
        <v>35944.915457087001</v>
      </c>
      <c r="S1138">
        <v>37056.437653845198</v>
      </c>
      <c r="T1138">
        <v>1230436.5353534501</v>
      </c>
      <c r="U1138">
        <v>1904437.05848391</v>
      </c>
      <c r="V1138">
        <v>478173.58882945898</v>
      </c>
    </row>
    <row r="1139" spans="1:22" x14ac:dyDescent="0.3">
      <c r="A1139" t="str">
        <f t="shared" si="34"/>
        <v>EEELPrevisão</v>
      </c>
      <c r="B1139" t="str">
        <f t="shared" si="35"/>
        <v>EEELPrevisãoMar-2017</v>
      </c>
      <c r="C1139" t="s">
        <v>722</v>
      </c>
      <c r="D1139" t="s">
        <v>433</v>
      </c>
      <c r="E1139" t="s">
        <v>413</v>
      </c>
      <c r="F1139" t="s">
        <v>736</v>
      </c>
      <c r="G1139" t="s">
        <v>737</v>
      </c>
      <c r="H1139" t="s">
        <v>738</v>
      </c>
      <c r="I1139" t="s">
        <v>739</v>
      </c>
      <c r="J1139" t="s">
        <v>739</v>
      </c>
      <c r="K1139" s="2">
        <v>42824</v>
      </c>
      <c r="L1139">
        <v>295025.37898513803</v>
      </c>
      <c r="M1139">
        <v>4154811.3892694898</v>
      </c>
      <c r="N1139">
        <v>239465.57648729501</v>
      </c>
      <c r="O1139">
        <v>867351.84961349203</v>
      </c>
      <c r="P1139">
        <v>-4154811.3892694898</v>
      </c>
      <c r="Q1139">
        <v>-371532.241091292</v>
      </c>
      <c r="R1139">
        <v>36795.215693151702</v>
      </c>
      <c r="S1139">
        <v>43295.110824341697</v>
      </c>
      <c r="T1139">
        <v>1231285.4272040201</v>
      </c>
      <c r="U1139">
        <v>1950011.31380569</v>
      </c>
      <c r="V1139">
        <v>548688.62710227305</v>
      </c>
    </row>
    <row r="1140" spans="1:22" x14ac:dyDescent="0.3">
      <c r="A1140" t="str">
        <f t="shared" si="34"/>
        <v>EEELPrevisão</v>
      </c>
      <c r="B1140" t="str">
        <f t="shared" si="35"/>
        <v>EEELPrevisãoJun-2017</v>
      </c>
      <c r="C1140" t="s">
        <v>722</v>
      </c>
      <c r="D1140" t="s">
        <v>433</v>
      </c>
      <c r="E1140" t="s">
        <v>413</v>
      </c>
      <c r="F1140" t="s">
        <v>736</v>
      </c>
      <c r="G1140" t="s">
        <v>737</v>
      </c>
      <c r="H1140" t="s">
        <v>738</v>
      </c>
      <c r="I1140" t="s">
        <v>739</v>
      </c>
      <c r="J1140" t="s">
        <v>739</v>
      </c>
      <c r="K1140" s="2">
        <v>42916</v>
      </c>
      <c r="L1140">
        <v>350812.09730994399</v>
      </c>
      <c r="M1140">
        <v>4478421.2946710298</v>
      </c>
      <c r="N1140">
        <v>131693.492911195</v>
      </c>
      <c r="O1140">
        <v>867186.59329121094</v>
      </c>
      <c r="P1140">
        <v>-4478421.2946710298</v>
      </c>
      <c r="Q1140">
        <v>-386910.24245761201</v>
      </c>
      <c r="R1140">
        <v>37827.393399304397</v>
      </c>
      <c r="S1140">
        <v>50348.998231832702</v>
      </c>
      <c r="T1140">
        <v>1233327.60947713</v>
      </c>
      <c r="U1140">
        <v>2004917.32293315</v>
      </c>
      <c r="V1140">
        <v>628063.01173926401</v>
      </c>
    </row>
    <row r="1141" spans="1:22" x14ac:dyDescent="0.3">
      <c r="A1141" t="str">
        <f t="shared" si="34"/>
        <v>EEELPrevisão</v>
      </c>
      <c r="B1141" t="str">
        <f t="shared" si="35"/>
        <v>EEELPrevisãoSet-2017</v>
      </c>
      <c r="C1141" t="s">
        <v>722</v>
      </c>
      <c r="D1141" t="s">
        <v>433</v>
      </c>
      <c r="E1141" t="s">
        <v>413</v>
      </c>
      <c r="F1141" t="s">
        <v>736</v>
      </c>
      <c r="G1141" t="s">
        <v>737</v>
      </c>
      <c r="H1141" t="s">
        <v>738</v>
      </c>
      <c r="I1141" t="s">
        <v>739</v>
      </c>
      <c r="J1141" t="s">
        <v>739</v>
      </c>
      <c r="K1141" s="2">
        <v>43008</v>
      </c>
      <c r="L1141">
        <v>412960.09560130798</v>
      </c>
      <c r="M1141">
        <v>4853284.0505279899</v>
      </c>
      <c r="N1141">
        <v>19964.4953698848</v>
      </c>
      <c r="O1141">
        <v>866052.85829233006</v>
      </c>
      <c r="P1141">
        <v>-4853284.0505279899</v>
      </c>
      <c r="Q1141">
        <v>-406177.568707278</v>
      </c>
      <c r="R1141">
        <v>39052.964390998997</v>
      </c>
      <c r="S1141">
        <v>58255.3456815639</v>
      </c>
      <c r="T1141">
        <v>1236547.12272311</v>
      </c>
      <c r="U1141">
        <v>2069649.35322066</v>
      </c>
      <c r="V1141">
        <v>716734.48896402097</v>
      </c>
    </row>
    <row r="1142" spans="1:22" x14ac:dyDescent="0.3">
      <c r="A1142" t="str">
        <f t="shared" si="34"/>
        <v>CEEDPrevisão</v>
      </c>
      <c r="B1142" t="str">
        <f t="shared" si="35"/>
        <v>CEEDPrevisãoDez-2022</v>
      </c>
      <c r="C1142" t="s">
        <v>462</v>
      </c>
      <c r="D1142" t="s">
        <v>463</v>
      </c>
      <c r="E1142" t="s">
        <v>413</v>
      </c>
      <c r="F1142" t="s">
        <v>736</v>
      </c>
      <c r="G1142" t="s">
        <v>737</v>
      </c>
      <c r="H1142" t="s">
        <v>738</v>
      </c>
      <c r="I1142" t="s">
        <v>739</v>
      </c>
      <c r="J1142" t="s">
        <v>739</v>
      </c>
      <c r="K1142" s="2">
        <v>44925</v>
      </c>
      <c r="L1142">
        <v>-23119.093795050401</v>
      </c>
      <c r="M1142">
        <v>6818566.0075544296</v>
      </c>
      <c r="N1142">
        <v>2959252.8862576801</v>
      </c>
      <c r="O1142">
        <v>1494901.4173671401</v>
      </c>
      <c r="P1142">
        <v>-6818566.0075544296</v>
      </c>
      <c r="Q1142">
        <v>-1317625.5309387699</v>
      </c>
      <c r="R1142">
        <v>135555.997623292</v>
      </c>
      <c r="S1142">
        <v>-260296.75604676301</v>
      </c>
      <c r="T1142">
        <v>-763354.96689573198</v>
      </c>
      <c r="U1142">
        <v>-2921006.8927930901</v>
      </c>
      <c r="V1142">
        <v>1259052.82768863</v>
      </c>
    </row>
    <row r="1143" spans="1:22" x14ac:dyDescent="0.3">
      <c r="A1143" t="str">
        <f t="shared" si="34"/>
        <v>CEEDPrevisão</v>
      </c>
      <c r="B1143" t="str">
        <f t="shared" si="35"/>
        <v>CEEDPrevisãoMar-2023</v>
      </c>
      <c r="C1143" t="s">
        <v>462</v>
      </c>
      <c r="D1143" t="s">
        <v>463</v>
      </c>
      <c r="E1143" t="s">
        <v>413</v>
      </c>
      <c r="F1143" t="s">
        <v>736</v>
      </c>
      <c r="G1143" t="s">
        <v>737</v>
      </c>
      <c r="H1143" t="s">
        <v>738</v>
      </c>
      <c r="I1143" t="s">
        <v>739</v>
      </c>
      <c r="J1143" t="s">
        <v>739</v>
      </c>
      <c r="K1143" s="2">
        <v>45015</v>
      </c>
      <c r="L1143">
        <v>47600.864277637098</v>
      </c>
      <c r="M1143">
        <v>7179792.2923877202</v>
      </c>
      <c r="N1143">
        <v>3306090.45198768</v>
      </c>
      <c r="O1143">
        <v>1606751.34521939</v>
      </c>
      <c r="P1143">
        <v>-7179792.2923877202</v>
      </c>
      <c r="Q1143">
        <v>-781260.22543059301</v>
      </c>
      <c r="R1143">
        <v>141598.452905157</v>
      </c>
      <c r="S1143">
        <v>-745890.76277769206</v>
      </c>
      <c r="T1143">
        <v>-1023964.06585716</v>
      </c>
      <c r="U1143">
        <v>-2631972.6223506401</v>
      </c>
      <c r="V1143">
        <v>1335821.82025571</v>
      </c>
    </row>
    <row r="1144" spans="1:22" x14ac:dyDescent="0.3">
      <c r="A1144" t="str">
        <f t="shared" si="34"/>
        <v>CEEDPrevisão</v>
      </c>
      <c r="B1144" t="str">
        <f t="shared" si="35"/>
        <v>CEEDPrevisãoJun-2023</v>
      </c>
      <c r="C1144" t="s">
        <v>462</v>
      </c>
      <c r="D1144" t="s">
        <v>463</v>
      </c>
      <c r="E1144" t="s">
        <v>413</v>
      </c>
      <c r="F1144" t="s">
        <v>736</v>
      </c>
      <c r="G1144" t="s">
        <v>737</v>
      </c>
      <c r="H1144" t="s">
        <v>738</v>
      </c>
      <c r="I1144" t="s">
        <v>739</v>
      </c>
      <c r="J1144" t="s">
        <v>739</v>
      </c>
      <c r="K1144" s="2">
        <v>45107</v>
      </c>
      <c r="L1144">
        <v>128033.899986605</v>
      </c>
      <c r="M1144">
        <v>7560368.1412937902</v>
      </c>
      <c r="N1144">
        <v>3687992.4883052101</v>
      </c>
      <c r="O1144">
        <v>1730812.65009528</v>
      </c>
      <c r="P1144">
        <v>-7560368.1412937902</v>
      </c>
      <c r="Q1144">
        <v>-168586.275526682</v>
      </c>
      <c r="R1144">
        <v>147756.982691827</v>
      </c>
      <c r="S1144">
        <v>-1297744.96615794</v>
      </c>
      <c r="T1144">
        <v>-1302829.9725192999</v>
      </c>
      <c r="U1144">
        <v>-2284075.6836151099</v>
      </c>
      <c r="V1144">
        <v>1420411.7910814099</v>
      </c>
    </row>
    <row r="1145" spans="1:22" x14ac:dyDescent="0.3">
      <c r="A1145" t="str">
        <f t="shared" si="34"/>
        <v>CEEDPrevisão</v>
      </c>
      <c r="B1145" t="str">
        <f t="shared" si="35"/>
        <v>CEEDPrevisãoSet-2023</v>
      </c>
      <c r="C1145" t="s">
        <v>462</v>
      </c>
      <c r="D1145" t="s">
        <v>463</v>
      </c>
      <c r="E1145" t="s">
        <v>413</v>
      </c>
      <c r="F1145" t="s">
        <v>736</v>
      </c>
      <c r="G1145" t="s">
        <v>737</v>
      </c>
      <c r="H1145" t="s">
        <v>738</v>
      </c>
      <c r="I1145" t="s">
        <v>739</v>
      </c>
      <c r="J1145" t="s">
        <v>739</v>
      </c>
      <c r="K1145" s="2">
        <v>45199</v>
      </c>
      <c r="L1145">
        <v>218655.453612057</v>
      </c>
      <c r="M1145">
        <v>7960608.9463176103</v>
      </c>
      <c r="N1145">
        <v>4106521.4358250098</v>
      </c>
      <c r="O1145">
        <v>1867679.03950776</v>
      </c>
      <c r="P1145">
        <v>-7960608.9463176103</v>
      </c>
      <c r="Q1145">
        <v>524178.20441011799</v>
      </c>
      <c r="R1145">
        <v>154021.16114312099</v>
      </c>
      <c r="S1145">
        <v>-1919122.5421934901</v>
      </c>
      <c r="T1145">
        <v>-1600583.8951794701</v>
      </c>
      <c r="U1145">
        <v>-1874394.1682392801</v>
      </c>
      <c r="V1145">
        <v>1513214.9746836999</v>
      </c>
    </row>
    <row r="1146" spans="1:22" x14ac:dyDescent="0.3">
      <c r="A1146" t="str">
        <f t="shared" si="34"/>
        <v>CSRNPrevisão</v>
      </c>
      <c r="B1146" t="str">
        <f t="shared" si="35"/>
        <v>CSRNPrevisãoDez-2022</v>
      </c>
      <c r="C1146" t="s">
        <v>430</v>
      </c>
      <c r="D1146" t="s">
        <v>431</v>
      </c>
      <c r="E1146" t="s">
        <v>413</v>
      </c>
      <c r="F1146" t="s">
        <v>736</v>
      </c>
      <c r="G1146" t="s">
        <v>737</v>
      </c>
      <c r="H1146" t="s">
        <v>738</v>
      </c>
      <c r="I1146" t="s">
        <v>739</v>
      </c>
      <c r="J1146" t="s">
        <v>739</v>
      </c>
      <c r="K1146" s="2">
        <v>44925</v>
      </c>
      <c r="L1146">
        <v>153626.69026397599</v>
      </c>
      <c r="M1146">
        <v>6168581.5676937597</v>
      </c>
      <c r="N1146">
        <v>1732142.0344622</v>
      </c>
      <c r="O1146">
        <v>635453.85400221101</v>
      </c>
      <c r="P1146">
        <v>-6168581.5676937597</v>
      </c>
      <c r="Q1146">
        <v>-1655370.3746714499</v>
      </c>
      <c r="R1146">
        <v>35260.5086155674</v>
      </c>
      <c r="S1146">
        <v>-21717.6777862493</v>
      </c>
      <c r="T1146">
        <v>751842.90017838695</v>
      </c>
      <c r="U1146">
        <v>1650477.3575248001</v>
      </c>
      <c r="V1146">
        <v>931339.65902724699</v>
      </c>
    </row>
    <row r="1147" spans="1:22" x14ac:dyDescent="0.3">
      <c r="A1147" t="str">
        <f t="shared" si="34"/>
        <v>CSRNPrevisão</v>
      </c>
      <c r="B1147" t="str">
        <f t="shared" si="35"/>
        <v>CSRNPrevisãoMar-2023</v>
      </c>
      <c r="C1147" t="s">
        <v>430</v>
      </c>
      <c r="D1147" t="s">
        <v>431</v>
      </c>
      <c r="E1147" t="s">
        <v>413</v>
      </c>
      <c r="F1147" t="s">
        <v>736</v>
      </c>
      <c r="G1147" t="s">
        <v>737</v>
      </c>
      <c r="H1147" t="s">
        <v>738</v>
      </c>
      <c r="I1147" t="s">
        <v>739</v>
      </c>
      <c r="J1147" t="s">
        <v>739</v>
      </c>
      <c r="K1147" s="2">
        <v>45015</v>
      </c>
      <c r="L1147">
        <v>164360.16085909001</v>
      </c>
      <c r="M1147">
        <v>6459563.5760971</v>
      </c>
      <c r="N1147">
        <v>1854869.4772388199</v>
      </c>
      <c r="O1147">
        <v>644658.60057996004</v>
      </c>
      <c r="P1147">
        <v>-6459563.5760971</v>
      </c>
      <c r="Q1147">
        <v>-1807258.60565728</v>
      </c>
      <c r="R1147">
        <v>35774.035446446898</v>
      </c>
      <c r="S1147">
        <v>-32745.789652123</v>
      </c>
      <c r="T1147">
        <v>860926.75030814996</v>
      </c>
      <c r="U1147">
        <v>1735820.47680986</v>
      </c>
      <c r="V1147">
        <v>953887.49968684698</v>
      </c>
    </row>
    <row r="1148" spans="1:22" x14ac:dyDescent="0.3">
      <c r="A1148" t="str">
        <f t="shared" si="34"/>
        <v>CSRNPrevisão</v>
      </c>
      <c r="B1148" t="str">
        <f t="shared" si="35"/>
        <v>CSRNPrevisãoJun-2023</v>
      </c>
      <c r="C1148" t="s">
        <v>430</v>
      </c>
      <c r="D1148" t="s">
        <v>431</v>
      </c>
      <c r="E1148" t="s">
        <v>413</v>
      </c>
      <c r="F1148" t="s">
        <v>736</v>
      </c>
      <c r="G1148" t="s">
        <v>737</v>
      </c>
      <c r="H1148" t="s">
        <v>738</v>
      </c>
      <c r="I1148" t="s">
        <v>739</v>
      </c>
      <c r="J1148" t="s">
        <v>739</v>
      </c>
      <c r="K1148" s="2">
        <v>45107</v>
      </c>
      <c r="L1148">
        <v>175684.11453283601</v>
      </c>
      <c r="M1148">
        <v>6760018.3463733196</v>
      </c>
      <c r="N1148">
        <v>1986590.67339368</v>
      </c>
      <c r="O1148">
        <v>653998.81600217102</v>
      </c>
      <c r="P1148">
        <v>-6760018.3463733196</v>
      </c>
      <c r="Q1148">
        <v>-1972935.96780061</v>
      </c>
      <c r="R1148">
        <v>36170.469215867903</v>
      </c>
      <c r="S1148">
        <v>-44453.028963362303</v>
      </c>
      <c r="T1148">
        <v>981876.92584168399</v>
      </c>
      <c r="U1148">
        <v>1826875.6171335599</v>
      </c>
      <c r="V1148">
        <v>975513.58763072197</v>
      </c>
    </row>
    <row r="1149" spans="1:22" x14ac:dyDescent="0.3">
      <c r="A1149" t="str">
        <f t="shared" si="34"/>
        <v>CSRNPrevisão</v>
      </c>
      <c r="B1149" t="str">
        <f t="shared" si="35"/>
        <v>CSRNPrevisãoSet-2023</v>
      </c>
      <c r="C1149" t="s">
        <v>430</v>
      </c>
      <c r="D1149" t="s">
        <v>431</v>
      </c>
      <c r="E1149" t="s">
        <v>413</v>
      </c>
      <c r="F1149" t="s">
        <v>736</v>
      </c>
      <c r="G1149" t="s">
        <v>737</v>
      </c>
      <c r="H1149" t="s">
        <v>738</v>
      </c>
      <c r="I1149" t="s">
        <v>739</v>
      </c>
      <c r="J1149" t="s">
        <v>739</v>
      </c>
      <c r="K1149" s="2">
        <v>45199</v>
      </c>
      <c r="L1149">
        <v>187610.368839826</v>
      </c>
      <c r="M1149">
        <v>7069982.2737030303</v>
      </c>
      <c r="N1149">
        <v>2127653.4239243399</v>
      </c>
      <c r="O1149">
        <v>663468.785903004</v>
      </c>
      <c r="P1149">
        <v>-7069982.2737030303</v>
      </c>
      <c r="Q1149">
        <v>-2153018.05163645</v>
      </c>
      <c r="R1149">
        <v>36441.051323623004</v>
      </c>
      <c r="S1149">
        <v>-56853.379732644702</v>
      </c>
      <c r="T1149">
        <v>1115232.57605773</v>
      </c>
      <c r="U1149">
        <v>1923834.2706225701</v>
      </c>
      <c r="V1149">
        <v>996112.22376628697</v>
      </c>
    </row>
    <row r="1150" spans="1:22" x14ac:dyDescent="0.3">
      <c r="A1150" t="str">
        <f t="shared" si="34"/>
        <v>COCEPrevisão</v>
      </c>
      <c r="B1150" t="str">
        <f t="shared" si="35"/>
        <v>COCEPrevisãoDez-2022</v>
      </c>
      <c r="C1150" t="s">
        <v>428</v>
      </c>
      <c r="D1150" t="s">
        <v>429</v>
      </c>
      <c r="E1150" t="s">
        <v>413</v>
      </c>
      <c r="F1150" t="s">
        <v>736</v>
      </c>
      <c r="G1150" t="s">
        <v>737</v>
      </c>
      <c r="H1150" t="s">
        <v>738</v>
      </c>
      <c r="I1150" t="s">
        <v>739</v>
      </c>
      <c r="J1150" t="s">
        <v>739</v>
      </c>
      <c r="K1150" s="2">
        <v>44925</v>
      </c>
      <c r="L1150">
        <v>123425.178083356</v>
      </c>
      <c r="M1150">
        <v>13322573.763433199</v>
      </c>
      <c r="N1150">
        <v>3605740.5059841</v>
      </c>
      <c r="O1150">
        <v>1693817.1858077699</v>
      </c>
      <c r="P1150">
        <v>-13322573.763433199</v>
      </c>
      <c r="Q1150">
        <v>-4170185.4256006102</v>
      </c>
      <c r="R1150">
        <v>47101.224514056303</v>
      </c>
      <c r="S1150">
        <v>257372.138018856</v>
      </c>
      <c r="T1150">
        <v>1978382.1549104699</v>
      </c>
      <c r="U1150">
        <v>3719921.3569306498</v>
      </c>
      <c r="V1150">
        <v>2382481.0938801998</v>
      </c>
    </row>
    <row r="1151" spans="1:22" x14ac:dyDescent="0.3">
      <c r="A1151" t="str">
        <f t="shared" si="34"/>
        <v>COCEPrevisão</v>
      </c>
      <c r="B1151" t="str">
        <f t="shared" si="35"/>
        <v>COCEPrevisãoMar-2023</v>
      </c>
      <c r="C1151" t="s">
        <v>428</v>
      </c>
      <c r="D1151" t="s">
        <v>429</v>
      </c>
      <c r="E1151" t="s">
        <v>413</v>
      </c>
      <c r="F1151" t="s">
        <v>736</v>
      </c>
      <c r="G1151" t="s">
        <v>737</v>
      </c>
      <c r="H1151" t="s">
        <v>738</v>
      </c>
      <c r="I1151" t="s">
        <v>739</v>
      </c>
      <c r="J1151" t="s">
        <v>739</v>
      </c>
      <c r="K1151" s="2">
        <v>45015</v>
      </c>
      <c r="L1151">
        <v>127264.780695899</v>
      </c>
      <c r="M1151">
        <v>13942415.1331467</v>
      </c>
      <c r="N1151">
        <v>3740741.8463305398</v>
      </c>
      <c r="O1151">
        <v>1660512.96171816</v>
      </c>
      <c r="P1151">
        <v>-13942415.1331467</v>
      </c>
      <c r="Q1151">
        <v>-4391057.5039769104</v>
      </c>
      <c r="R1151">
        <v>46199.604089967499</v>
      </c>
      <c r="S1151">
        <v>269691.18618849298</v>
      </c>
      <c r="T1151">
        <v>1965543.9240554799</v>
      </c>
      <c r="U1151">
        <v>3759248.1812240002</v>
      </c>
      <c r="V1151">
        <v>2531844.7137743901</v>
      </c>
    </row>
    <row r="1152" spans="1:22" x14ac:dyDescent="0.3">
      <c r="A1152" t="str">
        <f t="shared" si="34"/>
        <v>COCEPrevisão</v>
      </c>
      <c r="B1152" t="str">
        <f t="shared" si="35"/>
        <v>COCEPrevisãoJun-2023</v>
      </c>
      <c r="C1152" t="s">
        <v>428</v>
      </c>
      <c r="D1152" t="s">
        <v>429</v>
      </c>
      <c r="E1152" t="s">
        <v>413</v>
      </c>
      <c r="F1152" t="s">
        <v>736</v>
      </c>
      <c r="G1152" t="s">
        <v>737</v>
      </c>
      <c r="H1152" t="s">
        <v>738</v>
      </c>
      <c r="I1152" t="s">
        <v>739</v>
      </c>
      <c r="J1152" t="s">
        <v>739</v>
      </c>
      <c r="K1152" s="2">
        <v>45107</v>
      </c>
      <c r="L1152">
        <v>131126.17891937899</v>
      </c>
      <c r="M1152">
        <v>14580270.6783999</v>
      </c>
      <c r="N1152">
        <v>3878406.7187188901</v>
      </c>
      <c r="O1152">
        <v>1619792.47631948</v>
      </c>
      <c r="P1152">
        <v>-14580270.6783999</v>
      </c>
      <c r="Q1152">
        <v>-4618697.1014019502</v>
      </c>
      <c r="R1152">
        <v>45231.196959628003</v>
      </c>
      <c r="S1152">
        <v>282461.71268503601</v>
      </c>
      <c r="T1152">
        <v>1944160.1461535799</v>
      </c>
      <c r="U1152">
        <v>3791674.7243403499</v>
      </c>
      <c r="V1152">
        <v>2691702.0897577498</v>
      </c>
    </row>
    <row r="1153" spans="1:22" x14ac:dyDescent="0.3">
      <c r="A1153" t="str">
        <f t="shared" si="34"/>
        <v>COCEPrevisão</v>
      </c>
      <c r="B1153" t="str">
        <f t="shared" si="35"/>
        <v>COCEPrevisãoSet-2023</v>
      </c>
      <c r="C1153" t="s">
        <v>428</v>
      </c>
      <c r="D1153" t="s">
        <v>429</v>
      </c>
      <c r="E1153" t="s">
        <v>413</v>
      </c>
      <c r="F1153" t="s">
        <v>736</v>
      </c>
      <c r="G1153" t="s">
        <v>737</v>
      </c>
      <c r="H1153" t="s">
        <v>738</v>
      </c>
      <c r="I1153" t="s">
        <v>739</v>
      </c>
      <c r="J1153" t="s">
        <v>739</v>
      </c>
      <c r="K1153" s="2">
        <v>45199</v>
      </c>
      <c r="L1153">
        <v>134996.631508644</v>
      </c>
      <c r="M1153">
        <v>15236089.841559401</v>
      </c>
      <c r="N1153">
        <v>4018702.42592785</v>
      </c>
      <c r="O1153">
        <v>1571361.0225143</v>
      </c>
      <c r="P1153">
        <v>-15236089.841559401</v>
      </c>
      <c r="Q1153">
        <v>-4853066.3407899505</v>
      </c>
      <c r="R1153">
        <v>44200.714149420397</v>
      </c>
      <c r="S1153">
        <v>295683.70823265199</v>
      </c>
      <c r="T1153">
        <v>1913788.4468195301</v>
      </c>
      <c r="U1153">
        <v>3816756.17940635</v>
      </c>
      <c r="V1153">
        <v>2862459.8270982802</v>
      </c>
    </row>
    <row r="1154" spans="1:22" x14ac:dyDescent="0.3">
      <c r="A1154" t="str">
        <f t="shared" ref="A1154:A1217" si="36">_xlfn.CONCAT(D1154,F1154)</f>
        <v>CEPEPrevisão</v>
      </c>
      <c r="B1154" t="str">
        <f t="shared" ref="B1154:B1217" si="37">_xlfn.CONCAT(D1154,F1154,PROPER(TEXT(K1154,"mmm-aaaa")))</f>
        <v>CEPEPrevisãoDez-2022</v>
      </c>
      <c r="C1154" t="s">
        <v>426</v>
      </c>
      <c r="D1154" t="s">
        <v>427</v>
      </c>
      <c r="E1154" t="s">
        <v>413</v>
      </c>
      <c r="F1154" t="s">
        <v>736</v>
      </c>
      <c r="G1154" t="s">
        <v>737</v>
      </c>
      <c r="H1154" t="s">
        <v>738</v>
      </c>
      <c r="I1154" t="s">
        <v>739</v>
      </c>
      <c r="J1154" t="s">
        <v>739</v>
      </c>
      <c r="K1154" s="2">
        <v>44925</v>
      </c>
      <c r="L1154">
        <v>29745.604872238298</v>
      </c>
      <c r="M1154">
        <v>14754628.0107798</v>
      </c>
      <c r="N1154">
        <v>4411246.4341735402</v>
      </c>
      <c r="O1154">
        <v>1864555.69926128</v>
      </c>
      <c r="P1154">
        <v>-14754628.0107798</v>
      </c>
      <c r="Q1154">
        <v>-2976661.1587302</v>
      </c>
      <c r="R1154">
        <v>138553.29785247601</v>
      </c>
      <c r="S1154">
        <v>-69396.925897623398</v>
      </c>
      <c r="T1154">
        <v>520848.682794336</v>
      </c>
      <c r="U1154">
        <v>1623688.4793310999</v>
      </c>
      <c r="V1154">
        <v>2136709.1120447898</v>
      </c>
    </row>
    <row r="1155" spans="1:22" x14ac:dyDescent="0.3">
      <c r="A1155" t="str">
        <f t="shared" si="36"/>
        <v>CEPEPrevisão</v>
      </c>
      <c r="B1155" t="str">
        <f t="shared" si="37"/>
        <v>CEPEPrevisãoMar-2023</v>
      </c>
      <c r="C1155" t="s">
        <v>426</v>
      </c>
      <c r="D1155" t="s">
        <v>427</v>
      </c>
      <c r="E1155" t="s">
        <v>413</v>
      </c>
      <c r="F1155" t="s">
        <v>736</v>
      </c>
      <c r="G1155" t="s">
        <v>737</v>
      </c>
      <c r="H1155" t="s">
        <v>738</v>
      </c>
      <c r="I1155" t="s">
        <v>739</v>
      </c>
      <c r="J1155" t="s">
        <v>739</v>
      </c>
      <c r="K1155" s="2">
        <v>45015</v>
      </c>
      <c r="L1155">
        <v>17937.5940669259</v>
      </c>
      <c r="M1155">
        <v>15518599.6070536</v>
      </c>
      <c r="N1155">
        <v>4658611.8675901201</v>
      </c>
      <c r="O1155">
        <v>1909394.45886728</v>
      </c>
      <c r="P1155">
        <v>-15518599.6070536</v>
      </c>
      <c r="Q1155">
        <v>-3003842.7215282898</v>
      </c>
      <c r="R1155">
        <v>147834.61589320601</v>
      </c>
      <c r="S1155">
        <v>-91197.944713989506</v>
      </c>
      <c r="T1155">
        <v>545165.56969652302</v>
      </c>
      <c r="U1155">
        <v>1601856.30849715</v>
      </c>
      <c r="V1155">
        <v>2194604.6333560101</v>
      </c>
    </row>
    <row r="1156" spans="1:22" x14ac:dyDescent="0.3">
      <c r="A1156" t="str">
        <f t="shared" si="36"/>
        <v>CEPEPrevisão</v>
      </c>
      <c r="B1156" t="str">
        <f t="shared" si="37"/>
        <v>CEPEPrevisãoJun-2023</v>
      </c>
      <c r="C1156" t="s">
        <v>426</v>
      </c>
      <c r="D1156" t="s">
        <v>427</v>
      </c>
      <c r="E1156" t="s">
        <v>413</v>
      </c>
      <c r="F1156" t="s">
        <v>736</v>
      </c>
      <c r="G1156" t="s">
        <v>737</v>
      </c>
      <c r="H1156" t="s">
        <v>738</v>
      </c>
      <c r="I1156" t="s">
        <v>739</v>
      </c>
      <c r="J1156" t="s">
        <v>739</v>
      </c>
      <c r="K1156" s="2">
        <v>45107</v>
      </c>
      <c r="L1156">
        <v>3846.66514032238</v>
      </c>
      <c r="M1156">
        <v>16312290.737171801</v>
      </c>
      <c r="N1156">
        <v>4916424.8107229602</v>
      </c>
      <c r="O1156">
        <v>1951973.8831440699</v>
      </c>
      <c r="P1156">
        <v>-16312290.737171801</v>
      </c>
      <c r="Q1156">
        <v>-3022879.30161124</v>
      </c>
      <c r="R1156">
        <v>157625.06675804799</v>
      </c>
      <c r="S1156">
        <v>-114016.196985071</v>
      </c>
      <c r="T1156">
        <v>572194.05040726799</v>
      </c>
      <c r="U1156">
        <v>1576049.1167908099</v>
      </c>
      <c r="V1156">
        <v>2252990.7310326402</v>
      </c>
    </row>
    <row r="1157" spans="1:22" x14ac:dyDescent="0.3">
      <c r="A1157" t="str">
        <f t="shared" si="36"/>
        <v>CEPEPrevisão</v>
      </c>
      <c r="B1157" t="str">
        <f t="shared" si="37"/>
        <v>CEPEPrevisãoSet-2023</v>
      </c>
      <c r="C1157" t="s">
        <v>426</v>
      </c>
      <c r="D1157" t="s">
        <v>427</v>
      </c>
      <c r="E1157" t="s">
        <v>413</v>
      </c>
      <c r="F1157" t="s">
        <v>736</v>
      </c>
      <c r="G1157" t="s">
        <v>737</v>
      </c>
      <c r="H1157" t="s">
        <v>738</v>
      </c>
      <c r="I1157" t="s">
        <v>739</v>
      </c>
      <c r="J1157" t="s">
        <v>739</v>
      </c>
      <c r="K1157" s="2">
        <v>45199</v>
      </c>
      <c r="L1157">
        <v>-12665.0956751791</v>
      </c>
      <c r="M1157">
        <v>17136056.3227618</v>
      </c>
      <c r="N1157">
        <v>5184837.5685524298</v>
      </c>
      <c r="O1157">
        <v>1991993.51058282</v>
      </c>
      <c r="P1157">
        <v>-17136056.3227618</v>
      </c>
      <c r="Q1157">
        <v>-3033243.67488094</v>
      </c>
      <c r="R1157">
        <v>167939.09334024001</v>
      </c>
      <c r="S1157">
        <v>-137856.54590067299</v>
      </c>
      <c r="T1157">
        <v>602063.51660901494</v>
      </c>
      <c r="U1157">
        <v>1546042.5136752201</v>
      </c>
      <c r="V1157">
        <v>2311829.4653056399</v>
      </c>
    </row>
    <row r="1158" spans="1:22" x14ac:dyDescent="0.3">
      <c r="A1158" t="str">
        <f t="shared" si="36"/>
        <v>CMIGPrevisão</v>
      </c>
      <c r="B1158" t="str">
        <f t="shared" si="37"/>
        <v>CMIGPrevisãoDez-2022</v>
      </c>
      <c r="C1158" t="s">
        <v>424</v>
      </c>
      <c r="D1158" t="s">
        <v>425</v>
      </c>
      <c r="E1158" t="s">
        <v>413</v>
      </c>
      <c r="F1158" t="s">
        <v>736</v>
      </c>
      <c r="G1158" t="s">
        <v>737</v>
      </c>
      <c r="H1158" t="s">
        <v>738</v>
      </c>
      <c r="I1158" t="s">
        <v>739</v>
      </c>
      <c r="J1158" t="s">
        <v>739</v>
      </c>
      <c r="K1158" s="2">
        <v>44925</v>
      </c>
      <c r="L1158">
        <v>1287138.4160935699</v>
      </c>
      <c r="M1158">
        <v>25819881.4779737</v>
      </c>
      <c r="N1158">
        <v>3219309.9084117198</v>
      </c>
      <c r="O1158">
        <v>2455819.0093370499</v>
      </c>
      <c r="P1158">
        <v>-25819881.4779737</v>
      </c>
      <c r="Q1158">
        <v>-2181596.82811289</v>
      </c>
      <c r="R1158">
        <v>10560.544605720799</v>
      </c>
      <c r="S1158">
        <v>191863.43722942399</v>
      </c>
      <c r="T1158">
        <v>9564655.3011615109</v>
      </c>
      <c r="U1158">
        <v>22603476.236566901</v>
      </c>
      <c r="V1158">
        <v>579959.93684757804</v>
      </c>
    </row>
    <row r="1159" spans="1:22" x14ac:dyDescent="0.3">
      <c r="A1159" t="str">
        <f t="shared" si="36"/>
        <v>CMIGPrevisão</v>
      </c>
      <c r="B1159" t="str">
        <f t="shared" si="37"/>
        <v>CMIGPrevisãoMar-2023</v>
      </c>
      <c r="C1159" t="s">
        <v>424</v>
      </c>
      <c r="D1159" t="s">
        <v>425</v>
      </c>
      <c r="E1159" t="s">
        <v>413</v>
      </c>
      <c r="F1159" t="s">
        <v>736</v>
      </c>
      <c r="G1159" t="s">
        <v>737</v>
      </c>
      <c r="H1159" t="s">
        <v>738</v>
      </c>
      <c r="I1159" t="s">
        <v>739</v>
      </c>
      <c r="J1159" t="s">
        <v>739</v>
      </c>
      <c r="K1159" s="2">
        <v>45015</v>
      </c>
      <c r="L1159">
        <v>1436377.2058993899</v>
      </c>
      <c r="M1159">
        <v>26961592.698553398</v>
      </c>
      <c r="N1159">
        <v>3379543.7649970702</v>
      </c>
      <c r="O1159">
        <v>2657498.8904786902</v>
      </c>
      <c r="P1159">
        <v>-26961592.698553398</v>
      </c>
      <c r="Q1159">
        <v>-2393606.6488893898</v>
      </c>
      <c r="R1159">
        <v>10004.0045262982</v>
      </c>
      <c r="S1159">
        <v>224851.64133956999</v>
      </c>
      <c r="T1159">
        <v>9581371.9647377394</v>
      </c>
      <c r="U1159">
        <v>23517824.282100599</v>
      </c>
      <c r="V1159">
        <v>696821.12039326096</v>
      </c>
    </row>
    <row r="1160" spans="1:22" x14ac:dyDescent="0.3">
      <c r="A1160" t="str">
        <f t="shared" si="36"/>
        <v>CMIGPrevisão</v>
      </c>
      <c r="B1160" t="str">
        <f t="shared" si="37"/>
        <v>CMIGPrevisãoJun-2023</v>
      </c>
      <c r="C1160" t="s">
        <v>424</v>
      </c>
      <c r="D1160" t="s">
        <v>425</v>
      </c>
      <c r="E1160" t="s">
        <v>413</v>
      </c>
      <c r="F1160" t="s">
        <v>736</v>
      </c>
      <c r="G1160" t="s">
        <v>737</v>
      </c>
      <c r="H1160" t="s">
        <v>738</v>
      </c>
      <c r="I1160" t="s">
        <v>739</v>
      </c>
      <c r="J1160" t="s">
        <v>739</v>
      </c>
      <c r="K1160" s="2">
        <v>45107</v>
      </c>
      <c r="L1160">
        <v>1600283.86080264</v>
      </c>
      <c r="M1160">
        <v>28185835.029739998</v>
      </c>
      <c r="N1160">
        <v>3547088.6251648599</v>
      </c>
      <c r="O1160">
        <v>2871973.2865602998</v>
      </c>
      <c r="P1160">
        <v>-28185835.029739998</v>
      </c>
      <c r="Q1160">
        <v>-2631162.3748305999</v>
      </c>
      <c r="R1160">
        <v>9369.6873400675195</v>
      </c>
      <c r="S1160">
        <v>261117.686139386</v>
      </c>
      <c r="T1160">
        <v>9553309.8671919592</v>
      </c>
      <c r="U1160">
        <v>24490918.109053701</v>
      </c>
      <c r="V1160">
        <v>825856.75400543294</v>
      </c>
    </row>
    <row r="1161" spans="1:22" x14ac:dyDescent="0.3">
      <c r="A1161" t="str">
        <f t="shared" si="36"/>
        <v>CMIGPrevisão</v>
      </c>
      <c r="B1161" t="str">
        <f t="shared" si="37"/>
        <v>CMIGPrevisãoSet-2023</v>
      </c>
      <c r="C1161" t="s">
        <v>424</v>
      </c>
      <c r="D1161" t="s">
        <v>425</v>
      </c>
      <c r="E1161" t="s">
        <v>413</v>
      </c>
      <c r="F1161" t="s">
        <v>736</v>
      </c>
      <c r="G1161" t="s">
        <v>737</v>
      </c>
      <c r="H1161" t="s">
        <v>738</v>
      </c>
      <c r="I1161" t="s">
        <v>739</v>
      </c>
      <c r="J1161" t="s">
        <v>739</v>
      </c>
      <c r="K1161" s="2">
        <v>45199</v>
      </c>
      <c r="L1161">
        <v>1779453.55132925</v>
      </c>
      <c r="M1161">
        <v>29495645.249899201</v>
      </c>
      <c r="N1161">
        <v>3722117.1167912199</v>
      </c>
      <c r="O1161">
        <v>3099554.0057122302</v>
      </c>
      <c r="P1161">
        <v>-29495645.249899201</v>
      </c>
      <c r="Q1161">
        <v>-2895489.8958241199</v>
      </c>
      <c r="R1161">
        <v>8653.9522964684802</v>
      </c>
      <c r="S1161">
        <v>300799.99120870797</v>
      </c>
      <c r="T1161">
        <v>9477611.9394681696</v>
      </c>
      <c r="U1161">
        <v>25524693.851239301</v>
      </c>
      <c r="V1161">
        <v>967608.15485040296</v>
      </c>
    </row>
    <row r="1162" spans="1:22" x14ac:dyDescent="0.3">
      <c r="A1162" t="str">
        <f t="shared" si="36"/>
        <v>CEBRPrevisão</v>
      </c>
      <c r="B1162" t="str">
        <f t="shared" si="37"/>
        <v>CEBRPrevisãoDez-2022</v>
      </c>
      <c r="C1162" t="s">
        <v>422</v>
      </c>
      <c r="D1162" t="s">
        <v>423</v>
      </c>
      <c r="E1162" t="s">
        <v>413</v>
      </c>
      <c r="F1162" t="s">
        <v>736</v>
      </c>
      <c r="G1162" t="s">
        <v>737</v>
      </c>
      <c r="H1162" t="s">
        <v>738</v>
      </c>
      <c r="I1162" t="s">
        <v>739</v>
      </c>
      <c r="J1162" t="s">
        <v>739</v>
      </c>
      <c r="K1162" s="2">
        <v>44925</v>
      </c>
      <c r="L1162">
        <v>121806.868602071</v>
      </c>
      <c r="M1162">
        <v>1606670.34122728</v>
      </c>
      <c r="N1162">
        <v>1025580.79161352</v>
      </c>
      <c r="O1162">
        <v>13102.876496055</v>
      </c>
      <c r="P1162">
        <v>-1606670.34122728</v>
      </c>
      <c r="Q1162">
        <v>-185950.768950047</v>
      </c>
      <c r="R1162">
        <v>780.35489347246596</v>
      </c>
      <c r="S1162">
        <v>47578.214667624503</v>
      </c>
      <c r="T1162">
        <v>293170.80723198003</v>
      </c>
      <c r="U1162">
        <v>1353048.1302942701</v>
      </c>
      <c r="V1162">
        <v>18083.1943807801</v>
      </c>
    </row>
    <row r="1163" spans="1:22" x14ac:dyDescent="0.3">
      <c r="A1163" t="str">
        <f t="shared" si="36"/>
        <v>CEBRPrevisão</v>
      </c>
      <c r="B1163" t="str">
        <f t="shared" si="37"/>
        <v>CEBRPrevisãoMar-2023</v>
      </c>
      <c r="C1163" t="s">
        <v>422</v>
      </c>
      <c r="D1163" t="s">
        <v>423</v>
      </c>
      <c r="E1163" t="s">
        <v>413</v>
      </c>
      <c r="F1163" t="s">
        <v>736</v>
      </c>
      <c r="G1163" t="s">
        <v>737</v>
      </c>
      <c r="H1163" t="s">
        <v>738</v>
      </c>
      <c r="I1163" t="s">
        <v>739</v>
      </c>
      <c r="J1163" t="s">
        <v>739</v>
      </c>
      <c r="K1163" s="2">
        <v>45015</v>
      </c>
      <c r="L1163">
        <v>114792.83189156299</v>
      </c>
      <c r="M1163">
        <v>1662104.73465734</v>
      </c>
      <c r="N1163">
        <v>1103026.2226281499</v>
      </c>
      <c r="O1163">
        <v>13499.325425504599</v>
      </c>
      <c r="P1163">
        <v>-1662104.73465734</v>
      </c>
      <c r="Q1163">
        <v>-188607.853603072</v>
      </c>
      <c r="R1163">
        <v>879.05451976033305</v>
      </c>
      <c r="S1163">
        <v>43752.152939729101</v>
      </c>
      <c r="T1163">
        <v>330650.01437724498</v>
      </c>
      <c r="U1163">
        <v>1389360.9831355901</v>
      </c>
      <c r="V1163">
        <v>19662.505890150202</v>
      </c>
    </row>
    <row r="1164" spans="1:22" x14ac:dyDescent="0.3">
      <c r="A1164" t="str">
        <f t="shared" si="36"/>
        <v>CEBRPrevisão</v>
      </c>
      <c r="B1164" t="str">
        <f t="shared" si="37"/>
        <v>CEBRPrevisãoJun-2023</v>
      </c>
      <c r="C1164" t="s">
        <v>422</v>
      </c>
      <c r="D1164" t="s">
        <v>423</v>
      </c>
      <c r="E1164" t="s">
        <v>413</v>
      </c>
      <c r="F1164" t="s">
        <v>736</v>
      </c>
      <c r="G1164" t="s">
        <v>737</v>
      </c>
      <c r="H1164" t="s">
        <v>738</v>
      </c>
      <c r="I1164" t="s">
        <v>739</v>
      </c>
      <c r="J1164" t="s">
        <v>739</v>
      </c>
      <c r="K1164" s="2">
        <v>45107</v>
      </c>
      <c r="L1164">
        <v>105395.87894263399</v>
      </c>
      <c r="M1164">
        <v>1716394.2702534001</v>
      </c>
      <c r="N1164">
        <v>1182795.0124021</v>
      </c>
      <c r="O1164">
        <v>13988.931501687401</v>
      </c>
      <c r="P1164">
        <v>-1716394.2702534001</v>
      </c>
      <c r="Q1164">
        <v>-190089.17089434699</v>
      </c>
      <c r="R1164">
        <v>987.93441352568504</v>
      </c>
      <c r="S1164">
        <v>38889.7950664249</v>
      </c>
      <c r="T1164">
        <v>370982.94703045499</v>
      </c>
      <c r="U1164">
        <v>1421624.95603242</v>
      </c>
      <c r="V1164">
        <v>21431.564178304299</v>
      </c>
    </row>
    <row r="1165" spans="1:22" x14ac:dyDescent="0.3">
      <c r="A1165" t="str">
        <f t="shared" si="36"/>
        <v>CEBRPrevisão</v>
      </c>
      <c r="B1165" t="str">
        <f t="shared" si="37"/>
        <v>CEBRPrevisãoSet-2023</v>
      </c>
      <c r="C1165" t="s">
        <v>422</v>
      </c>
      <c r="D1165" t="s">
        <v>423</v>
      </c>
      <c r="E1165" t="s">
        <v>413</v>
      </c>
      <c r="F1165" t="s">
        <v>736</v>
      </c>
      <c r="G1165" t="s">
        <v>737</v>
      </c>
      <c r="H1165" t="s">
        <v>738</v>
      </c>
      <c r="I1165" t="s">
        <v>739</v>
      </c>
      <c r="J1165" t="s">
        <v>739</v>
      </c>
      <c r="K1165" s="2">
        <v>45199</v>
      </c>
      <c r="L1165">
        <v>93465.7901267251</v>
      </c>
      <c r="M1165">
        <v>1769307.59693855</v>
      </c>
      <c r="N1165">
        <v>1264844.82323654</v>
      </c>
      <c r="O1165">
        <v>14576.0183225739</v>
      </c>
      <c r="P1165">
        <v>-1769307.59693855</v>
      </c>
      <c r="Q1165">
        <v>-190305.10285982999</v>
      </c>
      <c r="R1165">
        <v>1107.4745149698199</v>
      </c>
      <c r="S1165">
        <v>32928.684926281101</v>
      </c>
      <c r="T1165">
        <v>414265.84992403397</v>
      </c>
      <c r="U1165">
        <v>1449447.93293131</v>
      </c>
      <c r="V1165">
        <v>23399.994859013499</v>
      </c>
    </row>
    <row r="1166" spans="1:22" x14ac:dyDescent="0.3">
      <c r="A1166" t="str">
        <f t="shared" si="36"/>
        <v>CEEBPrevisão</v>
      </c>
      <c r="B1166" t="str">
        <f t="shared" si="37"/>
        <v>CEEBPrevisãoDez-2022</v>
      </c>
      <c r="C1166" t="s">
        <v>420</v>
      </c>
      <c r="D1166" t="s">
        <v>421</v>
      </c>
      <c r="E1166" t="s">
        <v>413</v>
      </c>
      <c r="F1166" t="s">
        <v>736</v>
      </c>
      <c r="G1166" t="s">
        <v>737</v>
      </c>
      <c r="H1166" t="s">
        <v>738</v>
      </c>
      <c r="I1166" t="s">
        <v>739</v>
      </c>
      <c r="J1166" t="s">
        <v>739</v>
      </c>
      <c r="K1166" s="2">
        <v>44925</v>
      </c>
      <c r="L1166">
        <v>470313.19039102801</v>
      </c>
      <c r="M1166">
        <v>28288463.6716743</v>
      </c>
      <c r="N1166">
        <v>6210888.2962396201</v>
      </c>
      <c r="O1166">
        <v>3070018.48001038</v>
      </c>
      <c r="P1166">
        <v>-28288463.6716743</v>
      </c>
      <c r="Q1166">
        <v>-5211298.2918258999</v>
      </c>
      <c r="R1166">
        <v>217814.96536796301</v>
      </c>
      <c r="S1166">
        <v>-85451.1313131309</v>
      </c>
      <c r="T1166">
        <v>2784140.0857314002</v>
      </c>
      <c r="U1166">
        <v>6602370.6600460801</v>
      </c>
      <c r="V1166">
        <v>3842114.5311093102</v>
      </c>
    </row>
    <row r="1167" spans="1:22" x14ac:dyDescent="0.3">
      <c r="A1167" t="str">
        <f t="shared" si="36"/>
        <v>CEEBPrevisão</v>
      </c>
      <c r="B1167" t="str">
        <f t="shared" si="37"/>
        <v>CEEBPrevisãoMar-2023</v>
      </c>
      <c r="C1167" t="s">
        <v>420</v>
      </c>
      <c r="D1167" t="s">
        <v>421</v>
      </c>
      <c r="E1167" t="s">
        <v>413</v>
      </c>
      <c r="F1167" t="s">
        <v>736</v>
      </c>
      <c r="G1167" t="s">
        <v>737</v>
      </c>
      <c r="H1167" t="s">
        <v>738</v>
      </c>
      <c r="I1167" t="s">
        <v>739</v>
      </c>
      <c r="J1167" t="s">
        <v>739</v>
      </c>
      <c r="K1167" s="2">
        <v>45015</v>
      </c>
      <c r="L1167">
        <v>495314.12018402998</v>
      </c>
      <c r="M1167">
        <v>29491305.465182699</v>
      </c>
      <c r="N1167">
        <v>6394602.5114785004</v>
      </c>
      <c r="O1167">
        <v>3206209.0345840701</v>
      </c>
      <c r="P1167">
        <v>-29491305.465182699</v>
      </c>
      <c r="Q1167">
        <v>-5349795.0492777703</v>
      </c>
      <c r="R1167">
        <v>232881.636776575</v>
      </c>
      <c r="S1167">
        <v>-127044.971387738</v>
      </c>
      <c r="T1167">
        <v>2913754.5593685801</v>
      </c>
      <c r="U1167">
        <v>6693477.9768479597</v>
      </c>
      <c r="V1167">
        <v>3972911.5663331999</v>
      </c>
    </row>
    <row r="1168" spans="1:22" x14ac:dyDescent="0.3">
      <c r="A1168" t="str">
        <f t="shared" si="36"/>
        <v>CEEBPrevisão</v>
      </c>
      <c r="B1168" t="str">
        <f t="shared" si="37"/>
        <v>CEEBPrevisãoJun-2023</v>
      </c>
      <c r="C1168" t="s">
        <v>420</v>
      </c>
      <c r="D1168" t="s">
        <v>421</v>
      </c>
      <c r="E1168" t="s">
        <v>413</v>
      </c>
      <c r="F1168" t="s">
        <v>736</v>
      </c>
      <c r="G1168" t="s">
        <v>737</v>
      </c>
      <c r="H1168" t="s">
        <v>738</v>
      </c>
      <c r="I1168" t="s">
        <v>739</v>
      </c>
      <c r="J1168" t="s">
        <v>739</v>
      </c>
      <c r="K1168" s="2">
        <v>45107</v>
      </c>
      <c r="L1168">
        <v>520111.776917952</v>
      </c>
      <c r="M1168">
        <v>30717964.523768101</v>
      </c>
      <c r="N1168">
        <v>6573092.8060362097</v>
      </c>
      <c r="O1168">
        <v>3346473.6508099302</v>
      </c>
      <c r="P1168">
        <v>-30717964.523768101</v>
      </c>
      <c r="Q1168">
        <v>-5486862.4947233004</v>
      </c>
      <c r="R1168">
        <v>248830.53055387101</v>
      </c>
      <c r="S1168">
        <v>-172334.587748705</v>
      </c>
      <c r="T1168">
        <v>3053266.6711320202</v>
      </c>
      <c r="U1168">
        <v>6768874.4270998901</v>
      </c>
      <c r="V1168">
        <v>4104895.8311660099</v>
      </c>
    </row>
    <row r="1169" spans="1:22" x14ac:dyDescent="0.3">
      <c r="A1169" t="str">
        <f t="shared" si="36"/>
        <v>CEEBPrevisão</v>
      </c>
      <c r="B1169" t="str">
        <f t="shared" si="37"/>
        <v>CEEBPrevisãoSet-2023</v>
      </c>
      <c r="C1169" t="s">
        <v>420</v>
      </c>
      <c r="D1169" t="s">
        <v>421</v>
      </c>
      <c r="E1169" t="s">
        <v>413</v>
      </c>
      <c r="F1169" t="s">
        <v>736</v>
      </c>
      <c r="G1169" t="s">
        <v>737</v>
      </c>
      <c r="H1169" t="s">
        <v>738</v>
      </c>
      <c r="I1169" t="s">
        <v>739</v>
      </c>
      <c r="J1169" t="s">
        <v>739</v>
      </c>
      <c r="K1169" s="2">
        <v>45199</v>
      </c>
      <c r="L1169">
        <v>544607.28219722002</v>
      </c>
      <c r="M1169">
        <v>31967787.2957641</v>
      </c>
      <c r="N1169">
        <v>6745720.55605953</v>
      </c>
      <c r="O1169">
        <v>3490773.5493179001</v>
      </c>
      <c r="P1169">
        <v>-31967787.2957641</v>
      </c>
      <c r="Q1169">
        <v>-5622259.6211833199</v>
      </c>
      <c r="R1169">
        <v>265687.55165538198</v>
      </c>
      <c r="S1169">
        <v>-221465.33689004599</v>
      </c>
      <c r="T1169">
        <v>3203150.13003287</v>
      </c>
      <c r="U1169">
        <v>6827392.3588165399</v>
      </c>
      <c r="V1169">
        <v>4237906.5118625201</v>
      </c>
    </row>
    <row r="1170" spans="1:22" x14ac:dyDescent="0.3">
      <c r="A1170" t="str">
        <f t="shared" si="36"/>
        <v>CESPPrevisão</v>
      </c>
      <c r="B1170" t="str">
        <f t="shared" si="37"/>
        <v>CESPPrevisãoDez-2022</v>
      </c>
      <c r="C1170" t="s">
        <v>418</v>
      </c>
      <c r="D1170" t="s">
        <v>419</v>
      </c>
      <c r="E1170" t="s">
        <v>413</v>
      </c>
      <c r="F1170" t="s">
        <v>736</v>
      </c>
      <c r="G1170" t="s">
        <v>737</v>
      </c>
      <c r="H1170" t="s">
        <v>738</v>
      </c>
      <c r="I1170" t="s">
        <v>739</v>
      </c>
      <c r="J1170" t="s">
        <v>739</v>
      </c>
      <c r="K1170" s="2">
        <v>44925</v>
      </c>
      <c r="L1170">
        <v>266359.24115079001</v>
      </c>
      <c r="M1170">
        <v>16134349.4548016</v>
      </c>
      <c r="N1170">
        <v>1268892.30854803</v>
      </c>
      <c r="O1170">
        <v>316391.38918586099</v>
      </c>
      <c r="P1170">
        <v>-16134349.4548016</v>
      </c>
      <c r="Q1170">
        <v>-1110492.8114764199</v>
      </c>
      <c r="R1170">
        <v>0</v>
      </c>
      <c r="S1170">
        <v>50612.924794151601</v>
      </c>
      <c r="T1170">
        <v>2544530.2864781502</v>
      </c>
      <c r="U1170">
        <v>8502490.6529155392</v>
      </c>
      <c r="V1170">
        <v>693833.55708330602</v>
      </c>
    </row>
    <row r="1171" spans="1:22" x14ac:dyDescent="0.3">
      <c r="A1171" t="str">
        <f t="shared" si="36"/>
        <v>CESPPrevisão</v>
      </c>
      <c r="B1171" t="str">
        <f t="shared" si="37"/>
        <v>CESPPrevisãoMar-2023</v>
      </c>
      <c r="C1171" t="s">
        <v>418</v>
      </c>
      <c r="D1171" t="s">
        <v>419</v>
      </c>
      <c r="E1171" t="s">
        <v>413</v>
      </c>
      <c r="F1171" t="s">
        <v>736</v>
      </c>
      <c r="G1171" t="s">
        <v>737</v>
      </c>
      <c r="H1171" t="s">
        <v>738</v>
      </c>
      <c r="I1171" t="s">
        <v>739</v>
      </c>
      <c r="J1171" t="s">
        <v>739</v>
      </c>
      <c r="K1171" s="2">
        <v>45015</v>
      </c>
      <c r="L1171">
        <v>345667.861567994</v>
      </c>
      <c r="M1171">
        <v>17015115.781273302</v>
      </c>
      <c r="N1171">
        <v>1432695.1110175301</v>
      </c>
      <c r="O1171">
        <v>367700.56703979801</v>
      </c>
      <c r="P1171">
        <v>-17015115.781273302</v>
      </c>
      <c r="Q1171">
        <v>-1286365.33962878</v>
      </c>
      <c r="R1171">
        <v>0</v>
      </c>
      <c r="S1171">
        <v>59339.866108269598</v>
      </c>
      <c r="T1171">
        <v>2810644.4715998801</v>
      </c>
      <c r="U1171">
        <v>8929884.7932812292</v>
      </c>
      <c r="V1171">
        <v>817623.82921182096</v>
      </c>
    </row>
    <row r="1172" spans="1:22" x14ac:dyDescent="0.3">
      <c r="A1172" t="str">
        <f t="shared" si="36"/>
        <v>CESPPrevisão</v>
      </c>
      <c r="B1172" t="str">
        <f t="shared" si="37"/>
        <v>CESPPrevisãoJun-2023</v>
      </c>
      <c r="C1172" t="s">
        <v>418</v>
      </c>
      <c r="D1172" t="s">
        <v>419</v>
      </c>
      <c r="E1172" t="s">
        <v>413</v>
      </c>
      <c r="F1172" t="s">
        <v>736</v>
      </c>
      <c r="G1172" t="s">
        <v>737</v>
      </c>
      <c r="H1172" t="s">
        <v>738</v>
      </c>
      <c r="I1172" t="s">
        <v>739</v>
      </c>
      <c r="J1172" t="s">
        <v>739</v>
      </c>
      <c r="K1172" s="2">
        <v>45107</v>
      </c>
      <c r="L1172">
        <v>436418.16633808299</v>
      </c>
      <c r="M1172">
        <v>17983330.3057236</v>
      </c>
      <c r="N1172">
        <v>1625568.6273286601</v>
      </c>
      <c r="O1172">
        <v>426727.22526071803</v>
      </c>
      <c r="P1172">
        <v>-17983330.3057236</v>
      </c>
      <c r="Q1172">
        <v>-1488930.68900714</v>
      </c>
      <c r="R1172">
        <v>0</v>
      </c>
      <c r="S1172">
        <v>69409.705006353295</v>
      </c>
      <c r="T1172">
        <v>3099236.8670494198</v>
      </c>
      <c r="U1172">
        <v>9412398.6466086693</v>
      </c>
      <c r="V1172">
        <v>959937.15920105996</v>
      </c>
    </row>
    <row r="1173" spans="1:22" x14ac:dyDescent="0.3">
      <c r="A1173" t="str">
        <f t="shared" si="36"/>
        <v>CESPPrevisão</v>
      </c>
      <c r="B1173" t="str">
        <f t="shared" si="37"/>
        <v>CESPPrevisãoSet-2023</v>
      </c>
      <c r="C1173" t="s">
        <v>418</v>
      </c>
      <c r="D1173" t="s">
        <v>419</v>
      </c>
      <c r="E1173" t="s">
        <v>413</v>
      </c>
      <c r="F1173" t="s">
        <v>736</v>
      </c>
      <c r="G1173" t="s">
        <v>737</v>
      </c>
      <c r="H1173" t="s">
        <v>738</v>
      </c>
      <c r="I1173" t="s">
        <v>739</v>
      </c>
      <c r="J1173" t="s">
        <v>739</v>
      </c>
      <c r="K1173" s="2">
        <v>45199</v>
      </c>
      <c r="L1173">
        <v>539206.28452555998</v>
      </c>
      <c r="M1173">
        <v>19041741.088347498</v>
      </c>
      <c r="N1173">
        <v>1849184.8088696301</v>
      </c>
      <c r="O1173">
        <v>493854.02163923398</v>
      </c>
      <c r="P1173">
        <v>-19041741.088347498</v>
      </c>
      <c r="Q1173">
        <v>-1719521.69555668</v>
      </c>
      <c r="R1173">
        <v>0</v>
      </c>
      <c r="S1173">
        <v>80884.974763326201</v>
      </c>
      <c r="T1173">
        <v>3411190.30240147</v>
      </c>
      <c r="U1173">
        <v>9952291.6974095199</v>
      </c>
      <c r="V1173">
        <v>1121706.1560762101</v>
      </c>
    </row>
    <row r="1174" spans="1:22" x14ac:dyDescent="0.3">
      <c r="A1174" t="str">
        <f t="shared" si="36"/>
        <v>CLSCPrevisão</v>
      </c>
      <c r="B1174" t="str">
        <f t="shared" si="37"/>
        <v>CLSCPrevisãoDez-2022</v>
      </c>
      <c r="C1174" t="s">
        <v>416</v>
      </c>
      <c r="D1174" t="s">
        <v>417</v>
      </c>
      <c r="E1174" t="s">
        <v>413</v>
      </c>
      <c r="F1174" t="s">
        <v>736</v>
      </c>
      <c r="G1174" t="s">
        <v>737</v>
      </c>
      <c r="H1174" t="s">
        <v>738</v>
      </c>
      <c r="I1174" t="s">
        <v>739</v>
      </c>
      <c r="J1174" t="s">
        <v>739</v>
      </c>
      <c r="K1174" s="2">
        <v>44925</v>
      </c>
      <c r="L1174">
        <v>147196.47092771</v>
      </c>
      <c r="M1174">
        <v>3306168.1677279598</v>
      </c>
      <c r="N1174">
        <v>292423.69518718403</v>
      </c>
      <c r="O1174">
        <v>-164.275613275105</v>
      </c>
      <c r="P1174">
        <v>-3306168.1677279598</v>
      </c>
      <c r="Q1174">
        <v>-204657.51566084501</v>
      </c>
      <c r="R1174">
        <v>2231.3234020881</v>
      </c>
      <c r="S1174">
        <v>8811.5212630513106</v>
      </c>
      <c r="T1174">
        <v>1032971.96358537</v>
      </c>
      <c r="U1174">
        <v>3077529.7812581202</v>
      </c>
      <c r="V1174">
        <v>148413.32408113501</v>
      </c>
    </row>
    <row r="1175" spans="1:22" x14ac:dyDescent="0.3">
      <c r="A1175" t="str">
        <f t="shared" si="36"/>
        <v>CLSCPrevisão</v>
      </c>
      <c r="B1175" t="str">
        <f t="shared" si="37"/>
        <v>CLSCPrevisãoMar-2023</v>
      </c>
      <c r="C1175" t="s">
        <v>416</v>
      </c>
      <c r="D1175" t="s">
        <v>417</v>
      </c>
      <c r="E1175" t="s">
        <v>413</v>
      </c>
      <c r="F1175" t="s">
        <v>736</v>
      </c>
      <c r="G1175" t="s">
        <v>737</v>
      </c>
      <c r="H1175" t="s">
        <v>738</v>
      </c>
      <c r="I1175" t="s">
        <v>739</v>
      </c>
      <c r="J1175" t="s">
        <v>739</v>
      </c>
      <c r="K1175" s="2">
        <v>45015</v>
      </c>
      <c r="L1175">
        <v>147205.416453824</v>
      </c>
      <c r="M1175">
        <v>3557657.5001941798</v>
      </c>
      <c r="N1175">
        <v>328527.33529483102</v>
      </c>
      <c r="O1175">
        <v>-235.17248111312099</v>
      </c>
      <c r="P1175">
        <v>-3557657.5001941798</v>
      </c>
      <c r="Q1175">
        <v>-232901.17279545299</v>
      </c>
      <c r="R1175">
        <v>2487.6181597946602</v>
      </c>
      <c r="S1175">
        <v>10389.209891328301</v>
      </c>
      <c r="T1175">
        <v>958555.85540154495</v>
      </c>
      <c r="U1175">
        <v>3297143.5679875999</v>
      </c>
      <c r="V1175">
        <v>149055.869191559</v>
      </c>
    </row>
    <row r="1176" spans="1:22" x14ac:dyDescent="0.3">
      <c r="A1176" t="str">
        <f t="shared" si="36"/>
        <v>CLSCPrevisão</v>
      </c>
      <c r="B1176" t="str">
        <f t="shared" si="37"/>
        <v>CLSCPrevisãoJun-2023</v>
      </c>
      <c r="C1176" t="s">
        <v>416</v>
      </c>
      <c r="D1176" t="s">
        <v>417</v>
      </c>
      <c r="E1176" t="s">
        <v>413</v>
      </c>
      <c r="F1176" t="s">
        <v>736</v>
      </c>
      <c r="G1176" t="s">
        <v>737</v>
      </c>
      <c r="H1176" t="s">
        <v>738</v>
      </c>
      <c r="I1176" t="s">
        <v>739</v>
      </c>
      <c r="J1176" t="s">
        <v>739</v>
      </c>
      <c r="K1176" s="2">
        <v>45107</v>
      </c>
      <c r="L1176">
        <v>145842.45909329501</v>
      </c>
      <c r="M1176">
        <v>3836254.4025245202</v>
      </c>
      <c r="N1176">
        <v>367809.628228719</v>
      </c>
      <c r="O1176">
        <v>-317.98307132615901</v>
      </c>
      <c r="P1176">
        <v>-3836254.4025245202</v>
      </c>
      <c r="Q1176">
        <v>-263778.040080746</v>
      </c>
      <c r="R1176">
        <v>2771.1554739574099</v>
      </c>
      <c r="S1176">
        <v>12118.5364806736</v>
      </c>
      <c r="T1176">
        <v>874136.97667848703</v>
      </c>
      <c r="U1176">
        <v>3540839.9153646301</v>
      </c>
      <c r="V1176">
        <v>148412.405543637</v>
      </c>
    </row>
    <row r="1177" spans="1:22" x14ac:dyDescent="0.3">
      <c r="A1177" t="str">
        <f t="shared" si="36"/>
        <v>CLSCPrevisão</v>
      </c>
      <c r="B1177" t="str">
        <f t="shared" si="37"/>
        <v>CLSCPrevisãoSet-2023</v>
      </c>
      <c r="C1177" t="s">
        <v>416</v>
      </c>
      <c r="D1177" t="s">
        <v>417</v>
      </c>
      <c r="E1177" t="s">
        <v>413</v>
      </c>
      <c r="F1177" t="s">
        <v>736</v>
      </c>
      <c r="G1177" t="s">
        <v>737</v>
      </c>
      <c r="H1177" t="s">
        <v>738</v>
      </c>
      <c r="I1177" t="s">
        <v>739</v>
      </c>
      <c r="J1177" t="s">
        <v>739</v>
      </c>
      <c r="K1177" s="2">
        <v>45199</v>
      </c>
      <c r="L1177">
        <v>143007.38189412499</v>
      </c>
      <c r="M1177">
        <v>4143194.2024716898</v>
      </c>
      <c r="N1177">
        <v>410394.755287037</v>
      </c>
      <c r="O1177">
        <v>-413.46577919274</v>
      </c>
      <c r="P1177">
        <v>-4143194.2024716898</v>
      </c>
      <c r="Q1177">
        <v>-297398.68894738401</v>
      </c>
      <c r="R1177">
        <v>3083.2260223809399</v>
      </c>
      <c r="S1177">
        <v>14005.6192178402</v>
      </c>
      <c r="T1177">
        <v>779263.89873412496</v>
      </c>
      <c r="U1177">
        <v>3809725.8651247001</v>
      </c>
      <c r="V1177">
        <v>146387.356508975</v>
      </c>
    </row>
    <row r="1178" spans="1:22" x14ac:dyDescent="0.3">
      <c r="A1178" t="str">
        <f t="shared" si="36"/>
        <v>CBEEPrevisão</v>
      </c>
      <c r="B1178" t="str">
        <f t="shared" si="37"/>
        <v>CBEEPrevisãoDez-2022</v>
      </c>
      <c r="C1178" t="s">
        <v>414</v>
      </c>
      <c r="D1178" t="s">
        <v>415</v>
      </c>
      <c r="E1178" t="s">
        <v>413</v>
      </c>
      <c r="F1178" t="s">
        <v>736</v>
      </c>
      <c r="G1178" t="s">
        <v>737</v>
      </c>
      <c r="H1178" t="s">
        <v>738</v>
      </c>
      <c r="I1178" t="s">
        <v>739</v>
      </c>
      <c r="J1178" t="s">
        <v>739</v>
      </c>
      <c r="K1178" s="2">
        <v>44925</v>
      </c>
      <c r="L1178">
        <v>-87024.363296749696</v>
      </c>
      <c r="M1178">
        <v>18391348.167473</v>
      </c>
      <c r="N1178">
        <v>3832763.2504880698</v>
      </c>
      <c r="O1178">
        <v>2079271.1476954599</v>
      </c>
      <c r="P1178">
        <v>-18391348.167473</v>
      </c>
      <c r="Q1178">
        <v>-5287373.3046430703</v>
      </c>
      <c r="R1178">
        <v>74520.637382226399</v>
      </c>
      <c r="S1178">
        <v>180475.27298197601</v>
      </c>
      <c r="T1178">
        <v>1414288.58925444</v>
      </c>
      <c r="U1178">
        <v>5036105.3974194601</v>
      </c>
      <c r="V1178">
        <v>2126071.9769968502</v>
      </c>
    </row>
    <row r="1179" spans="1:22" x14ac:dyDescent="0.3">
      <c r="A1179" t="str">
        <f t="shared" si="36"/>
        <v>CBEEPrevisão</v>
      </c>
      <c r="B1179" t="str">
        <f t="shared" si="37"/>
        <v>CBEEPrevisãoMar-2023</v>
      </c>
      <c r="C1179" t="s">
        <v>414</v>
      </c>
      <c r="D1179" t="s">
        <v>415</v>
      </c>
      <c r="E1179" t="s">
        <v>413</v>
      </c>
      <c r="F1179" t="s">
        <v>736</v>
      </c>
      <c r="G1179" t="s">
        <v>737</v>
      </c>
      <c r="H1179" t="s">
        <v>738</v>
      </c>
      <c r="I1179" t="s">
        <v>739</v>
      </c>
      <c r="J1179" t="s">
        <v>739</v>
      </c>
      <c r="K1179" s="2">
        <v>45015</v>
      </c>
      <c r="L1179">
        <v>-107067.016212462</v>
      </c>
      <c r="M1179">
        <v>19418132.515679099</v>
      </c>
      <c r="N1179">
        <v>3948815.44831463</v>
      </c>
      <c r="O1179">
        <v>2078993.1728092099</v>
      </c>
      <c r="P1179">
        <v>-19418132.515679099</v>
      </c>
      <c r="Q1179">
        <v>-5532688.4292619601</v>
      </c>
      <c r="R1179">
        <v>76104.822448881896</v>
      </c>
      <c r="S1179">
        <v>170043.42420118899</v>
      </c>
      <c r="T1179">
        <v>1523313.2310414801</v>
      </c>
      <c r="U1179">
        <v>5281725.9825163996</v>
      </c>
      <c r="V1179">
        <v>2207795.8681660998</v>
      </c>
    </row>
    <row r="1180" spans="1:22" x14ac:dyDescent="0.3">
      <c r="A1180" t="str">
        <f t="shared" si="36"/>
        <v>CBEEPrevisão</v>
      </c>
      <c r="B1180" t="str">
        <f t="shared" si="37"/>
        <v>CBEEPrevisãoJun-2023</v>
      </c>
      <c r="C1180" t="s">
        <v>414</v>
      </c>
      <c r="D1180" t="s">
        <v>415</v>
      </c>
      <c r="E1180" t="s">
        <v>413</v>
      </c>
      <c r="F1180" t="s">
        <v>736</v>
      </c>
      <c r="G1180" t="s">
        <v>737</v>
      </c>
      <c r="H1180" t="s">
        <v>738</v>
      </c>
      <c r="I1180" t="s">
        <v>739</v>
      </c>
      <c r="J1180" t="s">
        <v>739</v>
      </c>
      <c r="K1180" s="2">
        <v>45107</v>
      </c>
      <c r="L1180">
        <v>-129763.252067676</v>
      </c>
      <c r="M1180">
        <v>20507077.489091601</v>
      </c>
      <c r="N1180">
        <v>4065870.15336604</v>
      </c>
      <c r="O1180">
        <v>2073208.13656853</v>
      </c>
      <c r="P1180">
        <v>-20507077.489091601</v>
      </c>
      <c r="Q1180">
        <v>-5784951.4608212104</v>
      </c>
      <c r="R1180">
        <v>77696.147748327799</v>
      </c>
      <c r="S1180">
        <v>157327.46418299299</v>
      </c>
      <c r="T1180">
        <v>1647564.93473572</v>
      </c>
      <c r="U1180">
        <v>5544175.4916299302</v>
      </c>
      <c r="V1180">
        <v>2293932.2207896099</v>
      </c>
    </row>
    <row r="1181" spans="1:22" x14ac:dyDescent="0.3">
      <c r="A1181" t="str">
        <f t="shared" si="36"/>
        <v>CBEEPrevisão</v>
      </c>
      <c r="B1181" t="str">
        <f t="shared" si="37"/>
        <v>CBEEPrevisãoSet-2023</v>
      </c>
      <c r="C1181" t="s">
        <v>414</v>
      </c>
      <c r="D1181" t="s">
        <v>415</v>
      </c>
      <c r="E1181" t="s">
        <v>413</v>
      </c>
      <c r="F1181" t="s">
        <v>736</v>
      </c>
      <c r="G1181" t="s">
        <v>737</v>
      </c>
      <c r="H1181" t="s">
        <v>738</v>
      </c>
      <c r="I1181" t="s">
        <v>739</v>
      </c>
      <c r="J1181" t="s">
        <v>739</v>
      </c>
      <c r="K1181" s="2">
        <v>45199</v>
      </c>
      <c r="L1181">
        <v>-155262.860249928</v>
      </c>
      <c r="M1181">
        <v>21660409.371504501</v>
      </c>
      <c r="N1181">
        <v>4183876.0719949701</v>
      </c>
      <c r="O1181">
        <v>2061669.3052194901</v>
      </c>
      <c r="P1181">
        <v>-21660409.371504501</v>
      </c>
      <c r="Q1181">
        <v>-6044173.6802647496</v>
      </c>
      <c r="R1181">
        <v>79294.492731211198</v>
      </c>
      <c r="S1181">
        <v>142204.154300703</v>
      </c>
      <c r="T1181">
        <v>1787902.2927437201</v>
      </c>
      <c r="U1181">
        <v>5824140.9178256001</v>
      </c>
      <c r="V1181">
        <v>2384639.33984217</v>
      </c>
    </row>
    <row r="1182" spans="1:22" x14ac:dyDescent="0.3">
      <c r="A1182" t="str">
        <f t="shared" si="36"/>
        <v>AFLTPrevisão</v>
      </c>
      <c r="B1182" t="str">
        <f t="shared" si="37"/>
        <v>AFLTPrevisãoDez-2022</v>
      </c>
      <c r="C1182" t="s">
        <v>411</v>
      </c>
      <c r="D1182" t="s">
        <v>412</v>
      </c>
      <c r="E1182" t="s">
        <v>413</v>
      </c>
      <c r="F1182" t="s">
        <v>736</v>
      </c>
      <c r="G1182" t="s">
        <v>737</v>
      </c>
      <c r="H1182" t="s">
        <v>738</v>
      </c>
      <c r="I1182" t="s">
        <v>739</v>
      </c>
      <c r="J1182" t="s">
        <v>739</v>
      </c>
      <c r="K1182" s="2">
        <v>44925</v>
      </c>
      <c r="L1182">
        <v>14366.9009421954</v>
      </c>
      <c r="M1182">
        <v>338493.39334522601</v>
      </c>
      <c r="N1182">
        <v>69924.840251253598</v>
      </c>
      <c r="O1182">
        <v>7728.3579492400804</v>
      </c>
      <c r="P1182">
        <v>-338493.39334522601</v>
      </c>
      <c r="Q1182">
        <v>-20044.694592997199</v>
      </c>
      <c r="R1182">
        <v>848.50454121038194</v>
      </c>
      <c r="S1182">
        <v>1582.17375435026</v>
      </c>
      <c r="T1182">
        <v>234078.46541041401</v>
      </c>
      <c r="U1182">
        <v>297691.30837789603</v>
      </c>
      <c r="V1182">
        <v>24882.929887103899</v>
      </c>
    </row>
    <row r="1183" spans="1:22" x14ac:dyDescent="0.3">
      <c r="A1183" t="str">
        <f t="shared" si="36"/>
        <v>AFLTPrevisão</v>
      </c>
      <c r="B1183" t="str">
        <f t="shared" si="37"/>
        <v>AFLTPrevisãoMar-2023</v>
      </c>
      <c r="C1183" t="s">
        <v>411</v>
      </c>
      <c r="D1183" t="s">
        <v>412</v>
      </c>
      <c r="E1183" t="s">
        <v>413</v>
      </c>
      <c r="F1183" t="s">
        <v>736</v>
      </c>
      <c r="G1183" t="s">
        <v>737</v>
      </c>
      <c r="H1183" t="s">
        <v>738</v>
      </c>
      <c r="I1183" t="s">
        <v>739</v>
      </c>
      <c r="J1183" t="s">
        <v>739</v>
      </c>
      <c r="K1183" s="2">
        <v>45015</v>
      </c>
      <c r="L1183">
        <v>15926.6308715137</v>
      </c>
      <c r="M1183">
        <v>362631.82033371099</v>
      </c>
      <c r="N1183">
        <v>71361.296276416193</v>
      </c>
      <c r="O1183">
        <v>8393.6025138964596</v>
      </c>
      <c r="P1183">
        <v>-362631.82033371099</v>
      </c>
      <c r="Q1183">
        <v>-22864.9399284795</v>
      </c>
      <c r="R1183">
        <v>949.57763187169996</v>
      </c>
      <c r="S1183">
        <v>1683.9125206184699</v>
      </c>
      <c r="T1183">
        <v>256047.928414289</v>
      </c>
      <c r="U1183">
        <v>317144.70228287601</v>
      </c>
      <c r="V1183">
        <v>28184.837271187898</v>
      </c>
    </row>
    <row r="1184" spans="1:22" x14ac:dyDescent="0.3">
      <c r="A1184" t="str">
        <f t="shared" si="36"/>
        <v>AFLTPrevisão</v>
      </c>
      <c r="B1184" t="str">
        <f t="shared" si="37"/>
        <v>AFLTPrevisãoJun-2023</v>
      </c>
      <c r="C1184" t="s">
        <v>411</v>
      </c>
      <c r="D1184" t="s">
        <v>412</v>
      </c>
      <c r="E1184" t="s">
        <v>413</v>
      </c>
      <c r="F1184" t="s">
        <v>736</v>
      </c>
      <c r="G1184" t="s">
        <v>737</v>
      </c>
      <c r="H1184" t="s">
        <v>738</v>
      </c>
      <c r="I1184" t="s">
        <v>739</v>
      </c>
      <c r="J1184" t="s">
        <v>739</v>
      </c>
      <c r="K1184" s="2">
        <v>45107</v>
      </c>
      <c r="L1184">
        <v>17628.078748686199</v>
      </c>
      <c r="M1184">
        <v>388068.67802027398</v>
      </c>
      <c r="N1184">
        <v>72960.064955594193</v>
      </c>
      <c r="O1184">
        <v>9124.8167190147506</v>
      </c>
      <c r="P1184">
        <v>-388068.67802027398</v>
      </c>
      <c r="Q1184">
        <v>-25988.524622257901</v>
      </c>
      <c r="R1184">
        <v>1058.0399015073299</v>
      </c>
      <c r="S1184">
        <v>1794.68911161182</v>
      </c>
      <c r="T1184">
        <v>279303.37455783098</v>
      </c>
      <c r="U1184">
        <v>337459.51586473902</v>
      </c>
      <c r="V1184">
        <v>31836.268779935399</v>
      </c>
    </row>
    <row r="1185" spans="1:22" x14ac:dyDescent="0.3">
      <c r="A1185" t="str">
        <f t="shared" si="36"/>
        <v>AFLTPrevisão</v>
      </c>
      <c r="B1185" t="str">
        <f t="shared" si="37"/>
        <v>AFLTPrevisãoSet-2023</v>
      </c>
      <c r="C1185" t="s">
        <v>411</v>
      </c>
      <c r="D1185" t="s">
        <v>412</v>
      </c>
      <c r="E1185" t="s">
        <v>413</v>
      </c>
      <c r="F1185" t="s">
        <v>736</v>
      </c>
      <c r="G1185" t="s">
        <v>737</v>
      </c>
      <c r="H1185" t="s">
        <v>738</v>
      </c>
      <c r="I1185" t="s">
        <v>739</v>
      </c>
      <c r="J1185" t="s">
        <v>739</v>
      </c>
      <c r="K1185" s="2">
        <v>45199</v>
      </c>
      <c r="L1185">
        <v>19476.942558042501</v>
      </c>
      <c r="M1185">
        <v>414831.72709056002</v>
      </c>
      <c r="N1185">
        <v>74727.944079520603</v>
      </c>
      <c r="O1185">
        <v>9924.8730876408499</v>
      </c>
      <c r="P1185">
        <v>-414831.72709056002</v>
      </c>
      <c r="Q1185">
        <v>-29429.630355266501</v>
      </c>
      <c r="R1185">
        <v>1174.14500781057</v>
      </c>
      <c r="S1185">
        <v>1914.8671864493799</v>
      </c>
      <c r="T1185">
        <v>303878.798019354</v>
      </c>
      <c r="U1185">
        <v>358644.69150905102</v>
      </c>
      <c r="V1185">
        <v>35853.085797084001</v>
      </c>
    </row>
    <row r="1186" spans="1:22" x14ac:dyDescent="0.3">
      <c r="A1186" t="str">
        <f t="shared" si="36"/>
        <v>VIVRPrevisão</v>
      </c>
      <c r="B1186" t="str">
        <f t="shared" si="37"/>
        <v>VIVRPrevisãoDez-2022</v>
      </c>
      <c r="C1186" t="s">
        <v>227</v>
      </c>
      <c r="D1186" t="s">
        <v>228</v>
      </c>
      <c r="E1186" t="s">
        <v>168</v>
      </c>
      <c r="F1186" t="s">
        <v>736</v>
      </c>
      <c r="G1186" t="s">
        <v>737</v>
      </c>
      <c r="H1186" t="s">
        <v>738</v>
      </c>
      <c r="I1186" t="s">
        <v>739</v>
      </c>
      <c r="J1186" t="s">
        <v>739</v>
      </c>
      <c r="K1186" s="2">
        <v>44925</v>
      </c>
      <c r="L1186">
        <v>-1555.54978356374</v>
      </c>
      <c r="M1186">
        <v>36627.581020494901</v>
      </c>
      <c r="N1186">
        <v>26603.5246583222</v>
      </c>
      <c r="O1186">
        <v>4962.3691537320501</v>
      </c>
      <c r="P1186">
        <v>-36627.581020494901</v>
      </c>
      <c r="Q1186">
        <v>-172076.890840988</v>
      </c>
      <c r="R1186">
        <v>13319.2416603027</v>
      </c>
      <c r="S1186">
        <v>1353.78974620133</v>
      </c>
      <c r="T1186">
        <v>0</v>
      </c>
      <c r="U1186">
        <v>-113766.397674066</v>
      </c>
      <c r="V1186">
        <v>11443.978864271399</v>
      </c>
    </row>
    <row r="1187" spans="1:22" x14ac:dyDescent="0.3">
      <c r="A1187" t="str">
        <f t="shared" si="36"/>
        <v>VIVRPrevisão</v>
      </c>
      <c r="B1187" t="str">
        <f t="shared" si="37"/>
        <v>VIVRPrevisãoMar-2023</v>
      </c>
      <c r="C1187" t="s">
        <v>227</v>
      </c>
      <c r="D1187" t="s">
        <v>228</v>
      </c>
      <c r="E1187" t="s">
        <v>168</v>
      </c>
      <c r="F1187" t="s">
        <v>736</v>
      </c>
      <c r="G1187" t="s">
        <v>737</v>
      </c>
      <c r="H1187" t="s">
        <v>738</v>
      </c>
      <c r="I1187" t="s">
        <v>739</v>
      </c>
      <c r="J1187" t="s">
        <v>739</v>
      </c>
      <c r="K1187" s="2">
        <v>45015</v>
      </c>
      <c r="L1187">
        <v>-569.10011082314998</v>
      </c>
      <c r="M1187">
        <v>-332.46280641481201</v>
      </c>
      <c r="N1187">
        <v>33601.415992726397</v>
      </c>
      <c r="O1187">
        <v>6708.6100845040401</v>
      </c>
      <c r="P1187">
        <v>332.46280641481201</v>
      </c>
      <c r="Q1187">
        <v>-148714.02509518401</v>
      </c>
      <c r="R1187">
        <v>15824.6130943807</v>
      </c>
      <c r="S1187">
        <v>1584.9182398590999</v>
      </c>
      <c r="T1187">
        <v>0</v>
      </c>
      <c r="U1187">
        <v>-108943.205959096</v>
      </c>
      <c r="V1187">
        <v>14305.3437256946</v>
      </c>
    </row>
    <row r="1188" spans="1:22" x14ac:dyDescent="0.3">
      <c r="A1188" t="str">
        <f t="shared" si="36"/>
        <v>VIVRPrevisão</v>
      </c>
      <c r="B1188" t="str">
        <f t="shared" si="37"/>
        <v>VIVRPrevisãoJun-2023</v>
      </c>
      <c r="C1188" t="s">
        <v>227</v>
      </c>
      <c r="D1188" t="s">
        <v>228</v>
      </c>
      <c r="E1188" t="s">
        <v>168</v>
      </c>
      <c r="F1188" t="s">
        <v>736</v>
      </c>
      <c r="G1188" t="s">
        <v>737</v>
      </c>
      <c r="H1188" t="s">
        <v>738</v>
      </c>
      <c r="I1188" t="s">
        <v>739</v>
      </c>
      <c r="J1188" t="s">
        <v>739</v>
      </c>
      <c r="K1188" s="2">
        <v>45107</v>
      </c>
      <c r="L1188">
        <v>-145.83126846494901</v>
      </c>
      <c r="M1188">
        <v>-39008.213660331399</v>
      </c>
      <c r="N1188">
        <v>41104.940663612797</v>
      </c>
      <c r="O1188">
        <v>8746.6951711202801</v>
      </c>
      <c r="P1188">
        <v>39008.213660331399</v>
      </c>
      <c r="Q1188">
        <v>-130524.656235114</v>
      </c>
      <c r="R1188">
        <v>18594.985549221401</v>
      </c>
      <c r="S1188">
        <v>1852.0301267448101</v>
      </c>
      <c r="T1188">
        <v>0</v>
      </c>
      <c r="U1188">
        <v>-107280.613297772</v>
      </c>
      <c r="V1188">
        <v>17425.225350553901</v>
      </c>
    </row>
    <row r="1189" spans="1:22" x14ac:dyDescent="0.3">
      <c r="A1189" t="str">
        <f t="shared" si="36"/>
        <v>VIVRPrevisão</v>
      </c>
      <c r="B1189" t="str">
        <f t="shared" si="37"/>
        <v>VIVRPrevisãoSet-2023</v>
      </c>
      <c r="C1189" t="s">
        <v>227</v>
      </c>
      <c r="D1189" t="s">
        <v>228</v>
      </c>
      <c r="E1189" t="s">
        <v>168</v>
      </c>
      <c r="F1189" t="s">
        <v>736</v>
      </c>
      <c r="G1189" t="s">
        <v>737</v>
      </c>
      <c r="H1189" t="s">
        <v>738</v>
      </c>
      <c r="I1189" t="s">
        <v>739</v>
      </c>
      <c r="J1189" t="s">
        <v>739</v>
      </c>
      <c r="K1189" s="2">
        <v>45199</v>
      </c>
      <c r="L1189">
        <v>-333.97971269457003</v>
      </c>
      <c r="M1189">
        <v>-79682.798486514395</v>
      </c>
      <c r="N1189">
        <v>49089.277004200099</v>
      </c>
      <c r="O1189">
        <v>11092.725313610499</v>
      </c>
      <c r="P1189">
        <v>79682.798486514395</v>
      </c>
      <c r="Q1189">
        <v>-117988.86172348401</v>
      </c>
      <c r="R1189">
        <v>21641.272289536901</v>
      </c>
      <c r="S1189">
        <v>2156.4734604913601</v>
      </c>
      <c r="T1189">
        <v>0</v>
      </c>
      <c r="U1189">
        <v>-109230.27100880499</v>
      </c>
      <c r="V1189">
        <v>20812.640342389201</v>
      </c>
    </row>
    <row r="1190" spans="1:22" x14ac:dyDescent="0.3">
      <c r="A1190" t="str">
        <f t="shared" si="36"/>
        <v>UCASPrevisão</v>
      </c>
      <c r="B1190" t="str">
        <f t="shared" si="37"/>
        <v>UCASPrevisãoDez-2022</v>
      </c>
      <c r="C1190" t="s">
        <v>203</v>
      </c>
      <c r="D1190" t="s">
        <v>204</v>
      </c>
      <c r="E1190" t="s">
        <v>168</v>
      </c>
      <c r="F1190" t="s">
        <v>736</v>
      </c>
      <c r="G1190" t="s">
        <v>737</v>
      </c>
      <c r="H1190" t="s">
        <v>738</v>
      </c>
      <c r="I1190" t="s">
        <v>739</v>
      </c>
      <c r="J1190" t="s">
        <v>739</v>
      </c>
      <c r="K1190" s="2">
        <v>44925</v>
      </c>
      <c r="L1190">
        <v>11078.3024193573</v>
      </c>
      <c r="M1190">
        <v>328044.81757088</v>
      </c>
      <c r="N1190">
        <v>138068.177175005</v>
      </c>
      <c r="O1190">
        <v>47187.593963825297</v>
      </c>
      <c r="P1190">
        <v>-328044.81757088</v>
      </c>
      <c r="Q1190">
        <v>-95443.647605068807</v>
      </c>
      <c r="R1190">
        <v>9084.9869257084792</v>
      </c>
      <c r="S1190">
        <v>5031.31720429905</v>
      </c>
      <c r="T1190">
        <v>27813.925219934699</v>
      </c>
      <c r="U1190">
        <v>214858.10826005699</v>
      </c>
      <c r="V1190">
        <v>74316.531402735403</v>
      </c>
    </row>
    <row r="1191" spans="1:22" x14ac:dyDescent="0.3">
      <c r="A1191" t="str">
        <f t="shared" si="36"/>
        <v>UCASPrevisão</v>
      </c>
      <c r="B1191" t="str">
        <f t="shared" si="37"/>
        <v>UCASPrevisãoMar-2023</v>
      </c>
      <c r="C1191" t="s">
        <v>203</v>
      </c>
      <c r="D1191" t="s">
        <v>204</v>
      </c>
      <c r="E1191" t="s">
        <v>168</v>
      </c>
      <c r="F1191" t="s">
        <v>736</v>
      </c>
      <c r="G1191" t="s">
        <v>737</v>
      </c>
      <c r="H1191" t="s">
        <v>738</v>
      </c>
      <c r="I1191" t="s">
        <v>739</v>
      </c>
      <c r="J1191" t="s">
        <v>739</v>
      </c>
      <c r="K1191" s="2">
        <v>45015</v>
      </c>
      <c r="L1191">
        <v>12333.832909266201</v>
      </c>
      <c r="M1191">
        <v>349729.08579151501</v>
      </c>
      <c r="N1191">
        <v>140213.15656090199</v>
      </c>
      <c r="O1191">
        <v>48664.134890167203</v>
      </c>
      <c r="P1191">
        <v>-349729.08579151501</v>
      </c>
      <c r="Q1191">
        <v>-99715.520815347903</v>
      </c>
      <c r="R1191">
        <v>10395.2096917942</v>
      </c>
      <c r="S1191">
        <v>5369.4785593100596</v>
      </c>
      <c r="T1191">
        <v>33613.074413481801</v>
      </c>
      <c r="U1191">
        <v>231904.07535511401</v>
      </c>
      <c r="V1191">
        <v>82532.455264215299</v>
      </c>
    </row>
    <row r="1192" spans="1:22" x14ac:dyDescent="0.3">
      <c r="A1192" t="str">
        <f t="shared" si="36"/>
        <v>UCASPrevisão</v>
      </c>
      <c r="B1192" t="str">
        <f t="shared" si="37"/>
        <v>UCASPrevisãoJun-2023</v>
      </c>
      <c r="C1192" t="s">
        <v>203</v>
      </c>
      <c r="D1192" t="s">
        <v>204</v>
      </c>
      <c r="E1192" t="s">
        <v>168</v>
      </c>
      <c r="F1192" t="s">
        <v>736</v>
      </c>
      <c r="G1192" t="s">
        <v>737</v>
      </c>
      <c r="H1192" t="s">
        <v>738</v>
      </c>
      <c r="I1192" t="s">
        <v>739</v>
      </c>
      <c r="J1192" t="s">
        <v>739</v>
      </c>
      <c r="K1192" s="2">
        <v>45107</v>
      </c>
      <c r="L1192">
        <v>13651.5775678338</v>
      </c>
      <c r="M1192">
        <v>373778.05672475998</v>
      </c>
      <c r="N1192">
        <v>142056.73021045901</v>
      </c>
      <c r="O1192">
        <v>50107.084257451599</v>
      </c>
      <c r="P1192">
        <v>-373778.05672475998</v>
      </c>
      <c r="Q1192">
        <v>-103732.147401757</v>
      </c>
      <c r="R1192">
        <v>11871.5753489074</v>
      </c>
      <c r="S1192">
        <v>5717.1512902790701</v>
      </c>
      <c r="T1192">
        <v>40113.377445837097</v>
      </c>
      <c r="U1192">
        <v>251613.96755921701</v>
      </c>
      <c r="V1192">
        <v>91652.673129367104</v>
      </c>
    </row>
    <row r="1193" spans="1:22" x14ac:dyDescent="0.3">
      <c r="A1193" t="str">
        <f t="shared" si="36"/>
        <v>UCASPrevisão</v>
      </c>
      <c r="B1193" t="str">
        <f t="shared" si="37"/>
        <v>UCASPrevisãoSet-2023</v>
      </c>
      <c r="C1193" t="s">
        <v>203</v>
      </c>
      <c r="D1193" t="s">
        <v>204</v>
      </c>
      <c r="E1193" t="s">
        <v>168</v>
      </c>
      <c r="F1193" t="s">
        <v>736</v>
      </c>
      <c r="G1193" t="s">
        <v>737</v>
      </c>
      <c r="H1193" t="s">
        <v>738</v>
      </c>
      <c r="I1193" t="s">
        <v>739</v>
      </c>
      <c r="J1193" t="s">
        <v>739</v>
      </c>
      <c r="K1193" s="2">
        <v>45199</v>
      </c>
      <c r="L1193">
        <v>15030.5219838704</v>
      </c>
      <c r="M1193">
        <v>400289.21000328002</v>
      </c>
      <c r="N1193">
        <v>143555.23045313801</v>
      </c>
      <c r="O1193">
        <v>51494.849728646099</v>
      </c>
      <c r="P1193">
        <v>-400289.21000328002</v>
      </c>
      <c r="Q1193">
        <v>-107444.309612778</v>
      </c>
      <c r="R1193">
        <v>13522.317066024199</v>
      </c>
      <c r="S1193">
        <v>6072.77106316358</v>
      </c>
      <c r="T1193">
        <v>47347.665379044003</v>
      </c>
      <c r="U1193">
        <v>274138.45330239902</v>
      </c>
      <c r="V1193">
        <v>101714.36393892601</v>
      </c>
    </row>
    <row r="1194" spans="1:22" x14ac:dyDescent="0.3">
      <c r="A1194" t="str">
        <f t="shared" si="36"/>
        <v>TCNOPrevisão</v>
      </c>
      <c r="B1194" t="str">
        <f t="shared" si="37"/>
        <v>TCNOPrevisãoSet-2022</v>
      </c>
      <c r="C1194" t="s">
        <v>710</v>
      </c>
      <c r="D1194" t="s">
        <v>711</v>
      </c>
      <c r="E1194" t="s">
        <v>168</v>
      </c>
      <c r="F1194" t="s">
        <v>736</v>
      </c>
      <c r="G1194" t="s">
        <v>737</v>
      </c>
      <c r="H1194" t="s">
        <v>738</v>
      </c>
      <c r="I1194" t="s">
        <v>739</v>
      </c>
      <c r="J1194" t="s">
        <v>739</v>
      </c>
      <c r="K1194" s="2">
        <v>44834</v>
      </c>
      <c r="L1194">
        <v>-847.68877005211596</v>
      </c>
      <c r="M1194">
        <v>209362.86270047101</v>
      </c>
      <c r="N1194">
        <v>2598.45496557549</v>
      </c>
      <c r="O1194">
        <v>-7655.2836325116396</v>
      </c>
      <c r="P1194">
        <v>-209362.86270047101</v>
      </c>
      <c r="Q1194">
        <v>-114780.073338424</v>
      </c>
      <c r="R1194">
        <v>28611.4118220042</v>
      </c>
      <c r="S1194">
        <v>20541.498300229599</v>
      </c>
      <c r="T1194">
        <v>70374.5635409182</v>
      </c>
      <c r="U1194">
        <v>-4697.4219251334998</v>
      </c>
      <c r="V1194">
        <v>-1987.44262795759</v>
      </c>
    </row>
    <row r="1195" spans="1:22" x14ac:dyDescent="0.3">
      <c r="A1195" t="str">
        <f t="shared" si="36"/>
        <v>TCNOPrevisão</v>
      </c>
      <c r="B1195" t="str">
        <f t="shared" si="37"/>
        <v>TCNOPrevisãoDez-2022</v>
      </c>
      <c r="C1195" t="s">
        <v>710</v>
      </c>
      <c r="D1195" t="s">
        <v>711</v>
      </c>
      <c r="E1195" t="s">
        <v>168</v>
      </c>
      <c r="F1195" t="s">
        <v>736</v>
      </c>
      <c r="G1195" t="s">
        <v>737</v>
      </c>
      <c r="H1195" t="s">
        <v>738</v>
      </c>
      <c r="I1195" t="s">
        <v>739</v>
      </c>
      <c r="J1195" t="s">
        <v>739</v>
      </c>
      <c r="K1195" s="2">
        <v>44925</v>
      </c>
      <c r="L1195">
        <v>-991.32004074201302</v>
      </c>
      <c r="M1195">
        <v>209599.62330015699</v>
      </c>
      <c r="N1195">
        <v>-1822.33501405733</v>
      </c>
      <c r="O1195">
        <v>-11017.193200879899</v>
      </c>
      <c r="P1195">
        <v>-209599.62330015699</v>
      </c>
      <c r="Q1195">
        <v>-113754.052202697</v>
      </c>
      <c r="R1195">
        <v>29795.405169343401</v>
      </c>
      <c r="S1195">
        <v>20380.335803412701</v>
      </c>
      <c r="T1195">
        <v>74004.326941738094</v>
      </c>
      <c r="U1195">
        <v>-5697.2916730326197</v>
      </c>
      <c r="V1195">
        <v>-2755.8065189680101</v>
      </c>
    </row>
    <row r="1196" spans="1:22" x14ac:dyDescent="0.3">
      <c r="A1196" t="str">
        <f t="shared" si="36"/>
        <v>TCNOPrevisão</v>
      </c>
      <c r="B1196" t="str">
        <f t="shared" si="37"/>
        <v>TCNOPrevisãoMar-2023</v>
      </c>
      <c r="C1196" t="s">
        <v>710</v>
      </c>
      <c r="D1196" t="s">
        <v>711</v>
      </c>
      <c r="E1196" t="s">
        <v>168</v>
      </c>
      <c r="F1196" t="s">
        <v>736</v>
      </c>
      <c r="G1196" t="s">
        <v>737</v>
      </c>
      <c r="H1196" t="s">
        <v>738</v>
      </c>
      <c r="I1196" t="s">
        <v>739</v>
      </c>
      <c r="J1196" t="s">
        <v>739</v>
      </c>
      <c r="K1196" s="2">
        <v>45015</v>
      </c>
      <c r="L1196">
        <v>-1126.9952828288001</v>
      </c>
      <c r="M1196">
        <v>210138.63459926401</v>
      </c>
      <c r="N1196">
        <v>-7069.56372520279</v>
      </c>
      <c r="O1196">
        <v>-14961.285801305899</v>
      </c>
      <c r="P1196">
        <v>-210138.63459926401</v>
      </c>
      <c r="Q1196">
        <v>-112439.969628144</v>
      </c>
      <c r="R1196">
        <v>31074.051827269701</v>
      </c>
      <c r="S1196">
        <v>20203.636189168901</v>
      </c>
      <c r="T1196">
        <v>78264.033221552701</v>
      </c>
      <c r="U1196">
        <v>-6690.3163738219801</v>
      </c>
      <c r="V1196">
        <v>-3647.37621318419</v>
      </c>
    </row>
    <row r="1197" spans="1:22" x14ac:dyDescent="0.3">
      <c r="A1197" t="str">
        <f t="shared" si="36"/>
        <v>TCNOPrevisão</v>
      </c>
      <c r="B1197" t="str">
        <f t="shared" si="37"/>
        <v>TCNOPrevisãoJun-2023</v>
      </c>
      <c r="C1197" t="s">
        <v>710</v>
      </c>
      <c r="D1197" t="s">
        <v>711</v>
      </c>
      <c r="E1197" t="s">
        <v>168</v>
      </c>
      <c r="F1197" t="s">
        <v>736</v>
      </c>
      <c r="G1197" t="s">
        <v>737</v>
      </c>
      <c r="H1197" t="s">
        <v>738</v>
      </c>
      <c r="I1197" t="s">
        <v>739</v>
      </c>
      <c r="J1197" t="s">
        <v>739</v>
      </c>
      <c r="K1197" s="2">
        <v>45107</v>
      </c>
      <c r="L1197">
        <v>-1252.21092744667</v>
      </c>
      <c r="M1197">
        <v>211012.487710046</v>
      </c>
      <c r="N1197">
        <v>-13205.4307524018</v>
      </c>
      <c r="O1197">
        <v>-19528.577528867401</v>
      </c>
      <c r="P1197">
        <v>-211012.487710046</v>
      </c>
      <c r="Q1197">
        <v>-110825.227206618</v>
      </c>
      <c r="R1197">
        <v>32452.976083911701</v>
      </c>
      <c r="S1197">
        <v>20012.399124383101</v>
      </c>
      <c r="T1197">
        <v>83195.269699351295</v>
      </c>
      <c r="U1197">
        <v>-7674.5346891578802</v>
      </c>
      <c r="V1197">
        <v>-4670.3009259627697</v>
      </c>
    </row>
    <row r="1198" spans="1:22" x14ac:dyDescent="0.3">
      <c r="A1198" t="str">
        <f t="shared" si="36"/>
        <v>TCSAPrevisão</v>
      </c>
      <c r="B1198" t="str">
        <f t="shared" si="37"/>
        <v>TCSAPrevisãoDez-2022</v>
      </c>
      <c r="C1198" t="s">
        <v>215</v>
      </c>
      <c r="D1198" t="s">
        <v>216</v>
      </c>
      <c r="E1198" t="s">
        <v>168</v>
      </c>
      <c r="F1198" t="s">
        <v>736</v>
      </c>
      <c r="G1198" t="s">
        <v>737</v>
      </c>
      <c r="H1198" t="s">
        <v>738</v>
      </c>
      <c r="I1198" t="s">
        <v>739</v>
      </c>
      <c r="J1198" t="s">
        <v>739</v>
      </c>
      <c r="K1198" s="2">
        <v>44925</v>
      </c>
      <c r="L1198">
        <v>50136.518122367903</v>
      </c>
      <c r="M1198">
        <v>1631026.32976867</v>
      </c>
      <c r="N1198">
        <v>183632.95755867299</v>
      </c>
      <c r="O1198">
        <v>0</v>
      </c>
      <c r="P1198">
        <v>-1631026.32976867</v>
      </c>
      <c r="Q1198">
        <v>-375695.27408527699</v>
      </c>
      <c r="R1198">
        <v>10992.7299040628</v>
      </c>
      <c r="S1198">
        <v>824.75146422206103</v>
      </c>
      <c r="T1198">
        <v>28047.521093098199</v>
      </c>
      <c r="U1198">
        <v>520020.837619856</v>
      </c>
      <c r="V1198">
        <v>64176.292929305899</v>
      </c>
    </row>
    <row r="1199" spans="1:22" x14ac:dyDescent="0.3">
      <c r="A1199" t="str">
        <f t="shared" si="36"/>
        <v>TCSAPrevisão</v>
      </c>
      <c r="B1199" t="str">
        <f t="shared" si="37"/>
        <v>TCSAPrevisãoMar-2023</v>
      </c>
      <c r="C1199" t="s">
        <v>215</v>
      </c>
      <c r="D1199" t="s">
        <v>216</v>
      </c>
      <c r="E1199" t="s">
        <v>168</v>
      </c>
      <c r="F1199" t="s">
        <v>736</v>
      </c>
      <c r="G1199" t="s">
        <v>737</v>
      </c>
      <c r="H1199" t="s">
        <v>738</v>
      </c>
      <c r="I1199" t="s">
        <v>739</v>
      </c>
      <c r="J1199" t="s">
        <v>739</v>
      </c>
      <c r="K1199" s="2">
        <v>45015</v>
      </c>
      <c r="L1199">
        <v>78178.030548468101</v>
      </c>
      <c r="M1199">
        <v>1705305.30991315</v>
      </c>
      <c r="N1199">
        <v>182559.59017140701</v>
      </c>
      <c r="O1199">
        <v>0</v>
      </c>
      <c r="P1199">
        <v>-1705305.30991315</v>
      </c>
      <c r="Q1199">
        <v>-402253.90397262998</v>
      </c>
      <c r="R1199">
        <v>11610.1496110107</v>
      </c>
      <c r="S1199">
        <v>781.25909331801404</v>
      </c>
      <c r="T1199">
        <v>56522.109734442798</v>
      </c>
      <c r="U1199">
        <v>503857.36539363599</v>
      </c>
      <c r="V1199">
        <v>92379.936725895095</v>
      </c>
    </row>
    <row r="1200" spans="1:22" x14ac:dyDescent="0.3">
      <c r="A1200" t="str">
        <f t="shared" si="36"/>
        <v>TCSAPrevisão</v>
      </c>
      <c r="B1200" t="str">
        <f t="shared" si="37"/>
        <v>TCSAPrevisãoJun-2023</v>
      </c>
      <c r="C1200" t="s">
        <v>215</v>
      </c>
      <c r="D1200" t="s">
        <v>216</v>
      </c>
      <c r="E1200" t="s">
        <v>168</v>
      </c>
      <c r="F1200" t="s">
        <v>736</v>
      </c>
      <c r="G1200" t="s">
        <v>737</v>
      </c>
      <c r="H1200" t="s">
        <v>738</v>
      </c>
      <c r="I1200" t="s">
        <v>739</v>
      </c>
      <c r="J1200" t="s">
        <v>739</v>
      </c>
      <c r="K1200" s="2">
        <v>45107</v>
      </c>
      <c r="L1200">
        <v>109536.49547541801</v>
      </c>
      <c r="M1200">
        <v>1798406.8585488801</v>
      </c>
      <c r="N1200">
        <v>180039.00522694999</v>
      </c>
      <c r="O1200">
        <v>0</v>
      </c>
      <c r="P1200">
        <v>-1798406.8585488801</v>
      </c>
      <c r="Q1200">
        <v>-436205.94204840099</v>
      </c>
      <c r="R1200">
        <v>12400.220780768001</v>
      </c>
      <c r="S1200">
        <v>736.37748294734297</v>
      </c>
      <c r="T1200">
        <v>91461.256698899</v>
      </c>
      <c r="U1200">
        <v>493129.85419841099</v>
      </c>
      <c r="V1200">
        <v>123911.85263469099</v>
      </c>
    </row>
    <row r="1201" spans="1:22" x14ac:dyDescent="0.3">
      <c r="A1201" t="str">
        <f t="shared" si="36"/>
        <v>TCSAPrevisão</v>
      </c>
      <c r="B1201" t="str">
        <f t="shared" si="37"/>
        <v>TCSAPrevisãoSet-2023</v>
      </c>
      <c r="C1201" t="s">
        <v>215</v>
      </c>
      <c r="D1201" t="s">
        <v>216</v>
      </c>
      <c r="E1201" t="s">
        <v>168</v>
      </c>
      <c r="F1201" t="s">
        <v>736</v>
      </c>
      <c r="G1201" t="s">
        <v>737</v>
      </c>
      <c r="H1201" t="s">
        <v>738</v>
      </c>
      <c r="I1201" t="s">
        <v>739</v>
      </c>
      <c r="J1201" t="s">
        <v>739</v>
      </c>
      <c r="K1201" s="2">
        <v>45199</v>
      </c>
      <c r="L1201">
        <v>144355.787599865</v>
      </c>
      <c r="M1201">
        <v>1911411.71576278</v>
      </c>
      <c r="N1201">
        <v>175931.96690858901</v>
      </c>
      <c r="O1201">
        <v>0</v>
      </c>
      <c r="P1201">
        <v>-1911411.71576278</v>
      </c>
      <c r="Q1201">
        <v>-478017.41269940097</v>
      </c>
      <c r="R1201">
        <v>13375.078299135301</v>
      </c>
      <c r="S1201">
        <v>690.26374180895402</v>
      </c>
      <c r="T1201">
        <v>133222.140595089</v>
      </c>
      <c r="U1201">
        <v>488234.36293819902</v>
      </c>
      <c r="V1201">
        <v>158915.71779415599</v>
      </c>
    </row>
    <row r="1202" spans="1:22" x14ac:dyDescent="0.3">
      <c r="A1202" t="str">
        <f t="shared" si="36"/>
        <v>SONDPrevisão</v>
      </c>
      <c r="B1202" t="str">
        <f t="shared" si="37"/>
        <v>SONDPrevisãoDez-2022</v>
      </c>
      <c r="C1202" t="s">
        <v>201</v>
      </c>
      <c r="D1202" t="s">
        <v>202</v>
      </c>
      <c r="E1202" t="s">
        <v>168</v>
      </c>
      <c r="F1202" t="s">
        <v>736</v>
      </c>
      <c r="G1202" t="s">
        <v>737</v>
      </c>
      <c r="H1202" t="s">
        <v>738</v>
      </c>
      <c r="I1202" t="s">
        <v>739</v>
      </c>
      <c r="J1202" t="s">
        <v>739</v>
      </c>
      <c r="K1202" s="2">
        <v>44925</v>
      </c>
      <c r="L1202">
        <v>3052.0547491710299</v>
      </c>
      <c r="M1202">
        <v>115775.544945268</v>
      </c>
      <c r="N1202">
        <v>70243.4880740636</v>
      </c>
      <c r="O1202">
        <v>30217.951786773501</v>
      </c>
      <c r="P1202">
        <v>-115775.544945268</v>
      </c>
      <c r="Q1202">
        <v>-32140.967744688802</v>
      </c>
      <c r="R1202">
        <v>7537.49953314713</v>
      </c>
      <c r="S1202">
        <v>10595.710890418501</v>
      </c>
      <c r="T1202">
        <v>25567.738052792301</v>
      </c>
      <c r="U1202">
        <v>75592.750360754697</v>
      </c>
      <c r="V1202">
        <v>45543.762838502902</v>
      </c>
    </row>
    <row r="1203" spans="1:22" x14ac:dyDescent="0.3">
      <c r="A1203" t="str">
        <f t="shared" si="36"/>
        <v>SONDPrevisão</v>
      </c>
      <c r="B1203" t="str">
        <f t="shared" si="37"/>
        <v>SONDPrevisãoMar-2023</v>
      </c>
      <c r="C1203" t="s">
        <v>201</v>
      </c>
      <c r="D1203" t="s">
        <v>202</v>
      </c>
      <c r="E1203" t="s">
        <v>168</v>
      </c>
      <c r="F1203" t="s">
        <v>736</v>
      </c>
      <c r="G1203" t="s">
        <v>737</v>
      </c>
      <c r="H1203" t="s">
        <v>738</v>
      </c>
      <c r="I1203" t="s">
        <v>739</v>
      </c>
      <c r="J1203" t="s">
        <v>739</v>
      </c>
      <c r="K1203" s="2">
        <v>45015</v>
      </c>
      <c r="L1203">
        <v>3053.3211240252299</v>
      </c>
      <c r="M1203">
        <v>126193.884149258</v>
      </c>
      <c r="N1203">
        <v>82686.526374404202</v>
      </c>
      <c r="O1203">
        <v>32738.251541072201</v>
      </c>
      <c r="P1203">
        <v>-126193.884149258</v>
      </c>
      <c r="Q1203">
        <v>-37498.314691332896</v>
      </c>
      <c r="R1203">
        <v>7803.8310495374599</v>
      </c>
      <c r="S1203">
        <v>12790.0717394271</v>
      </c>
      <c r="T1203">
        <v>30915.5750440991</v>
      </c>
      <c r="U1203">
        <v>81278.290942590407</v>
      </c>
      <c r="V1203">
        <v>53708.3097383489</v>
      </c>
    </row>
    <row r="1204" spans="1:22" x14ac:dyDescent="0.3">
      <c r="A1204" t="str">
        <f t="shared" si="36"/>
        <v>SONDPrevisão</v>
      </c>
      <c r="B1204" t="str">
        <f t="shared" si="37"/>
        <v>SONDPrevisãoJun-2023</v>
      </c>
      <c r="C1204" t="s">
        <v>201</v>
      </c>
      <c r="D1204" t="s">
        <v>202</v>
      </c>
      <c r="E1204" t="s">
        <v>168</v>
      </c>
      <c r="F1204" t="s">
        <v>736</v>
      </c>
      <c r="G1204" t="s">
        <v>737</v>
      </c>
      <c r="H1204" t="s">
        <v>738</v>
      </c>
      <c r="I1204" t="s">
        <v>739</v>
      </c>
      <c r="J1204" t="s">
        <v>739</v>
      </c>
      <c r="K1204" s="2">
        <v>45107</v>
      </c>
      <c r="L1204">
        <v>3027.4603701021001</v>
      </c>
      <c r="M1204">
        <v>138075.66758928899</v>
      </c>
      <c r="N1204">
        <v>97090.980074424297</v>
      </c>
      <c r="O1204">
        <v>35572.0423108123</v>
      </c>
      <c r="P1204">
        <v>-138075.66758928899</v>
      </c>
      <c r="Q1204">
        <v>-43646.872266079597</v>
      </c>
      <c r="R1204">
        <v>8055.9434051482604</v>
      </c>
      <c r="S1204">
        <v>15315.369376496399</v>
      </c>
      <c r="T1204">
        <v>37058.586145344598</v>
      </c>
      <c r="U1204">
        <v>87757.471129653903</v>
      </c>
      <c r="V1204">
        <v>62934.774839899903</v>
      </c>
    </row>
    <row r="1205" spans="1:22" x14ac:dyDescent="0.3">
      <c r="A1205" t="str">
        <f t="shared" si="36"/>
        <v>SONDPrevisão</v>
      </c>
      <c r="B1205" t="str">
        <f t="shared" si="37"/>
        <v>SONDPrevisãoSet-2023</v>
      </c>
      <c r="C1205" t="s">
        <v>201</v>
      </c>
      <c r="D1205" t="s">
        <v>202</v>
      </c>
      <c r="E1205" t="s">
        <v>168</v>
      </c>
      <c r="F1205" t="s">
        <v>736</v>
      </c>
      <c r="G1205" t="s">
        <v>737</v>
      </c>
      <c r="H1205" t="s">
        <v>738</v>
      </c>
      <c r="I1205" t="s">
        <v>739</v>
      </c>
      <c r="J1205" t="s">
        <v>739</v>
      </c>
      <c r="K1205" s="2">
        <v>45199</v>
      </c>
      <c r="L1205">
        <v>2972.4371942982302</v>
      </c>
      <c r="M1205">
        <v>151495.251009164</v>
      </c>
      <c r="N1205">
        <v>113562.647114262</v>
      </c>
      <c r="O1205">
        <v>38730.218052714197</v>
      </c>
      <c r="P1205">
        <v>-151495.251009164</v>
      </c>
      <c r="Q1205">
        <v>-50628.795210281598</v>
      </c>
      <c r="R1205">
        <v>8292.3710293839194</v>
      </c>
      <c r="S1205">
        <v>18189.3896523845</v>
      </c>
      <c r="T1205">
        <v>44033.010380068103</v>
      </c>
      <c r="U1205">
        <v>95069.436168753193</v>
      </c>
      <c r="V1205">
        <v>73275.493752163296</v>
      </c>
    </row>
    <row r="1206" spans="1:22" x14ac:dyDescent="0.3">
      <c r="A1206" t="str">
        <f t="shared" si="36"/>
        <v>RSIDPrevisão</v>
      </c>
      <c r="B1206" t="str">
        <f t="shared" si="37"/>
        <v>RSIDPrevisãoDez-2022</v>
      </c>
      <c r="C1206" t="s">
        <v>225</v>
      </c>
      <c r="D1206" t="s">
        <v>226</v>
      </c>
      <c r="E1206" t="s">
        <v>168</v>
      </c>
      <c r="F1206" t="s">
        <v>736</v>
      </c>
      <c r="G1206" t="s">
        <v>737</v>
      </c>
      <c r="H1206" t="s">
        <v>738</v>
      </c>
      <c r="I1206" t="s">
        <v>739</v>
      </c>
      <c r="J1206" t="s">
        <v>739</v>
      </c>
      <c r="K1206" s="2">
        <v>44925</v>
      </c>
      <c r="L1206">
        <v>-4729.3692386816501</v>
      </c>
      <c r="M1206">
        <v>3505936.8113064799</v>
      </c>
      <c r="N1206">
        <v>314419.46388240502</v>
      </c>
      <c r="O1206">
        <v>26541.445293066001</v>
      </c>
      <c r="P1206">
        <v>-3505936.8113064799</v>
      </c>
      <c r="Q1206">
        <v>-2371680.1060160799</v>
      </c>
      <c r="R1206">
        <v>49.507681855466203</v>
      </c>
      <c r="S1206">
        <v>0</v>
      </c>
      <c r="T1206">
        <v>0</v>
      </c>
      <c r="U1206">
        <v>-469255.58025560598</v>
      </c>
      <c r="V1206">
        <v>-4047.3267973854599</v>
      </c>
    </row>
    <row r="1207" spans="1:22" x14ac:dyDescent="0.3">
      <c r="A1207" t="str">
        <f t="shared" si="36"/>
        <v>RSIDPrevisão</v>
      </c>
      <c r="B1207" t="str">
        <f t="shared" si="37"/>
        <v>RSIDPrevisãoMar-2023</v>
      </c>
      <c r="C1207" t="s">
        <v>225</v>
      </c>
      <c r="D1207" t="s">
        <v>226</v>
      </c>
      <c r="E1207" t="s">
        <v>168</v>
      </c>
      <c r="F1207" t="s">
        <v>736</v>
      </c>
      <c r="G1207" t="s">
        <v>737</v>
      </c>
      <c r="H1207" t="s">
        <v>738</v>
      </c>
      <c r="I1207" t="s">
        <v>739</v>
      </c>
      <c r="J1207" t="s">
        <v>739</v>
      </c>
      <c r="K1207" s="2">
        <v>45015</v>
      </c>
      <c r="L1207">
        <v>6802.1563258245296</v>
      </c>
      <c r="M1207">
        <v>3467045.0149281002</v>
      </c>
      <c r="N1207">
        <v>391912.28728100599</v>
      </c>
      <c r="O1207">
        <v>3892.8893566566398</v>
      </c>
      <c r="P1207">
        <v>-3467045.0149281002</v>
      </c>
      <c r="Q1207">
        <v>-2462283.31376694</v>
      </c>
      <c r="R1207">
        <v>-291.905073911599</v>
      </c>
      <c r="S1207">
        <v>0</v>
      </c>
      <c r="T1207">
        <v>0</v>
      </c>
      <c r="U1207">
        <v>-294363.29225624999</v>
      </c>
      <c r="V1207">
        <v>-5209.6737577944004</v>
      </c>
    </row>
    <row r="1208" spans="1:22" x14ac:dyDescent="0.3">
      <c r="A1208" t="str">
        <f t="shared" si="36"/>
        <v>RSIDPrevisão</v>
      </c>
      <c r="B1208" t="str">
        <f t="shared" si="37"/>
        <v>RSIDPrevisãoJun-2023</v>
      </c>
      <c r="C1208" t="s">
        <v>225</v>
      </c>
      <c r="D1208" t="s">
        <v>226</v>
      </c>
      <c r="E1208" t="s">
        <v>168</v>
      </c>
      <c r="F1208" t="s">
        <v>736</v>
      </c>
      <c r="G1208" t="s">
        <v>737</v>
      </c>
      <c r="H1208" t="s">
        <v>738</v>
      </c>
      <c r="I1208" t="s">
        <v>739</v>
      </c>
      <c r="J1208" t="s">
        <v>739</v>
      </c>
      <c r="K1208" s="2">
        <v>45107</v>
      </c>
      <c r="L1208">
        <v>18583.368134773002</v>
      </c>
      <c r="M1208">
        <v>3459801.3080425202</v>
      </c>
      <c r="N1208">
        <v>481977.594373659</v>
      </c>
      <c r="O1208">
        <v>-21751.5210924645</v>
      </c>
      <c r="P1208">
        <v>-3459801.3080425202</v>
      </c>
      <c r="Q1208">
        <v>-2584640.9974790202</v>
      </c>
      <c r="R1208">
        <v>-675.54161540415203</v>
      </c>
      <c r="S1208">
        <v>0</v>
      </c>
      <c r="T1208">
        <v>0</v>
      </c>
      <c r="U1208">
        <v>-80007.446345983699</v>
      </c>
      <c r="V1208">
        <v>-6579.8869935902403</v>
      </c>
    </row>
    <row r="1209" spans="1:22" x14ac:dyDescent="0.3">
      <c r="A1209" t="str">
        <f t="shared" si="36"/>
        <v>RSIDPrevisão</v>
      </c>
      <c r="B1209" t="str">
        <f t="shared" si="37"/>
        <v>RSIDPrevisãoSet-2023</v>
      </c>
      <c r="C1209" t="s">
        <v>225</v>
      </c>
      <c r="D1209" t="s">
        <v>226</v>
      </c>
      <c r="E1209" t="s">
        <v>168</v>
      </c>
      <c r="F1209" t="s">
        <v>736</v>
      </c>
      <c r="G1209" t="s">
        <v>737</v>
      </c>
      <c r="H1209" t="s">
        <v>738</v>
      </c>
      <c r="I1209" t="s">
        <v>739</v>
      </c>
      <c r="J1209" t="s">
        <v>739</v>
      </c>
      <c r="K1209" s="2">
        <v>45199</v>
      </c>
      <c r="L1209">
        <v>30572.615458562799</v>
      </c>
      <c r="M1209">
        <v>3486683.3932619202</v>
      </c>
      <c r="N1209">
        <v>585165.09086314403</v>
      </c>
      <c r="O1209">
        <v>-50586.557320117499</v>
      </c>
      <c r="P1209">
        <v>-3486683.3932619202</v>
      </c>
      <c r="Q1209">
        <v>-2741173.9774664901</v>
      </c>
      <c r="R1209">
        <v>-1106.0801068328999</v>
      </c>
      <c r="S1209">
        <v>0</v>
      </c>
      <c r="T1209">
        <v>0</v>
      </c>
      <c r="U1209">
        <v>175899.879188472</v>
      </c>
      <c r="V1209">
        <v>-8179.8506713878296</v>
      </c>
    </row>
    <row r="1210" spans="1:22" x14ac:dyDescent="0.3">
      <c r="A1210" t="str">
        <f t="shared" si="36"/>
        <v>RDNIPrevisão</v>
      </c>
      <c r="B1210" t="str">
        <f t="shared" si="37"/>
        <v>RDNIPrevisãoDez-2022</v>
      </c>
      <c r="C1210" t="s">
        <v>199</v>
      </c>
      <c r="D1210" t="s">
        <v>200</v>
      </c>
      <c r="E1210" t="s">
        <v>168</v>
      </c>
      <c r="F1210" t="s">
        <v>736</v>
      </c>
      <c r="G1210" t="s">
        <v>737</v>
      </c>
      <c r="H1210" t="s">
        <v>738</v>
      </c>
      <c r="I1210" t="s">
        <v>739</v>
      </c>
      <c r="J1210" t="s">
        <v>739</v>
      </c>
      <c r="K1210" s="2">
        <v>44925</v>
      </c>
      <c r="L1210">
        <v>16536.309056967901</v>
      </c>
      <c r="M1210">
        <v>1680359.73652495</v>
      </c>
      <c r="N1210">
        <v>150248.73338429301</v>
      </c>
      <c r="O1210">
        <v>169687.115779571</v>
      </c>
      <c r="P1210">
        <v>-1680359.73652495</v>
      </c>
      <c r="Q1210">
        <v>-207107.326882283</v>
      </c>
      <c r="R1210">
        <v>10177.367965364499</v>
      </c>
      <c r="S1210">
        <v>-784.42806212913899</v>
      </c>
      <c r="T1210">
        <v>158205.063916421</v>
      </c>
      <c r="U1210">
        <v>689376.03378331196</v>
      </c>
      <c r="V1210">
        <v>8100.6001188357804</v>
      </c>
    </row>
    <row r="1211" spans="1:22" x14ac:dyDescent="0.3">
      <c r="A1211" t="str">
        <f t="shared" si="36"/>
        <v>RDNIPrevisão</v>
      </c>
      <c r="B1211" t="str">
        <f t="shared" si="37"/>
        <v>RDNIPrevisãoMar-2023</v>
      </c>
      <c r="C1211" t="s">
        <v>199</v>
      </c>
      <c r="D1211" t="s">
        <v>200</v>
      </c>
      <c r="E1211" t="s">
        <v>168</v>
      </c>
      <c r="F1211" t="s">
        <v>736</v>
      </c>
      <c r="G1211" t="s">
        <v>737</v>
      </c>
      <c r="H1211" t="s">
        <v>738</v>
      </c>
      <c r="I1211" t="s">
        <v>739</v>
      </c>
      <c r="J1211" t="s">
        <v>739</v>
      </c>
      <c r="K1211" s="2">
        <v>45015</v>
      </c>
      <c r="L1211">
        <v>21110.248037969501</v>
      </c>
      <c r="M1211">
        <v>1825026.1964592999</v>
      </c>
      <c r="N1211">
        <v>165003.42138628699</v>
      </c>
      <c r="O1211">
        <v>185836.077775176</v>
      </c>
      <c r="P1211">
        <v>-1825026.1964592999</v>
      </c>
      <c r="Q1211">
        <v>-234969.30745339001</v>
      </c>
      <c r="R1211">
        <v>11609.5583933782</v>
      </c>
      <c r="S1211">
        <v>-1486.46855105129</v>
      </c>
      <c r="T1211">
        <v>180979.480361141</v>
      </c>
      <c r="U1211">
        <v>722585.73669250996</v>
      </c>
      <c r="V1211">
        <v>8133.5949639480896</v>
      </c>
    </row>
    <row r="1212" spans="1:22" x14ac:dyDescent="0.3">
      <c r="A1212" t="str">
        <f t="shared" si="36"/>
        <v>RDNIPrevisão</v>
      </c>
      <c r="B1212" t="str">
        <f t="shared" si="37"/>
        <v>RDNIPrevisãoJun-2023</v>
      </c>
      <c r="C1212" t="s">
        <v>199</v>
      </c>
      <c r="D1212" t="s">
        <v>200</v>
      </c>
      <c r="E1212" t="s">
        <v>168</v>
      </c>
      <c r="F1212" t="s">
        <v>736</v>
      </c>
      <c r="G1212" t="s">
        <v>737</v>
      </c>
      <c r="H1212" t="s">
        <v>738</v>
      </c>
      <c r="I1212" t="s">
        <v>739</v>
      </c>
      <c r="J1212" t="s">
        <v>739</v>
      </c>
      <c r="K1212" s="2">
        <v>45107</v>
      </c>
      <c r="L1212">
        <v>26127.175471820701</v>
      </c>
      <c r="M1212">
        <v>1984633.7268447501</v>
      </c>
      <c r="N1212">
        <v>182476.64126465601</v>
      </c>
      <c r="O1212">
        <v>203611.66146810801</v>
      </c>
      <c r="P1212">
        <v>-1984633.7268447501</v>
      </c>
      <c r="Q1212">
        <v>-266192.887838458</v>
      </c>
      <c r="R1212">
        <v>13216.101172496699</v>
      </c>
      <c r="S1212">
        <v>-2303.5813851664602</v>
      </c>
      <c r="T1212">
        <v>208584.14358156701</v>
      </c>
      <c r="U1212">
        <v>761643.00384147698</v>
      </c>
      <c r="V1212">
        <v>8137.09588056952</v>
      </c>
    </row>
    <row r="1213" spans="1:22" x14ac:dyDescent="0.3">
      <c r="A1213" t="str">
        <f t="shared" si="36"/>
        <v>RDNIPrevisão</v>
      </c>
      <c r="B1213" t="str">
        <f t="shared" si="37"/>
        <v>RDNIPrevisãoSet-2023</v>
      </c>
      <c r="C1213" t="s">
        <v>199</v>
      </c>
      <c r="D1213" t="s">
        <v>200</v>
      </c>
      <c r="E1213" t="s">
        <v>168</v>
      </c>
      <c r="F1213" t="s">
        <v>736</v>
      </c>
      <c r="G1213" t="s">
        <v>737</v>
      </c>
      <c r="H1213" t="s">
        <v>738</v>
      </c>
      <c r="I1213" t="s">
        <v>739</v>
      </c>
      <c r="J1213" t="s">
        <v>739</v>
      </c>
      <c r="K1213" s="2">
        <v>45199</v>
      </c>
      <c r="L1213">
        <v>31601.375176991201</v>
      </c>
      <c r="M1213">
        <v>2159755.9788165302</v>
      </c>
      <c r="N1213">
        <v>202790.739071141</v>
      </c>
      <c r="O1213">
        <v>223094.86857406399</v>
      </c>
      <c r="P1213">
        <v>-2159755.9788165302</v>
      </c>
      <c r="Q1213">
        <v>-300922.09672695998</v>
      </c>
      <c r="R1213">
        <v>15005.383177719599</v>
      </c>
      <c r="S1213">
        <v>-3242.6438516646199</v>
      </c>
      <c r="T1213">
        <v>241309.970730667</v>
      </c>
      <c r="U1213">
        <v>806868.84613592003</v>
      </c>
      <c r="V1213">
        <v>8109.2304690536903</v>
      </c>
    </row>
    <row r="1214" spans="1:22" x14ac:dyDescent="0.3">
      <c r="A1214" t="str">
        <f t="shared" si="36"/>
        <v>PRNRPrevisão</v>
      </c>
      <c r="B1214" t="str">
        <f t="shared" si="37"/>
        <v>PRNRPrevisãoDez-2022</v>
      </c>
      <c r="C1214" t="s">
        <v>197</v>
      </c>
      <c r="D1214" t="s">
        <v>198</v>
      </c>
      <c r="E1214" t="s">
        <v>168</v>
      </c>
      <c r="F1214" t="s">
        <v>736</v>
      </c>
      <c r="G1214" t="s">
        <v>737</v>
      </c>
      <c r="H1214" t="s">
        <v>738</v>
      </c>
      <c r="I1214" t="s">
        <v>739</v>
      </c>
      <c r="J1214" t="s">
        <v>739</v>
      </c>
      <c r="K1214" s="2">
        <v>44925</v>
      </c>
      <c r="L1214">
        <v>25871.3218954244</v>
      </c>
      <c r="M1214">
        <v>418041.81699346402</v>
      </c>
      <c r="N1214">
        <v>110872.936274508</v>
      </c>
      <c r="O1214">
        <v>101694.284313725</v>
      </c>
      <c r="P1214">
        <v>-418041.81699346402</v>
      </c>
      <c r="Q1214">
        <v>-142934.91993464201</v>
      </c>
      <c r="R1214">
        <v>46417.612745100203</v>
      </c>
      <c r="S1214">
        <v>3322.9705882354601</v>
      </c>
      <c r="T1214">
        <v>10926.2483660134</v>
      </c>
      <c r="U1214">
        <v>208286.624183003</v>
      </c>
      <c r="V1214">
        <v>122293.509803921</v>
      </c>
    </row>
    <row r="1215" spans="1:22" x14ac:dyDescent="0.3">
      <c r="A1215" t="str">
        <f t="shared" si="36"/>
        <v>PRNRPrevisão</v>
      </c>
      <c r="B1215" t="str">
        <f t="shared" si="37"/>
        <v>PRNRPrevisãoMar-2023</v>
      </c>
      <c r="C1215" t="s">
        <v>197</v>
      </c>
      <c r="D1215" t="s">
        <v>198</v>
      </c>
      <c r="E1215" t="s">
        <v>168</v>
      </c>
      <c r="F1215" t="s">
        <v>736</v>
      </c>
      <c r="G1215" t="s">
        <v>737</v>
      </c>
      <c r="H1215" t="s">
        <v>738</v>
      </c>
      <c r="I1215" t="s">
        <v>739</v>
      </c>
      <c r="J1215" t="s">
        <v>739</v>
      </c>
      <c r="K1215" s="2">
        <v>45015</v>
      </c>
      <c r="L1215">
        <v>35179.213278293202</v>
      </c>
      <c r="M1215">
        <v>425634.445734434</v>
      </c>
      <c r="N1215">
        <v>73210.737358100596</v>
      </c>
      <c r="O1215">
        <v>113188.57610938999</v>
      </c>
      <c r="P1215">
        <v>-425634.445734434</v>
      </c>
      <c r="Q1215">
        <v>-174243.96302029799</v>
      </c>
      <c r="R1215">
        <v>55839.625902995198</v>
      </c>
      <c r="S1215">
        <v>4001.6955624356901</v>
      </c>
      <c r="T1215">
        <v>13916.3311833511</v>
      </c>
      <c r="U1215">
        <v>169609.72377020601</v>
      </c>
      <c r="V1215">
        <v>143817.24509803901</v>
      </c>
    </row>
    <row r="1216" spans="1:22" x14ac:dyDescent="0.3">
      <c r="A1216" t="str">
        <f t="shared" si="36"/>
        <v>PRNRPrevisão</v>
      </c>
      <c r="B1216" t="str">
        <f t="shared" si="37"/>
        <v>PRNRPrevisãoJun-2023</v>
      </c>
      <c r="C1216" t="s">
        <v>197</v>
      </c>
      <c r="D1216" t="s">
        <v>198</v>
      </c>
      <c r="E1216" t="s">
        <v>168</v>
      </c>
      <c r="F1216" t="s">
        <v>736</v>
      </c>
      <c r="G1216" t="s">
        <v>737</v>
      </c>
      <c r="H1216" t="s">
        <v>738</v>
      </c>
      <c r="I1216" t="s">
        <v>739</v>
      </c>
      <c r="J1216" t="s">
        <v>739</v>
      </c>
      <c r="K1216" s="2">
        <v>45107</v>
      </c>
      <c r="L1216">
        <v>46162.553319572602</v>
      </c>
      <c r="M1216">
        <v>430082.290677674</v>
      </c>
      <c r="N1216">
        <v>25450.474200206401</v>
      </c>
      <c r="O1216">
        <v>126111.2373581</v>
      </c>
      <c r="P1216">
        <v>-430082.290677674</v>
      </c>
      <c r="Q1216">
        <v>-212254.765909874</v>
      </c>
      <c r="R1216">
        <v>67216.326625389702</v>
      </c>
      <c r="S1216">
        <v>4842.4427244584103</v>
      </c>
      <c r="T1216">
        <v>17311.7199862409</v>
      </c>
      <c r="U1216">
        <v>116896.898176812</v>
      </c>
      <c r="V1216">
        <v>169028.605779153</v>
      </c>
    </row>
    <row r="1217" spans="1:22" x14ac:dyDescent="0.3">
      <c r="A1217" t="str">
        <f t="shared" si="36"/>
        <v>PRNRPrevisão</v>
      </c>
      <c r="B1217" t="str">
        <f t="shared" si="37"/>
        <v>PRNRPrevisãoSet-2023</v>
      </c>
      <c r="C1217" t="s">
        <v>197</v>
      </c>
      <c r="D1217" t="s">
        <v>198</v>
      </c>
      <c r="E1217" t="s">
        <v>168</v>
      </c>
      <c r="F1217" t="s">
        <v>736</v>
      </c>
      <c r="G1217" t="s">
        <v>737</v>
      </c>
      <c r="H1217" t="s">
        <v>738</v>
      </c>
      <c r="I1217" t="s">
        <v>739</v>
      </c>
      <c r="J1217" t="s">
        <v>739</v>
      </c>
      <c r="K1217" s="2">
        <v>45199</v>
      </c>
      <c r="L1217">
        <v>58948.876160989603</v>
      </c>
      <c r="M1217">
        <v>431055.63931888499</v>
      </c>
      <c r="N1217">
        <v>-33289.185758513602</v>
      </c>
      <c r="O1217">
        <v>140543.59494323999</v>
      </c>
      <c r="P1217">
        <v>-431055.63931888499</v>
      </c>
      <c r="Q1217">
        <v>-257554.97110423201</v>
      </c>
      <c r="R1217">
        <v>80722.581011354894</v>
      </c>
      <c r="S1217">
        <v>5859.7956656349097</v>
      </c>
      <c r="T1217">
        <v>21122.418472653299</v>
      </c>
      <c r="U1217">
        <v>48773.916408667603</v>
      </c>
      <c r="V1217">
        <v>198207.95665634601</v>
      </c>
    </row>
    <row r="1218" spans="1:22" x14ac:dyDescent="0.3">
      <c r="A1218" t="str">
        <f t="shared" ref="A1218:A1281" si="38">_xlfn.CONCAT(D1218,F1218)</f>
        <v>PLPLPrevisão</v>
      </c>
      <c r="B1218" t="str">
        <f t="shared" ref="B1218:B1281" si="39">_xlfn.CONCAT(D1218,F1218,PROPER(TEXT(K1218,"mmm-aaaa")))</f>
        <v>PLPLPrevisãoDez-2022</v>
      </c>
      <c r="C1218" t="s">
        <v>195</v>
      </c>
      <c r="D1218" t="s">
        <v>196</v>
      </c>
      <c r="E1218" t="s">
        <v>168</v>
      </c>
      <c r="F1218" t="s">
        <v>736</v>
      </c>
      <c r="G1218" t="s">
        <v>737</v>
      </c>
      <c r="H1218" t="s">
        <v>738</v>
      </c>
      <c r="I1218" t="s">
        <v>739</v>
      </c>
      <c r="J1218" t="s">
        <v>739</v>
      </c>
      <c r="K1218" s="2">
        <v>44925</v>
      </c>
      <c r="L1218">
        <v>48155.595238094</v>
      </c>
      <c r="M1218">
        <v>632698.26984127203</v>
      </c>
      <c r="N1218">
        <v>128549.801587302</v>
      </c>
      <c r="O1218">
        <v>792.97619047620503</v>
      </c>
      <c r="P1218">
        <v>-632698.26984127203</v>
      </c>
      <c r="Q1218">
        <v>-191870.32539682</v>
      </c>
      <c r="R1218">
        <v>10591.0158730159</v>
      </c>
      <c r="S1218">
        <v>350.26984126980102</v>
      </c>
      <c r="T1218">
        <v>331257.35714285698</v>
      </c>
      <c r="U1218">
        <v>394100.40476191201</v>
      </c>
      <c r="V1218">
        <v>32725.396825396801</v>
      </c>
    </row>
    <row r="1219" spans="1:22" x14ac:dyDescent="0.3">
      <c r="A1219" t="str">
        <f t="shared" si="38"/>
        <v>PLPLPrevisão</v>
      </c>
      <c r="B1219" t="str">
        <f t="shared" si="39"/>
        <v>PLPLPrevisãoMar-2023</v>
      </c>
      <c r="C1219" t="s">
        <v>195</v>
      </c>
      <c r="D1219" t="s">
        <v>196</v>
      </c>
      <c r="E1219" t="s">
        <v>168</v>
      </c>
      <c r="F1219" t="s">
        <v>736</v>
      </c>
      <c r="G1219" t="s">
        <v>737</v>
      </c>
      <c r="H1219" t="s">
        <v>738</v>
      </c>
      <c r="I1219" t="s">
        <v>739</v>
      </c>
      <c r="J1219" t="s">
        <v>739</v>
      </c>
      <c r="K1219" s="2">
        <v>45015</v>
      </c>
      <c r="L1219">
        <v>76213.119047617103</v>
      </c>
      <c r="M1219">
        <v>224968.86507936899</v>
      </c>
      <c r="N1219">
        <v>180063.34920634999</v>
      </c>
      <c r="O1219">
        <v>1282.2619047619201</v>
      </c>
      <c r="P1219">
        <v>-224968.86507936899</v>
      </c>
      <c r="Q1219">
        <v>196004.746031752</v>
      </c>
      <c r="R1219">
        <v>7057.3253968254503</v>
      </c>
      <c r="S1219">
        <v>156.365079365024</v>
      </c>
      <c r="T1219">
        <v>336630.73809523799</v>
      </c>
      <c r="U1219">
        <v>414577.547619057</v>
      </c>
      <c r="V1219">
        <v>36130.301587301503</v>
      </c>
    </row>
    <row r="1220" spans="1:22" x14ac:dyDescent="0.3">
      <c r="A1220" t="str">
        <f t="shared" si="38"/>
        <v>PLPLPrevisão</v>
      </c>
      <c r="B1220" t="str">
        <f t="shared" si="39"/>
        <v>PLPLPrevisãoJun-2023</v>
      </c>
      <c r="C1220" t="s">
        <v>195</v>
      </c>
      <c r="D1220" t="s">
        <v>196</v>
      </c>
      <c r="E1220" t="s">
        <v>168</v>
      </c>
      <c r="F1220" t="s">
        <v>736</v>
      </c>
      <c r="G1220" t="s">
        <v>737</v>
      </c>
      <c r="H1220" t="s">
        <v>738</v>
      </c>
      <c r="I1220" t="s">
        <v>739</v>
      </c>
      <c r="J1220" t="s">
        <v>739</v>
      </c>
      <c r="K1220" s="2">
        <v>45107</v>
      </c>
      <c r="L1220">
        <v>118524.389610386</v>
      </c>
      <c r="M1220">
        <v>-359023.249639243</v>
      </c>
      <c r="N1220">
        <v>251583.58730158801</v>
      </c>
      <c r="O1220">
        <v>1980.58441558445</v>
      </c>
      <c r="P1220">
        <v>359023.249639243</v>
      </c>
      <c r="Q1220">
        <v>750952.05772006395</v>
      </c>
      <c r="R1220">
        <v>1675.06998557006</v>
      </c>
      <c r="S1220">
        <v>-226.067821067891</v>
      </c>
      <c r="T1220">
        <v>331062.491341991</v>
      </c>
      <c r="U1220">
        <v>439353.97402598598</v>
      </c>
      <c r="V1220">
        <v>41188.007215007099</v>
      </c>
    </row>
    <row r="1221" spans="1:22" x14ac:dyDescent="0.3">
      <c r="A1221" t="str">
        <f t="shared" si="38"/>
        <v>PLPLPrevisão</v>
      </c>
      <c r="B1221" t="str">
        <f t="shared" si="39"/>
        <v>PLPLPrevisãoSet-2023</v>
      </c>
      <c r="C1221" t="s">
        <v>195</v>
      </c>
      <c r="D1221" t="s">
        <v>196</v>
      </c>
      <c r="E1221" t="s">
        <v>168</v>
      </c>
      <c r="F1221" t="s">
        <v>736</v>
      </c>
      <c r="G1221" t="s">
        <v>737</v>
      </c>
      <c r="H1221" t="s">
        <v>738</v>
      </c>
      <c r="I1221" t="s">
        <v>739</v>
      </c>
      <c r="J1221" t="s">
        <v>739</v>
      </c>
      <c r="K1221" s="2">
        <v>45199</v>
      </c>
      <c r="L1221">
        <v>177627.55844155399</v>
      </c>
      <c r="M1221">
        <v>-1144613.79653678</v>
      </c>
      <c r="N1221">
        <v>346467.54112554202</v>
      </c>
      <c r="O1221">
        <v>2921.7922077922499</v>
      </c>
      <c r="P1221">
        <v>1144613.79653678</v>
      </c>
      <c r="Q1221">
        <v>1498573.82683983</v>
      </c>
      <c r="R1221">
        <v>-5824.0432900431897</v>
      </c>
      <c r="S1221">
        <v>-839.82683982692595</v>
      </c>
      <c r="T1221">
        <v>312471.72294372303</v>
      </c>
      <c r="U1221">
        <v>470242.07792209298</v>
      </c>
      <c r="V1221">
        <v>48242.887445887201</v>
      </c>
    </row>
    <row r="1222" spans="1:22" x14ac:dyDescent="0.3">
      <c r="A1222" t="str">
        <f t="shared" si="38"/>
        <v>PTBLPrevisão</v>
      </c>
      <c r="B1222" t="str">
        <f t="shared" si="39"/>
        <v>PTBLPrevisãoDez-2022</v>
      </c>
      <c r="C1222" t="s">
        <v>193</v>
      </c>
      <c r="D1222" t="s">
        <v>194</v>
      </c>
      <c r="E1222" t="s">
        <v>168</v>
      </c>
      <c r="F1222" t="s">
        <v>736</v>
      </c>
      <c r="G1222" t="s">
        <v>737</v>
      </c>
      <c r="H1222" t="s">
        <v>738</v>
      </c>
      <c r="I1222" t="s">
        <v>739</v>
      </c>
      <c r="J1222" t="s">
        <v>739</v>
      </c>
      <c r="K1222" s="2">
        <v>44925</v>
      </c>
      <c r="L1222">
        <v>69312.542483656202</v>
      </c>
      <c r="M1222">
        <v>2023576.87182754</v>
      </c>
      <c r="N1222">
        <v>814376.44308632298</v>
      </c>
      <c r="O1222">
        <v>344154.74085396301</v>
      </c>
      <c r="P1222">
        <v>-2023576.87182754</v>
      </c>
      <c r="Q1222">
        <v>-731825.29819200304</v>
      </c>
      <c r="R1222">
        <v>72462.035905271594</v>
      </c>
      <c r="S1222">
        <v>17559.469314998802</v>
      </c>
      <c r="T1222">
        <v>165535.42500637</v>
      </c>
      <c r="U1222">
        <v>456021.02936927101</v>
      </c>
      <c r="V1222">
        <v>542149.72192508006</v>
      </c>
    </row>
    <row r="1223" spans="1:22" x14ac:dyDescent="0.3">
      <c r="A1223" t="str">
        <f t="shared" si="38"/>
        <v>PTBLPrevisão</v>
      </c>
      <c r="B1223" t="str">
        <f t="shared" si="39"/>
        <v>PTBLPrevisãoMar-2023</v>
      </c>
      <c r="C1223" t="s">
        <v>193</v>
      </c>
      <c r="D1223" t="s">
        <v>194</v>
      </c>
      <c r="E1223" t="s">
        <v>168</v>
      </c>
      <c r="F1223" t="s">
        <v>736</v>
      </c>
      <c r="G1223" t="s">
        <v>737</v>
      </c>
      <c r="H1223" t="s">
        <v>738</v>
      </c>
      <c r="I1223" t="s">
        <v>739</v>
      </c>
      <c r="J1223" t="s">
        <v>739</v>
      </c>
      <c r="K1223" s="2">
        <v>45015</v>
      </c>
      <c r="L1223">
        <v>76906.550054251697</v>
      </c>
      <c r="M1223">
        <v>2026408.23952451</v>
      </c>
      <c r="N1223">
        <v>824791.90445220203</v>
      </c>
      <c r="O1223">
        <v>364096.46368069598</v>
      </c>
      <c r="P1223">
        <v>-2026408.23952451</v>
      </c>
      <c r="Q1223">
        <v>-756601.058465651</v>
      </c>
      <c r="R1223">
        <v>76677.897046780097</v>
      </c>
      <c r="S1223">
        <v>19123.468902057499</v>
      </c>
      <c r="T1223">
        <v>151714.699344116</v>
      </c>
      <c r="U1223">
        <v>465205.254126493</v>
      </c>
      <c r="V1223">
        <v>590669.38312027103</v>
      </c>
    </row>
    <row r="1224" spans="1:22" x14ac:dyDescent="0.3">
      <c r="A1224" t="str">
        <f t="shared" si="38"/>
        <v>PTBLPrevisão</v>
      </c>
      <c r="B1224" t="str">
        <f t="shared" si="39"/>
        <v>PTBLPrevisãoJun-2023</v>
      </c>
      <c r="C1224" t="s">
        <v>193</v>
      </c>
      <c r="D1224" t="s">
        <v>194</v>
      </c>
      <c r="E1224" t="s">
        <v>168</v>
      </c>
      <c r="F1224" t="s">
        <v>736</v>
      </c>
      <c r="G1224" t="s">
        <v>737</v>
      </c>
      <c r="H1224" t="s">
        <v>738</v>
      </c>
      <c r="I1224" t="s">
        <v>739</v>
      </c>
      <c r="J1224" t="s">
        <v>739</v>
      </c>
      <c r="K1224" s="2">
        <v>45107</v>
      </c>
      <c r="L1224">
        <v>85159.132065718804</v>
      </c>
      <c r="M1224">
        <v>2024882.1355864001</v>
      </c>
      <c r="N1224">
        <v>834852.05920279399</v>
      </c>
      <c r="O1224">
        <v>385958.11203087802</v>
      </c>
      <c r="P1224">
        <v>-2024882.1355864001</v>
      </c>
      <c r="Q1224">
        <v>-782731.90376360901</v>
      </c>
      <c r="R1224">
        <v>81178.061165706196</v>
      </c>
      <c r="S1224">
        <v>20986.684997651599</v>
      </c>
      <c r="T1224">
        <v>135715.26644006101</v>
      </c>
      <c r="U1224">
        <v>474403.87219427997</v>
      </c>
      <c r="V1224">
        <v>643867.33633652597</v>
      </c>
    </row>
    <row r="1225" spans="1:22" x14ac:dyDescent="0.3">
      <c r="A1225" t="str">
        <f t="shared" si="38"/>
        <v>PTBLPrevisão</v>
      </c>
      <c r="B1225" t="str">
        <f t="shared" si="39"/>
        <v>PTBLPrevisãoSet-2023</v>
      </c>
      <c r="C1225" t="s">
        <v>193</v>
      </c>
      <c r="D1225" t="s">
        <v>194</v>
      </c>
      <c r="E1225" t="s">
        <v>168</v>
      </c>
      <c r="F1225" t="s">
        <v>736</v>
      </c>
      <c r="G1225" t="s">
        <v>737</v>
      </c>
      <c r="H1225" t="s">
        <v>738</v>
      </c>
      <c r="I1225" t="s">
        <v>739</v>
      </c>
      <c r="J1225" t="s">
        <v>739</v>
      </c>
      <c r="K1225" s="2">
        <v>45199</v>
      </c>
      <c r="L1225">
        <v>94097.378808395501</v>
      </c>
      <c r="M1225">
        <v>2018816.4398904999</v>
      </c>
      <c r="N1225">
        <v>844554.04091793299</v>
      </c>
      <c r="O1225">
        <v>409838.05529799999</v>
      </c>
      <c r="P1225">
        <v>-2018816.4398904999</v>
      </c>
      <c r="Q1225">
        <v>-810275.11800531903</v>
      </c>
      <c r="R1225">
        <v>85973.771878417305</v>
      </c>
      <c r="S1225">
        <v>23165.352731279301</v>
      </c>
      <c r="T1225">
        <v>117443.703433688</v>
      </c>
      <c r="U1225">
        <v>483626.32617316802</v>
      </c>
      <c r="V1225">
        <v>701958.53723545303</v>
      </c>
    </row>
    <row r="1226" spans="1:22" x14ac:dyDescent="0.3">
      <c r="A1226" t="str">
        <f t="shared" si="38"/>
        <v>MRVEPrevisão</v>
      </c>
      <c r="B1226" t="str">
        <f t="shared" si="39"/>
        <v>MRVEPrevisãoDez-2022</v>
      </c>
      <c r="C1226" t="s">
        <v>191</v>
      </c>
      <c r="D1226" t="s">
        <v>192</v>
      </c>
      <c r="E1226" t="s">
        <v>168</v>
      </c>
      <c r="F1226" t="s">
        <v>736</v>
      </c>
      <c r="G1226" t="s">
        <v>737</v>
      </c>
      <c r="H1226" t="s">
        <v>738</v>
      </c>
      <c r="I1226" t="s">
        <v>739</v>
      </c>
      <c r="J1226" t="s">
        <v>739</v>
      </c>
      <c r="K1226" s="2">
        <v>44925</v>
      </c>
      <c r="L1226">
        <v>25512.388082527901</v>
      </c>
      <c r="M1226">
        <v>15636591.2160256</v>
      </c>
      <c r="N1226">
        <v>5223495.1194291301</v>
      </c>
      <c r="O1226">
        <v>2950389.3219592702</v>
      </c>
      <c r="P1226">
        <v>-15636591.2160256</v>
      </c>
      <c r="Q1226">
        <v>-2739331.0042439499</v>
      </c>
      <c r="R1226">
        <v>98664.140140906005</v>
      </c>
      <c r="S1226">
        <v>84284.991426877707</v>
      </c>
      <c r="T1226">
        <v>1738473.1975213001</v>
      </c>
      <c r="U1226">
        <v>6276563.6166708004</v>
      </c>
      <c r="V1226">
        <v>907251.19319246698</v>
      </c>
    </row>
    <row r="1227" spans="1:22" x14ac:dyDescent="0.3">
      <c r="A1227" t="str">
        <f t="shared" si="38"/>
        <v>MRVEPrevisão</v>
      </c>
      <c r="B1227" t="str">
        <f t="shared" si="39"/>
        <v>MRVEPrevisãoMar-2023</v>
      </c>
      <c r="C1227" t="s">
        <v>191</v>
      </c>
      <c r="D1227" t="s">
        <v>192</v>
      </c>
      <c r="E1227" t="s">
        <v>168</v>
      </c>
      <c r="F1227" t="s">
        <v>736</v>
      </c>
      <c r="G1227" t="s">
        <v>737</v>
      </c>
      <c r="H1227" t="s">
        <v>738</v>
      </c>
      <c r="I1227" t="s">
        <v>739</v>
      </c>
      <c r="J1227" t="s">
        <v>739</v>
      </c>
      <c r="K1227" s="2">
        <v>45015</v>
      </c>
      <c r="L1227">
        <v>-450.78319876256802</v>
      </c>
      <c r="M1227">
        <v>15890635.5820983</v>
      </c>
      <c r="N1227">
        <v>5184278.9774528798</v>
      </c>
      <c r="O1227">
        <v>3327629.9531405298</v>
      </c>
      <c r="P1227">
        <v>-15890635.5820983</v>
      </c>
      <c r="Q1227">
        <v>-2836336.5430570301</v>
      </c>
      <c r="R1227">
        <v>98009.308387073397</v>
      </c>
      <c r="S1227">
        <v>87711.841776845598</v>
      </c>
      <c r="T1227">
        <v>2006652.52435769</v>
      </c>
      <c r="U1227">
        <v>6404259.3292772602</v>
      </c>
      <c r="V1227">
        <v>914582.48576845601</v>
      </c>
    </row>
    <row r="1228" spans="1:22" x14ac:dyDescent="0.3">
      <c r="A1228" t="str">
        <f t="shared" si="38"/>
        <v>MRVEPrevisão</v>
      </c>
      <c r="B1228" t="str">
        <f t="shared" si="39"/>
        <v>MRVEPrevisãoJun-2023</v>
      </c>
      <c r="C1228" t="s">
        <v>191</v>
      </c>
      <c r="D1228" t="s">
        <v>192</v>
      </c>
      <c r="E1228" t="s">
        <v>168</v>
      </c>
      <c r="F1228" t="s">
        <v>736</v>
      </c>
      <c r="G1228" t="s">
        <v>737</v>
      </c>
      <c r="H1228" t="s">
        <v>738</v>
      </c>
      <c r="I1228" t="s">
        <v>739</v>
      </c>
      <c r="J1228" t="s">
        <v>739</v>
      </c>
      <c r="K1228" s="2">
        <v>45107</v>
      </c>
      <c r="L1228">
        <v>-29161.771321984899</v>
      </c>
      <c r="M1228">
        <v>16141993.8652675</v>
      </c>
      <c r="N1228">
        <v>5135396.6740320297</v>
      </c>
      <c r="O1228">
        <v>3751613.7393723</v>
      </c>
      <c r="P1228">
        <v>-16141993.8652675</v>
      </c>
      <c r="Q1228">
        <v>-2945352.3528872901</v>
      </c>
      <c r="R1228">
        <v>97069.334313646294</v>
      </c>
      <c r="S1228">
        <v>91153.1756415696</v>
      </c>
      <c r="T1228">
        <v>2302670.77689646</v>
      </c>
      <c r="U1228">
        <v>6542867.55571419</v>
      </c>
      <c r="V1228">
        <v>920587.11481396004</v>
      </c>
    </row>
    <row r="1229" spans="1:22" x14ac:dyDescent="0.3">
      <c r="A1229" t="str">
        <f t="shared" si="38"/>
        <v>MRVEPrevisão</v>
      </c>
      <c r="B1229" t="str">
        <f t="shared" si="39"/>
        <v>MRVEPrevisãoSet-2023</v>
      </c>
      <c r="C1229" t="s">
        <v>191</v>
      </c>
      <c r="D1229" t="s">
        <v>192</v>
      </c>
      <c r="E1229" t="s">
        <v>168</v>
      </c>
      <c r="F1229" t="s">
        <v>736</v>
      </c>
      <c r="G1229" t="s">
        <v>737</v>
      </c>
      <c r="H1229" t="s">
        <v>738</v>
      </c>
      <c r="I1229" t="s">
        <v>739</v>
      </c>
      <c r="J1229" t="s">
        <v>739</v>
      </c>
      <c r="K1229" s="2">
        <v>45199</v>
      </c>
      <c r="L1229">
        <v>-60744.919150256203</v>
      </c>
      <c r="M1229">
        <v>16390433.445426499</v>
      </c>
      <c r="N1229">
        <v>5076479.0348454202</v>
      </c>
      <c r="O1229">
        <v>4224520.2753005996</v>
      </c>
      <c r="P1229">
        <v>-16390433.445426499</v>
      </c>
      <c r="Q1229">
        <v>-3067091.9896623902</v>
      </c>
      <c r="R1229">
        <v>95828.4616305495</v>
      </c>
      <c r="S1229">
        <v>94602.0500573014</v>
      </c>
      <c r="T1229">
        <v>2627726.8178586098</v>
      </c>
      <c r="U1229">
        <v>6693101.9789553899</v>
      </c>
      <c r="V1229">
        <v>925164.00960103597</v>
      </c>
    </row>
    <row r="1230" spans="1:22" x14ac:dyDescent="0.3">
      <c r="A1230" t="str">
        <f t="shared" si="38"/>
        <v>MDNEPrevisão</v>
      </c>
      <c r="B1230" t="str">
        <f t="shared" si="39"/>
        <v>MDNEPrevisãoDez-2022</v>
      </c>
      <c r="C1230" t="s">
        <v>213</v>
      </c>
      <c r="D1230" t="s">
        <v>214</v>
      </c>
      <c r="E1230" t="s">
        <v>168</v>
      </c>
      <c r="F1230" t="s">
        <v>736</v>
      </c>
      <c r="G1230" t="s">
        <v>737</v>
      </c>
      <c r="H1230" t="s">
        <v>738</v>
      </c>
      <c r="I1230" t="s">
        <v>739</v>
      </c>
      <c r="J1230" t="s">
        <v>739</v>
      </c>
      <c r="K1230" s="2">
        <v>44925</v>
      </c>
      <c r="L1230">
        <v>69381.206264305903</v>
      </c>
      <c r="M1230">
        <v>1742663.8736942799</v>
      </c>
      <c r="N1230">
        <v>412240.26780415297</v>
      </c>
      <c r="O1230">
        <v>75762.776759244603</v>
      </c>
      <c r="P1230">
        <v>-1742663.8736942799</v>
      </c>
      <c r="Q1230">
        <v>428469.15906960401</v>
      </c>
      <c r="R1230">
        <v>11273.226126822399</v>
      </c>
      <c r="S1230">
        <v>5562.1380188428802</v>
      </c>
      <c r="T1230">
        <v>55540.574738961601</v>
      </c>
      <c r="U1230">
        <v>1585609.8148715999</v>
      </c>
      <c r="V1230">
        <v>3996.7142008438</v>
      </c>
    </row>
    <row r="1231" spans="1:22" x14ac:dyDescent="0.3">
      <c r="A1231" t="str">
        <f t="shared" si="38"/>
        <v>MDNEPrevisão</v>
      </c>
      <c r="B1231" t="str">
        <f t="shared" si="39"/>
        <v>MDNEPrevisãoMar-2023</v>
      </c>
      <c r="C1231" t="s">
        <v>213</v>
      </c>
      <c r="D1231" t="s">
        <v>214</v>
      </c>
      <c r="E1231" t="s">
        <v>168</v>
      </c>
      <c r="F1231" t="s">
        <v>736</v>
      </c>
      <c r="G1231" t="s">
        <v>737</v>
      </c>
      <c r="H1231" t="s">
        <v>738</v>
      </c>
      <c r="I1231" t="s">
        <v>739</v>
      </c>
      <c r="J1231" t="s">
        <v>739</v>
      </c>
      <c r="K1231" s="2">
        <v>45015</v>
      </c>
      <c r="L1231">
        <v>89255.369458822403</v>
      </c>
      <c r="M1231">
        <v>1696643.7090269199</v>
      </c>
      <c r="N1231">
        <v>462637.040706934</v>
      </c>
      <c r="O1231">
        <v>82789.559077095706</v>
      </c>
      <c r="P1231">
        <v>-1696643.7090269199</v>
      </c>
      <c r="Q1231">
        <v>779957.75256306701</v>
      </c>
      <c r="R1231">
        <v>10173.818353885899</v>
      </c>
      <c r="S1231">
        <v>6262.9226560388697</v>
      </c>
      <c r="T1231">
        <v>85885.371709361105</v>
      </c>
      <c r="U1231">
        <v>1775126.1826442999</v>
      </c>
      <c r="V1231">
        <v>2740.6483848389698</v>
      </c>
    </row>
    <row r="1232" spans="1:22" x14ac:dyDescent="0.3">
      <c r="A1232" t="str">
        <f t="shared" si="38"/>
        <v>MDNEPrevisão</v>
      </c>
      <c r="B1232" t="str">
        <f t="shared" si="39"/>
        <v>MDNEPrevisãoJun-2023</v>
      </c>
      <c r="C1232" t="s">
        <v>213</v>
      </c>
      <c r="D1232" t="s">
        <v>214</v>
      </c>
      <c r="E1232" t="s">
        <v>168</v>
      </c>
      <c r="F1232" t="s">
        <v>736</v>
      </c>
      <c r="G1232" t="s">
        <v>737</v>
      </c>
      <c r="H1232" t="s">
        <v>738</v>
      </c>
      <c r="I1232" t="s">
        <v>739</v>
      </c>
      <c r="J1232" t="s">
        <v>739</v>
      </c>
      <c r="K1232" s="2">
        <v>45107</v>
      </c>
      <c r="L1232">
        <v>111427.005270059</v>
      </c>
      <c r="M1232">
        <v>1654547.3291565101</v>
      </c>
      <c r="N1232">
        <v>517725.22937560698</v>
      </c>
      <c r="O1232">
        <v>91734.9916576908</v>
      </c>
      <c r="P1232">
        <v>-1654547.3291565101</v>
      </c>
      <c r="Q1232">
        <v>1173297.2555227</v>
      </c>
      <c r="R1232">
        <v>8857.6115675900601</v>
      </c>
      <c r="S1232">
        <v>7032.7638861551604</v>
      </c>
      <c r="T1232">
        <v>122018.722139941</v>
      </c>
      <c r="U1232">
        <v>1983350.86160146</v>
      </c>
      <c r="V1232">
        <v>1513.79773349841</v>
      </c>
    </row>
    <row r="1233" spans="1:22" x14ac:dyDescent="0.3">
      <c r="A1233" t="str">
        <f t="shared" si="38"/>
        <v>MDNEPrevisão</v>
      </c>
      <c r="B1233" t="str">
        <f t="shared" si="39"/>
        <v>MDNEPrevisãoSet-2023</v>
      </c>
      <c r="C1233" t="s">
        <v>213</v>
      </c>
      <c r="D1233" t="s">
        <v>214</v>
      </c>
      <c r="E1233" t="s">
        <v>168</v>
      </c>
      <c r="F1233" t="s">
        <v>736</v>
      </c>
      <c r="G1233" t="s">
        <v>737</v>
      </c>
      <c r="H1233" t="s">
        <v>738</v>
      </c>
      <c r="I1233" t="s">
        <v>739</v>
      </c>
      <c r="J1233" t="s">
        <v>739</v>
      </c>
      <c r="K1233" s="2">
        <v>45199</v>
      </c>
      <c r="L1233">
        <v>135999.54268651101</v>
      </c>
      <c r="M1233">
        <v>1616961.3156403401</v>
      </c>
      <c r="N1233">
        <v>577639.26804548805</v>
      </c>
      <c r="O1233">
        <v>102711.345361641</v>
      </c>
      <c r="P1233">
        <v>-1616961.3156403401</v>
      </c>
      <c r="Q1233">
        <v>1610390.4609932101</v>
      </c>
      <c r="R1233">
        <v>7313.0028602576103</v>
      </c>
      <c r="S1233">
        <v>7874.2868422379497</v>
      </c>
      <c r="T1233">
        <v>164280.50042613101</v>
      </c>
      <c r="U1233">
        <v>2211109.3740048199</v>
      </c>
      <c r="V1233">
        <v>323.765433090957</v>
      </c>
    </row>
    <row r="1234" spans="1:22" x14ac:dyDescent="0.3">
      <c r="A1234" t="str">
        <f t="shared" si="38"/>
        <v>MTREPrevisão</v>
      </c>
      <c r="B1234" t="str">
        <f t="shared" si="39"/>
        <v>MTREPrevisãoDez-2022</v>
      </c>
      <c r="C1234" t="s">
        <v>189</v>
      </c>
      <c r="D1234" t="s">
        <v>190</v>
      </c>
      <c r="E1234" t="s">
        <v>168</v>
      </c>
      <c r="F1234" t="s">
        <v>736</v>
      </c>
      <c r="G1234" t="s">
        <v>737</v>
      </c>
      <c r="H1234" t="s">
        <v>738</v>
      </c>
      <c r="I1234" t="s">
        <v>739</v>
      </c>
      <c r="J1234" t="s">
        <v>739</v>
      </c>
      <c r="K1234" s="2">
        <v>44925</v>
      </c>
      <c r="L1234">
        <v>11490.404040404001</v>
      </c>
      <c r="M1234">
        <v>1431412.4646463799</v>
      </c>
      <c r="N1234">
        <v>183112.474747375</v>
      </c>
      <c r="O1234">
        <v>0</v>
      </c>
      <c r="P1234">
        <v>-1431412.4646463799</v>
      </c>
      <c r="Q1234">
        <v>-84734.494949494605</v>
      </c>
      <c r="R1234">
        <v>7771.51515151485</v>
      </c>
      <c r="S1234">
        <v>0</v>
      </c>
      <c r="T1234">
        <v>7746.3434343433801</v>
      </c>
      <c r="U1234">
        <v>907653.17171715596</v>
      </c>
      <c r="V1234">
        <v>-1868.01010100998</v>
      </c>
    </row>
    <row r="1235" spans="1:22" x14ac:dyDescent="0.3">
      <c r="A1235" t="str">
        <f t="shared" si="38"/>
        <v>MTREPrevisão</v>
      </c>
      <c r="B1235" t="str">
        <f t="shared" si="39"/>
        <v>MTREPrevisãoMar-2023</v>
      </c>
      <c r="C1235" t="s">
        <v>189</v>
      </c>
      <c r="D1235" t="s">
        <v>190</v>
      </c>
      <c r="E1235" t="s">
        <v>168</v>
      </c>
      <c r="F1235" t="s">
        <v>736</v>
      </c>
      <c r="G1235" t="s">
        <v>737</v>
      </c>
      <c r="H1235" t="s">
        <v>738</v>
      </c>
      <c r="I1235" t="s">
        <v>739</v>
      </c>
      <c r="J1235" t="s">
        <v>739</v>
      </c>
      <c r="K1235" s="2">
        <v>45015</v>
      </c>
      <c r="L1235">
        <v>13089.944832944901</v>
      </c>
      <c r="M1235">
        <v>1631633.69774659</v>
      </c>
      <c r="N1235">
        <v>312577.96891982999</v>
      </c>
      <c r="O1235">
        <v>0</v>
      </c>
      <c r="P1235">
        <v>-1631633.69774659</v>
      </c>
      <c r="Q1235">
        <v>-97985.790986790496</v>
      </c>
      <c r="R1235">
        <v>7566.7529137524998</v>
      </c>
      <c r="S1235">
        <v>0</v>
      </c>
      <c r="T1235">
        <v>-1087.0458430459801</v>
      </c>
      <c r="U1235">
        <v>869406.94560992101</v>
      </c>
      <c r="V1235">
        <v>-12189.8026418024</v>
      </c>
    </row>
    <row r="1236" spans="1:22" x14ac:dyDescent="0.3">
      <c r="A1236" t="str">
        <f t="shared" si="38"/>
        <v>MTREPrevisão</v>
      </c>
      <c r="B1236" t="str">
        <f t="shared" si="39"/>
        <v>MTREPrevisãoJun-2023</v>
      </c>
      <c r="C1236" t="s">
        <v>189</v>
      </c>
      <c r="D1236" t="s">
        <v>190</v>
      </c>
      <c r="E1236" t="s">
        <v>168</v>
      </c>
      <c r="F1236" t="s">
        <v>736</v>
      </c>
      <c r="G1236" t="s">
        <v>737</v>
      </c>
      <c r="H1236" t="s">
        <v>738</v>
      </c>
      <c r="I1236" t="s">
        <v>739</v>
      </c>
      <c r="J1236" t="s">
        <v>739</v>
      </c>
      <c r="K1236" s="2">
        <v>45107</v>
      </c>
      <c r="L1236">
        <v>14959.6897546898</v>
      </c>
      <c r="M1236">
        <v>1908085.06504592</v>
      </c>
      <c r="N1236">
        <v>551132.066155885</v>
      </c>
      <c r="O1236">
        <v>0</v>
      </c>
      <c r="P1236">
        <v>-1908085.06504592</v>
      </c>
      <c r="Q1236">
        <v>-114683.845598845</v>
      </c>
      <c r="R1236">
        <v>7175.68598068542</v>
      </c>
      <c r="S1236">
        <v>0</v>
      </c>
      <c r="T1236">
        <v>-13540.171051171201</v>
      </c>
      <c r="U1236">
        <v>842008.37351533805</v>
      </c>
      <c r="V1236">
        <v>-26186.047064046699</v>
      </c>
    </row>
    <row r="1237" spans="1:22" x14ac:dyDescent="0.3">
      <c r="A1237" t="str">
        <f t="shared" si="38"/>
        <v>MTREPrevisão</v>
      </c>
      <c r="B1237" t="str">
        <f t="shared" si="39"/>
        <v>MTREPrevisãoSet-2023</v>
      </c>
      <c r="C1237" t="s">
        <v>189</v>
      </c>
      <c r="D1237" t="s">
        <v>190</v>
      </c>
      <c r="E1237" t="s">
        <v>168</v>
      </c>
      <c r="F1237" t="s">
        <v>736</v>
      </c>
      <c r="G1237" t="s">
        <v>737</v>
      </c>
      <c r="H1237" t="s">
        <v>738</v>
      </c>
      <c r="I1237" t="s">
        <v>739</v>
      </c>
      <c r="J1237" t="s">
        <v>739</v>
      </c>
      <c r="K1237" s="2">
        <v>45199</v>
      </c>
      <c r="L1237">
        <v>17114.548673548699</v>
      </c>
      <c r="M1237">
        <v>2274646.8517036601</v>
      </c>
      <c r="N1237">
        <v>918947.74936151505</v>
      </c>
      <c r="O1237">
        <v>0</v>
      </c>
      <c r="P1237">
        <v>-2274646.8517036601</v>
      </c>
      <c r="Q1237">
        <v>-135238.56865356801</v>
      </c>
      <c r="R1237">
        <v>6585.6826506819198</v>
      </c>
      <c r="S1237">
        <v>0</v>
      </c>
      <c r="T1237">
        <v>-30093.511599511901</v>
      </c>
      <c r="U1237">
        <v>831909.32412027405</v>
      </c>
      <c r="V1237">
        <v>-44337.573981573601</v>
      </c>
    </row>
    <row r="1238" spans="1:22" x14ac:dyDescent="0.3">
      <c r="A1238" t="str">
        <f t="shared" si="38"/>
        <v>LOGGPrevisão</v>
      </c>
      <c r="B1238" t="str">
        <f t="shared" si="39"/>
        <v>LOGGPrevisãoDez-2022</v>
      </c>
      <c r="C1238" t="s">
        <v>187</v>
      </c>
      <c r="D1238" t="s">
        <v>188</v>
      </c>
      <c r="E1238" t="s">
        <v>168</v>
      </c>
      <c r="F1238" t="s">
        <v>736</v>
      </c>
      <c r="G1238" t="s">
        <v>737</v>
      </c>
      <c r="H1238" t="s">
        <v>738</v>
      </c>
      <c r="I1238" t="s">
        <v>739</v>
      </c>
      <c r="J1238" t="s">
        <v>739</v>
      </c>
      <c r="K1238" s="2">
        <v>44925</v>
      </c>
      <c r="L1238">
        <v>164154.13749316</v>
      </c>
      <c r="M1238">
        <v>6172284.2528010998</v>
      </c>
      <c r="N1238">
        <v>535709.18372567103</v>
      </c>
      <c r="O1238">
        <v>78157.374420713502</v>
      </c>
      <c r="P1238">
        <v>-6172284.2528010998</v>
      </c>
      <c r="Q1238">
        <v>-405744.20945083798</v>
      </c>
      <c r="R1238">
        <v>11186.9681080101</v>
      </c>
      <c r="S1238">
        <v>11015.8356504287</v>
      </c>
      <c r="T1238">
        <v>752776.43871575699</v>
      </c>
      <c r="U1238">
        <v>3989801.4742565299</v>
      </c>
      <c r="V1238">
        <v>23282.933771213899</v>
      </c>
    </row>
    <row r="1239" spans="1:22" x14ac:dyDescent="0.3">
      <c r="A1239" t="str">
        <f t="shared" si="38"/>
        <v>LOGGPrevisão</v>
      </c>
      <c r="B1239" t="str">
        <f t="shared" si="39"/>
        <v>LOGGPrevisãoMar-2023</v>
      </c>
      <c r="C1239" t="s">
        <v>187</v>
      </c>
      <c r="D1239" t="s">
        <v>188</v>
      </c>
      <c r="E1239" t="s">
        <v>168</v>
      </c>
      <c r="F1239" t="s">
        <v>736</v>
      </c>
      <c r="G1239" t="s">
        <v>737</v>
      </c>
      <c r="H1239" t="s">
        <v>738</v>
      </c>
      <c r="I1239" t="s">
        <v>739</v>
      </c>
      <c r="J1239" t="s">
        <v>739</v>
      </c>
      <c r="K1239" s="2">
        <v>45015</v>
      </c>
      <c r="L1239">
        <v>189281.72057489201</v>
      </c>
      <c r="M1239">
        <v>6619209.5854282603</v>
      </c>
      <c r="N1239">
        <v>488264.429642662</v>
      </c>
      <c r="O1239">
        <v>89970.962993552894</v>
      </c>
      <c r="P1239">
        <v>-6619209.5854282603</v>
      </c>
      <c r="Q1239">
        <v>-443769.30721378501</v>
      </c>
      <c r="R1239">
        <v>12487.0046742125</v>
      </c>
      <c r="S1239">
        <v>12451.500268964301</v>
      </c>
      <c r="T1239">
        <v>718143.16970435705</v>
      </c>
      <c r="U1239">
        <v>4192013.6096274098</v>
      </c>
      <c r="V1239">
        <v>26508.922435868299</v>
      </c>
    </row>
    <row r="1240" spans="1:22" x14ac:dyDescent="0.3">
      <c r="A1240" t="str">
        <f t="shared" si="38"/>
        <v>LOGGPrevisão</v>
      </c>
      <c r="B1240" t="str">
        <f t="shared" si="39"/>
        <v>LOGGPrevisãoJun-2023</v>
      </c>
      <c r="C1240" t="s">
        <v>187</v>
      </c>
      <c r="D1240" t="s">
        <v>188</v>
      </c>
      <c r="E1240" t="s">
        <v>168</v>
      </c>
      <c r="F1240" t="s">
        <v>736</v>
      </c>
      <c r="G1240" t="s">
        <v>737</v>
      </c>
      <c r="H1240" t="s">
        <v>738</v>
      </c>
      <c r="I1240" t="s">
        <v>739</v>
      </c>
      <c r="J1240" t="s">
        <v>739</v>
      </c>
      <c r="K1240" s="2">
        <v>45107</v>
      </c>
      <c r="L1240">
        <v>216886.14863649599</v>
      </c>
      <c r="M1240">
        <v>7104701.3037176104</v>
      </c>
      <c r="N1240">
        <v>426494.36037700099</v>
      </c>
      <c r="O1240">
        <v>103408.147329762</v>
      </c>
      <c r="P1240">
        <v>-7104701.3037176104</v>
      </c>
      <c r="Q1240">
        <v>-486112.84311787703</v>
      </c>
      <c r="R1240">
        <v>13911.4648040747</v>
      </c>
      <c r="S1240">
        <v>14012.716066499501</v>
      </c>
      <c r="T1240">
        <v>680790.08845890802</v>
      </c>
      <c r="U1240">
        <v>4407242.0813464299</v>
      </c>
      <c r="V1240">
        <v>30073.6765210958</v>
      </c>
    </row>
    <row r="1241" spans="1:22" x14ac:dyDescent="0.3">
      <c r="A1241" t="str">
        <f t="shared" si="38"/>
        <v>LOGGPrevisão</v>
      </c>
      <c r="B1241" t="str">
        <f t="shared" si="39"/>
        <v>LOGGPrevisãoSet-2023</v>
      </c>
      <c r="C1241" t="s">
        <v>187</v>
      </c>
      <c r="D1241" t="s">
        <v>188</v>
      </c>
      <c r="E1241" t="s">
        <v>168</v>
      </c>
      <c r="F1241" t="s">
        <v>736</v>
      </c>
      <c r="G1241" t="s">
        <v>737</v>
      </c>
      <c r="H1241" t="s">
        <v>738</v>
      </c>
      <c r="I1241" t="s">
        <v>739</v>
      </c>
      <c r="J1241" t="s">
        <v>739</v>
      </c>
      <c r="K1241" s="2">
        <v>45199</v>
      </c>
      <c r="L1241">
        <v>247074.26908979801</v>
      </c>
      <c r="M1241">
        <v>7630662.5799027197</v>
      </c>
      <c r="N1241">
        <v>349398.41429267498</v>
      </c>
      <c r="O1241">
        <v>118564.538048417</v>
      </c>
      <c r="P1241">
        <v>-7630662.5799027197</v>
      </c>
      <c r="Q1241">
        <v>-532985.28463632497</v>
      </c>
      <c r="R1241">
        <v>15466.1152843931</v>
      </c>
      <c r="S1241">
        <v>15704.7148091568</v>
      </c>
      <c r="T1241">
        <v>640846.70186041703</v>
      </c>
      <c r="U1241">
        <v>4636152.8531860104</v>
      </c>
      <c r="V1241">
        <v>33993.684413262999</v>
      </c>
    </row>
    <row r="1242" spans="1:22" x14ac:dyDescent="0.3">
      <c r="A1242" t="str">
        <f t="shared" si="38"/>
        <v>LAVVPrevisão</v>
      </c>
      <c r="B1242" t="str">
        <f t="shared" si="39"/>
        <v>LAVVPrevisãoDez-2022</v>
      </c>
      <c r="C1242" t="s">
        <v>185</v>
      </c>
      <c r="D1242" t="s">
        <v>186</v>
      </c>
      <c r="E1242" t="s">
        <v>168</v>
      </c>
      <c r="F1242" t="s">
        <v>736</v>
      </c>
      <c r="G1242" t="s">
        <v>737</v>
      </c>
      <c r="H1242" t="s">
        <v>738</v>
      </c>
      <c r="I1242" t="s">
        <v>739</v>
      </c>
      <c r="J1242" t="s">
        <v>739</v>
      </c>
      <c r="K1242" s="2">
        <v>44925</v>
      </c>
      <c r="L1242">
        <v>-1631.42857142863</v>
      </c>
      <c r="M1242">
        <v>1006162.1904762</v>
      </c>
      <c r="N1242">
        <v>416697.15873020701</v>
      </c>
      <c r="O1242">
        <v>0</v>
      </c>
      <c r="P1242">
        <v>-1006162.1904762</v>
      </c>
      <c r="Q1242">
        <v>14245.0714285714</v>
      </c>
      <c r="R1242">
        <v>5229.3412698413704</v>
      </c>
      <c r="S1242">
        <v>-122.007936507937</v>
      </c>
      <c r="T1242">
        <v>-150478.56349206201</v>
      </c>
      <c r="U1242">
        <v>1026746.50793647</v>
      </c>
      <c r="V1242">
        <v>-12128.722222222499</v>
      </c>
    </row>
    <row r="1243" spans="1:22" x14ac:dyDescent="0.3">
      <c r="A1243" t="str">
        <f t="shared" si="38"/>
        <v>LAVVPrevisão</v>
      </c>
      <c r="B1243" t="str">
        <f t="shared" si="39"/>
        <v>LAVVPrevisãoMar-2023</v>
      </c>
      <c r="C1243" t="s">
        <v>185</v>
      </c>
      <c r="D1243" t="s">
        <v>186</v>
      </c>
      <c r="E1243" t="s">
        <v>168</v>
      </c>
      <c r="F1243" t="s">
        <v>736</v>
      </c>
      <c r="G1243" t="s">
        <v>737</v>
      </c>
      <c r="H1243" t="s">
        <v>738</v>
      </c>
      <c r="I1243" t="s">
        <v>739</v>
      </c>
      <c r="J1243" t="s">
        <v>739</v>
      </c>
      <c r="K1243" s="2">
        <v>45015</v>
      </c>
      <c r="L1243">
        <v>-32788.619047619301</v>
      </c>
      <c r="M1243">
        <v>941224.57142858603</v>
      </c>
      <c r="N1243">
        <v>863400.42063498101</v>
      </c>
      <c r="O1243">
        <v>0</v>
      </c>
      <c r="P1243">
        <v>-941224.57142858603</v>
      </c>
      <c r="Q1243">
        <v>46462.380952380801</v>
      </c>
      <c r="R1243">
        <v>5353.74603174616</v>
      </c>
      <c r="S1243">
        <v>-2370.0793650793498</v>
      </c>
      <c r="T1243">
        <v>-382707.71825396601</v>
      </c>
      <c r="U1243">
        <v>997928.91269836202</v>
      </c>
      <c r="V1243">
        <v>-19234.722222222801</v>
      </c>
    </row>
    <row r="1244" spans="1:22" x14ac:dyDescent="0.3">
      <c r="A1244" t="str">
        <f t="shared" si="38"/>
        <v>LAVVPrevisão</v>
      </c>
      <c r="B1244" t="str">
        <f t="shared" si="39"/>
        <v>LAVVPrevisãoJun-2023</v>
      </c>
      <c r="C1244" t="s">
        <v>185</v>
      </c>
      <c r="D1244" t="s">
        <v>186</v>
      </c>
      <c r="E1244" t="s">
        <v>168</v>
      </c>
      <c r="F1244" t="s">
        <v>736</v>
      </c>
      <c r="G1244" t="s">
        <v>737</v>
      </c>
      <c r="H1244" t="s">
        <v>738</v>
      </c>
      <c r="I1244" t="s">
        <v>739</v>
      </c>
      <c r="J1244" t="s">
        <v>739</v>
      </c>
      <c r="K1244" s="2">
        <v>45107</v>
      </c>
      <c r="L1244">
        <v>-73457.738095238601</v>
      </c>
      <c r="M1244">
        <v>944209.09740260697</v>
      </c>
      <c r="N1244">
        <v>1626575.1089466801</v>
      </c>
      <c r="O1244">
        <v>0</v>
      </c>
      <c r="P1244">
        <v>-944209.09740260697</v>
      </c>
      <c r="Q1244">
        <v>91623.807359307204</v>
      </c>
      <c r="R1244">
        <v>5406.0122655124296</v>
      </c>
      <c r="S1244">
        <v>-5655.1486291486099</v>
      </c>
      <c r="T1244">
        <v>-693144.76479076198</v>
      </c>
      <c r="U1244">
        <v>1043843.99711391</v>
      </c>
      <c r="V1244">
        <v>-24347.904040405101</v>
      </c>
    </row>
    <row r="1245" spans="1:22" x14ac:dyDescent="0.3">
      <c r="A1245" t="str">
        <f t="shared" si="38"/>
        <v>LAVVPrevisão</v>
      </c>
      <c r="B1245" t="str">
        <f t="shared" si="39"/>
        <v>LAVVPrevisãoSet-2023</v>
      </c>
      <c r="C1245" t="s">
        <v>185</v>
      </c>
      <c r="D1245" t="s">
        <v>186</v>
      </c>
      <c r="E1245" t="s">
        <v>168</v>
      </c>
      <c r="F1245" t="s">
        <v>736</v>
      </c>
      <c r="G1245" t="s">
        <v>737</v>
      </c>
      <c r="H1245" t="s">
        <v>738</v>
      </c>
      <c r="I1245" t="s">
        <v>739</v>
      </c>
      <c r="J1245" t="s">
        <v>739</v>
      </c>
      <c r="K1245" s="2">
        <v>45199</v>
      </c>
      <c r="L1245">
        <v>-124563.67965368</v>
      </c>
      <c r="M1245">
        <v>1042865.48051948</v>
      </c>
      <c r="N1245">
        <v>2771372.8398269201</v>
      </c>
      <c r="O1245">
        <v>0</v>
      </c>
      <c r="P1245">
        <v>-1042865.48051948</v>
      </c>
      <c r="Q1245">
        <v>151597.805194805</v>
      </c>
      <c r="R1245">
        <v>5393.1904761906699</v>
      </c>
      <c r="S1245">
        <v>-10138.432900432799</v>
      </c>
      <c r="T1245">
        <v>-1091664.8116883</v>
      </c>
      <c r="U1245">
        <v>1192570.91774879</v>
      </c>
      <c r="V1245">
        <v>-26634.636363638099</v>
      </c>
    </row>
    <row r="1246" spans="1:22" x14ac:dyDescent="0.3">
      <c r="A1246" t="str">
        <f t="shared" si="38"/>
        <v>JFENPrevisão</v>
      </c>
      <c r="B1246" t="str">
        <f t="shared" si="39"/>
        <v>JFENPrevisãoDez-2022</v>
      </c>
      <c r="C1246" t="s">
        <v>223</v>
      </c>
      <c r="D1246" t="s">
        <v>224</v>
      </c>
      <c r="E1246" t="s">
        <v>168</v>
      </c>
      <c r="F1246" t="s">
        <v>736</v>
      </c>
      <c r="G1246" t="s">
        <v>737</v>
      </c>
      <c r="H1246" t="s">
        <v>738</v>
      </c>
      <c r="I1246" t="s">
        <v>739</v>
      </c>
      <c r="J1246" t="s">
        <v>739</v>
      </c>
      <c r="K1246" s="2">
        <v>44925</v>
      </c>
      <c r="L1246">
        <v>10494.6518122546</v>
      </c>
      <c r="M1246">
        <v>1196903.51667994</v>
      </c>
      <c r="N1246">
        <v>87669.577198719999</v>
      </c>
      <c r="O1246">
        <v>75640.608352319396</v>
      </c>
      <c r="P1246">
        <v>-1196903.51667994</v>
      </c>
      <c r="Q1246">
        <v>-865585.51846203103</v>
      </c>
      <c r="R1246">
        <v>3685.2916560547101</v>
      </c>
      <c r="S1246">
        <v>4486.9026398433698</v>
      </c>
      <c r="T1246">
        <v>3416.1797809791401</v>
      </c>
      <c r="U1246">
        <v>-771555.51379378303</v>
      </c>
      <c r="V1246">
        <v>12334.524743243401</v>
      </c>
    </row>
    <row r="1247" spans="1:22" x14ac:dyDescent="0.3">
      <c r="A1247" t="str">
        <f t="shared" si="38"/>
        <v>JFENPrevisão</v>
      </c>
      <c r="B1247" t="str">
        <f t="shared" si="39"/>
        <v>JFENPrevisãoMar-2023</v>
      </c>
      <c r="C1247" t="s">
        <v>223</v>
      </c>
      <c r="D1247" t="s">
        <v>224</v>
      </c>
      <c r="E1247" t="s">
        <v>168</v>
      </c>
      <c r="F1247" t="s">
        <v>736</v>
      </c>
      <c r="G1247" t="s">
        <v>737</v>
      </c>
      <c r="H1247" t="s">
        <v>738</v>
      </c>
      <c r="I1247" t="s">
        <v>739</v>
      </c>
      <c r="J1247" t="s">
        <v>739</v>
      </c>
      <c r="K1247" s="2">
        <v>45015</v>
      </c>
      <c r="L1247">
        <v>26199.6708419795</v>
      </c>
      <c r="M1247">
        <v>1321708.9233312299</v>
      </c>
      <c r="N1247">
        <v>127811.15890248799</v>
      </c>
      <c r="O1247">
        <v>110542.93428024399</v>
      </c>
      <c r="P1247">
        <v>-1321708.9233312299</v>
      </c>
      <c r="Q1247">
        <v>-978572.21132988797</v>
      </c>
      <c r="R1247">
        <v>4604.3896539760999</v>
      </c>
      <c r="S1247">
        <v>1188.65696712716</v>
      </c>
      <c r="T1247">
        <v>2920.6381943112601</v>
      </c>
      <c r="U1247">
        <v>-819793.34596054396</v>
      </c>
      <c r="V1247">
        <v>19007.301562082299</v>
      </c>
    </row>
    <row r="1248" spans="1:22" x14ac:dyDescent="0.3">
      <c r="A1248" t="str">
        <f t="shared" si="38"/>
        <v>JFENPrevisão</v>
      </c>
      <c r="B1248" t="str">
        <f t="shared" si="39"/>
        <v>JFENPrevisãoJun-2023</v>
      </c>
      <c r="C1248" t="s">
        <v>223</v>
      </c>
      <c r="D1248" t="s">
        <v>224</v>
      </c>
      <c r="E1248" t="s">
        <v>168</v>
      </c>
      <c r="F1248" t="s">
        <v>736</v>
      </c>
      <c r="G1248" t="s">
        <v>737</v>
      </c>
      <c r="H1248" t="s">
        <v>738</v>
      </c>
      <c r="I1248" t="s">
        <v>739</v>
      </c>
      <c r="J1248" t="s">
        <v>739</v>
      </c>
      <c r="K1248" s="2">
        <v>45107</v>
      </c>
      <c r="L1248">
        <v>43404.189753798397</v>
      </c>
      <c r="M1248">
        <v>1480291.6148546401</v>
      </c>
      <c r="N1248">
        <v>180600.09708894501</v>
      </c>
      <c r="O1248">
        <v>153974.67157623699</v>
      </c>
      <c r="P1248">
        <v>-1480291.6148546401</v>
      </c>
      <c r="Q1248">
        <v>-1108727.4384695501</v>
      </c>
      <c r="R1248">
        <v>5662.9774799507804</v>
      </c>
      <c r="S1248">
        <v>-2486.9130128885599</v>
      </c>
      <c r="T1248">
        <v>2050.0023714736699</v>
      </c>
      <c r="U1248">
        <v>-859878.69984784804</v>
      </c>
      <c r="V1248">
        <v>26933.887769257301</v>
      </c>
    </row>
    <row r="1249" spans="1:22" x14ac:dyDescent="0.3">
      <c r="A1249" t="str">
        <f t="shared" si="38"/>
        <v>JFENPrevisão</v>
      </c>
      <c r="B1249" t="str">
        <f t="shared" si="39"/>
        <v>JFENPrevisãoSet-2023</v>
      </c>
      <c r="C1249" t="s">
        <v>223</v>
      </c>
      <c r="D1249" t="s">
        <v>224</v>
      </c>
      <c r="E1249" t="s">
        <v>168</v>
      </c>
      <c r="F1249" t="s">
        <v>736</v>
      </c>
      <c r="G1249" t="s">
        <v>737</v>
      </c>
      <c r="H1249" t="s">
        <v>738</v>
      </c>
      <c r="I1249" t="s">
        <v>739</v>
      </c>
      <c r="J1249" t="s">
        <v>739</v>
      </c>
      <c r="K1249" s="2">
        <v>45199</v>
      </c>
      <c r="L1249">
        <v>62159.089823280097</v>
      </c>
      <c r="M1249">
        <v>1674847.1267202799</v>
      </c>
      <c r="N1249">
        <v>246860.919528603</v>
      </c>
      <c r="O1249">
        <v>206459.70285733099</v>
      </c>
      <c r="P1249">
        <v>-1674847.1267202799</v>
      </c>
      <c r="Q1249">
        <v>-1256992.0654915399</v>
      </c>
      <c r="R1249">
        <v>6867.9020345934496</v>
      </c>
      <c r="S1249">
        <v>-6556.4101955280103</v>
      </c>
      <c r="T1249">
        <v>766.44622150718305</v>
      </c>
      <c r="U1249">
        <v>-891066.93668543804</v>
      </c>
      <c r="V1249">
        <v>36181.719609062297</v>
      </c>
    </row>
    <row r="1250" spans="1:22" x14ac:dyDescent="0.3">
      <c r="A1250" t="str">
        <f t="shared" si="38"/>
        <v>INNTPrevisão</v>
      </c>
      <c r="B1250" t="str">
        <f t="shared" si="39"/>
        <v>INNTPrevisãoDez-2022</v>
      </c>
      <c r="C1250" t="s">
        <v>211</v>
      </c>
      <c r="D1250" t="s">
        <v>212</v>
      </c>
      <c r="E1250" t="s">
        <v>168</v>
      </c>
      <c r="F1250" t="s">
        <v>736</v>
      </c>
      <c r="G1250" t="s">
        <v>737</v>
      </c>
      <c r="H1250" t="s">
        <v>738</v>
      </c>
      <c r="I1250" t="s">
        <v>739</v>
      </c>
      <c r="J1250" t="s">
        <v>739</v>
      </c>
      <c r="K1250" s="2">
        <v>44925</v>
      </c>
      <c r="L1250">
        <v>2042388.8970588599</v>
      </c>
      <c r="M1250">
        <v>52804088.978767902</v>
      </c>
      <c r="N1250">
        <v>39496361.929727398</v>
      </c>
      <c r="O1250">
        <v>4708573.9803921403</v>
      </c>
      <c r="P1250">
        <v>-52804088.978767902</v>
      </c>
      <c r="Q1250">
        <v>-9444073.6862808503</v>
      </c>
      <c r="R1250">
        <v>499069.74999989098</v>
      </c>
      <c r="S1250">
        <v>364928.08823527099</v>
      </c>
      <c r="T1250">
        <v>4886692.0898676999</v>
      </c>
      <c r="U1250">
        <v>10934496.0539192</v>
      </c>
      <c r="V1250">
        <v>9311092.3872523103</v>
      </c>
    </row>
    <row r="1251" spans="1:22" x14ac:dyDescent="0.3">
      <c r="A1251" t="str">
        <f t="shared" si="38"/>
        <v>INNTPrevisão</v>
      </c>
      <c r="B1251" t="str">
        <f t="shared" si="39"/>
        <v>INNTPrevisãoMar-2023</v>
      </c>
      <c r="C1251" t="s">
        <v>211</v>
      </c>
      <c r="D1251" t="s">
        <v>212</v>
      </c>
      <c r="E1251" t="s">
        <v>168</v>
      </c>
      <c r="F1251" t="s">
        <v>736</v>
      </c>
      <c r="G1251" t="s">
        <v>737</v>
      </c>
      <c r="H1251" t="s">
        <v>738</v>
      </c>
      <c r="I1251" t="s">
        <v>739</v>
      </c>
      <c r="J1251" t="s">
        <v>739</v>
      </c>
      <c r="K1251" s="2">
        <v>45015</v>
      </c>
      <c r="L1251">
        <v>3596049.2404541299</v>
      </c>
      <c r="M1251">
        <v>101940111.79739401</v>
      </c>
      <c r="N1251">
        <v>74962091.1180619</v>
      </c>
      <c r="O1251">
        <v>8856533.3284312896</v>
      </c>
      <c r="P1251">
        <v>-101940111.79739401</v>
      </c>
      <c r="Q1251">
        <v>-19810707.1999554</v>
      </c>
      <c r="R1251">
        <v>928976.559855378</v>
      </c>
      <c r="S1251">
        <v>692967.03740965901</v>
      </c>
      <c r="T1251">
        <v>9182729.1951303408</v>
      </c>
      <c r="U1251">
        <v>21352867.223422799</v>
      </c>
      <c r="V1251">
        <v>15636658.377448</v>
      </c>
    </row>
    <row r="1252" spans="1:22" x14ac:dyDescent="0.3">
      <c r="A1252" t="str">
        <f t="shared" si="38"/>
        <v>INNTPrevisão</v>
      </c>
      <c r="B1252" t="str">
        <f t="shared" si="39"/>
        <v>INNTPrevisãoJun-2023</v>
      </c>
      <c r="C1252" t="s">
        <v>211</v>
      </c>
      <c r="D1252" t="s">
        <v>212</v>
      </c>
      <c r="E1252" t="s">
        <v>168</v>
      </c>
      <c r="F1252" t="s">
        <v>736</v>
      </c>
      <c r="G1252" t="s">
        <v>737</v>
      </c>
      <c r="H1252" t="s">
        <v>738</v>
      </c>
      <c r="I1252" t="s">
        <v>739</v>
      </c>
      <c r="J1252" t="s">
        <v>739</v>
      </c>
      <c r="K1252" s="2">
        <v>45107</v>
      </c>
      <c r="L1252">
        <v>5552876.8746130802</v>
      </c>
      <c r="M1252">
        <v>166902115.99502</v>
      </c>
      <c r="N1252">
        <v>121502903.113671</v>
      </c>
      <c r="O1252">
        <v>14247724.168214399</v>
      </c>
      <c r="P1252">
        <v>-166902115.99502</v>
      </c>
      <c r="Q1252">
        <v>-33846981.143454403</v>
      </c>
      <c r="R1252">
        <v>1487291.00051581</v>
      </c>
      <c r="S1252">
        <v>1123466.75851387</v>
      </c>
      <c r="T1252">
        <v>14799473.017369101</v>
      </c>
      <c r="U1252">
        <v>35156144.240965404</v>
      </c>
      <c r="V1252">
        <v>23422327.171823401</v>
      </c>
    </row>
    <row r="1253" spans="1:22" x14ac:dyDescent="0.3">
      <c r="A1253" t="str">
        <f t="shared" si="38"/>
        <v>INNTPrevisão</v>
      </c>
      <c r="B1253" t="str">
        <f t="shared" si="39"/>
        <v>INNTPrevisãoSet-2023</v>
      </c>
      <c r="C1253" t="s">
        <v>211</v>
      </c>
      <c r="D1253" t="s">
        <v>212</v>
      </c>
      <c r="E1253" t="s">
        <v>168</v>
      </c>
      <c r="F1253" t="s">
        <v>736</v>
      </c>
      <c r="G1253" t="s">
        <v>737</v>
      </c>
      <c r="H1253" t="s">
        <v>738</v>
      </c>
      <c r="I1253" t="s">
        <v>739</v>
      </c>
      <c r="J1253" t="s">
        <v>739</v>
      </c>
      <c r="K1253" s="2">
        <v>45199</v>
      </c>
      <c r="L1253">
        <v>7942531.38080505</v>
      </c>
      <c r="M1253">
        <v>249313775.50258699</v>
      </c>
      <c r="N1253">
        <v>180232055.78686801</v>
      </c>
      <c r="O1253">
        <v>20994524.220329899</v>
      </c>
      <c r="P1253">
        <v>-249313775.50258699</v>
      </c>
      <c r="Q1253">
        <v>-51949454.8911331</v>
      </c>
      <c r="R1253">
        <v>2185998.0464393999</v>
      </c>
      <c r="S1253">
        <v>1666585.0221877301</v>
      </c>
      <c r="T1253">
        <v>21868855.761090402</v>
      </c>
      <c r="U1253">
        <v>52687785.803915396</v>
      </c>
      <c r="V1253">
        <v>32763701.234774601</v>
      </c>
    </row>
    <row r="1254" spans="1:22" x14ac:dyDescent="0.3">
      <c r="A1254" t="str">
        <f t="shared" si="38"/>
        <v>HBORPrevisão</v>
      </c>
      <c r="B1254" t="str">
        <f t="shared" si="39"/>
        <v>HBORPrevisãoDez-2022</v>
      </c>
      <c r="C1254" t="s">
        <v>183</v>
      </c>
      <c r="D1254" t="s">
        <v>184</v>
      </c>
      <c r="E1254" t="s">
        <v>168</v>
      </c>
      <c r="F1254" t="s">
        <v>736</v>
      </c>
      <c r="G1254" t="s">
        <v>737</v>
      </c>
      <c r="H1254" t="s">
        <v>738</v>
      </c>
      <c r="I1254" t="s">
        <v>739</v>
      </c>
      <c r="J1254" t="s">
        <v>739</v>
      </c>
      <c r="K1254" s="2">
        <v>44925</v>
      </c>
      <c r="L1254">
        <v>89546.829725840493</v>
      </c>
      <c r="M1254">
        <v>3911518.9579827599</v>
      </c>
      <c r="N1254">
        <v>219875.17468798501</v>
      </c>
      <c r="O1254">
        <v>110892.960954077</v>
      </c>
      <c r="P1254">
        <v>-3911518.9579827599</v>
      </c>
      <c r="Q1254">
        <v>-1591154.6403530999</v>
      </c>
      <c r="R1254">
        <v>11639.860962566199</v>
      </c>
      <c r="S1254">
        <v>814.04541210433194</v>
      </c>
      <c r="T1254">
        <v>126865.944911126</v>
      </c>
      <c r="U1254">
        <v>1578852.9017901099</v>
      </c>
      <c r="V1254">
        <v>2796.4541210430498</v>
      </c>
    </row>
    <row r="1255" spans="1:22" x14ac:dyDescent="0.3">
      <c r="A1255" t="str">
        <f t="shared" si="38"/>
        <v>HBORPrevisão</v>
      </c>
      <c r="B1255" t="str">
        <f t="shared" si="39"/>
        <v>HBORPrevisãoMar-2023</v>
      </c>
      <c r="C1255" t="s">
        <v>183</v>
      </c>
      <c r="D1255" t="s">
        <v>184</v>
      </c>
      <c r="E1255" t="s">
        <v>168</v>
      </c>
      <c r="F1255" t="s">
        <v>736</v>
      </c>
      <c r="G1255" t="s">
        <v>737</v>
      </c>
      <c r="H1255" t="s">
        <v>738</v>
      </c>
      <c r="I1255" t="s">
        <v>739</v>
      </c>
      <c r="J1255" t="s">
        <v>739</v>
      </c>
      <c r="K1255" s="2">
        <v>45015</v>
      </c>
      <c r="L1255">
        <v>117788.662305556</v>
      </c>
      <c r="M1255">
        <v>4198645.7223100998</v>
      </c>
      <c r="N1255">
        <v>217382.064866153</v>
      </c>
      <c r="O1255">
        <v>127624.99954347</v>
      </c>
      <c r="P1255">
        <v>-4198645.7223100998</v>
      </c>
      <c r="Q1255">
        <v>-1725647.88452547</v>
      </c>
      <c r="R1255">
        <v>13180.7472797467</v>
      </c>
      <c r="S1255">
        <v>916.88647088661003</v>
      </c>
      <c r="T1255">
        <v>179449.470007658</v>
      </c>
      <c r="U1255">
        <v>1698551.24218469</v>
      </c>
      <c r="V1255">
        <v>3309.4440108566901</v>
      </c>
    </row>
    <row r="1256" spans="1:22" x14ac:dyDescent="0.3">
      <c r="A1256" t="str">
        <f t="shared" si="38"/>
        <v>HBORPrevisão</v>
      </c>
      <c r="B1256" t="str">
        <f t="shared" si="39"/>
        <v>HBORPrevisãoJun-2023</v>
      </c>
      <c r="C1256" t="s">
        <v>183</v>
      </c>
      <c r="D1256" t="s">
        <v>184</v>
      </c>
      <c r="E1256" t="s">
        <v>168</v>
      </c>
      <c r="F1256" t="s">
        <v>736</v>
      </c>
      <c r="G1256" t="s">
        <v>737</v>
      </c>
      <c r="H1256" t="s">
        <v>738</v>
      </c>
      <c r="I1256" t="s">
        <v>739</v>
      </c>
      <c r="J1256" t="s">
        <v>739</v>
      </c>
      <c r="K1256" s="2">
        <v>45107</v>
      </c>
      <c r="L1256">
        <v>149247.579219173</v>
      </c>
      <c r="M1256">
        <v>4511678.2739037098</v>
      </c>
      <c r="N1256">
        <v>212869.801460474</v>
      </c>
      <c r="O1256">
        <v>146023.31244670099</v>
      </c>
      <c r="P1256">
        <v>-4511678.2739037098</v>
      </c>
      <c r="Q1256">
        <v>-1868474.2118675299</v>
      </c>
      <c r="R1256">
        <v>14864.0095523526</v>
      </c>
      <c r="S1256">
        <v>1030.87972400065</v>
      </c>
      <c r="T1256">
        <v>243478.68675382901</v>
      </c>
      <c r="U1256">
        <v>1835072.6109657399</v>
      </c>
      <c r="V1256">
        <v>3890.9591272358398</v>
      </c>
    </row>
    <row r="1257" spans="1:22" x14ac:dyDescent="0.3">
      <c r="A1257" t="str">
        <f t="shared" si="38"/>
        <v>HBORPrevisão</v>
      </c>
      <c r="B1257" t="str">
        <f t="shared" si="39"/>
        <v>HBORPrevisãoSet-2023</v>
      </c>
      <c r="C1257" t="s">
        <v>183</v>
      </c>
      <c r="D1257" t="s">
        <v>184</v>
      </c>
      <c r="E1257" t="s">
        <v>168</v>
      </c>
      <c r="F1257" t="s">
        <v>736</v>
      </c>
      <c r="G1257" t="s">
        <v>737</v>
      </c>
      <c r="H1257" t="s">
        <v>738</v>
      </c>
      <c r="I1257" t="s">
        <v>739</v>
      </c>
      <c r="J1257" t="s">
        <v>739</v>
      </c>
      <c r="K1257" s="2">
        <v>45199</v>
      </c>
      <c r="L1257">
        <v>184060.39949397201</v>
      </c>
      <c r="M1257">
        <v>4851795.5794973997</v>
      </c>
      <c r="N1257">
        <v>206194.20059229599</v>
      </c>
      <c r="O1257">
        <v>166157.54083537101</v>
      </c>
      <c r="P1257">
        <v>-4851795.5794973997</v>
      </c>
      <c r="Q1257">
        <v>-2019897.63510927</v>
      </c>
      <c r="R1257">
        <v>16695.480235520001</v>
      </c>
      <c r="S1257">
        <v>1156.5045747494</v>
      </c>
      <c r="T1257">
        <v>319625.532804602</v>
      </c>
      <c r="U1257">
        <v>1989348.63268773</v>
      </c>
      <c r="V1257">
        <v>4544.1965850246597</v>
      </c>
    </row>
    <row r="1258" spans="1:22" x14ac:dyDescent="0.3">
      <c r="A1258" t="str">
        <f t="shared" si="38"/>
        <v>HBREPrevisão</v>
      </c>
      <c r="B1258" t="str">
        <f t="shared" si="39"/>
        <v>HBREPrevisãoDez-2022</v>
      </c>
      <c r="C1258" t="s">
        <v>181</v>
      </c>
      <c r="D1258" t="s">
        <v>182</v>
      </c>
      <c r="E1258" t="s">
        <v>168</v>
      </c>
      <c r="F1258" t="s">
        <v>736</v>
      </c>
      <c r="G1258" t="s">
        <v>737</v>
      </c>
      <c r="H1258" t="s">
        <v>738</v>
      </c>
      <c r="I1258" t="s">
        <v>739</v>
      </c>
      <c r="J1258" t="s">
        <v>739</v>
      </c>
      <c r="K1258" s="2">
        <v>44925</v>
      </c>
      <c r="L1258">
        <v>2494.9603174590702</v>
      </c>
      <c r="M1258">
        <v>2018438.60317459</v>
      </c>
      <c r="N1258">
        <v>-83894.777777779498</v>
      </c>
      <c r="O1258">
        <v>2360.49999999998</v>
      </c>
      <c r="P1258">
        <v>-2018438.60317459</v>
      </c>
      <c r="Q1258">
        <v>-74704.944444445297</v>
      </c>
      <c r="R1258">
        <v>6670.0714285713902</v>
      </c>
      <c r="S1258">
        <v>22.1111111111104</v>
      </c>
      <c r="T1258">
        <v>520826.28571428498</v>
      </c>
      <c r="U1258">
        <v>1612198.91269841</v>
      </c>
      <c r="V1258">
        <v>1058.0158730158701</v>
      </c>
    </row>
    <row r="1259" spans="1:22" x14ac:dyDescent="0.3">
      <c r="A1259" t="str">
        <f t="shared" si="38"/>
        <v>HBREPrevisão</v>
      </c>
      <c r="B1259" t="str">
        <f t="shared" si="39"/>
        <v>HBREPrevisãoMar-2023</v>
      </c>
      <c r="C1259" t="s">
        <v>181</v>
      </c>
      <c r="D1259" t="s">
        <v>182</v>
      </c>
      <c r="E1259" t="s">
        <v>168</v>
      </c>
      <c r="F1259" t="s">
        <v>736</v>
      </c>
      <c r="G1259" t="s">
        <v>737</v>
      </c>
      <c r="H1259" t="s">
        <v>738</v>
      </c>
      <c r="I1259" t="s">
        <v>739</v>
      </c>
      <c r="J1259" t="s">
        <v>739</v>
      </c>
      <c r="K1259" s="2">
        <v>45015</v>
      </c>
      <c r="L1259">
        <v>1301.2698412680299</v>
      </c>
      <c r="M1259">
        <v>1549172.3650793501</v>
      </c>
      <c r="N1259">
        <v>-463071.94444444799</v>
      </c>
      <c r="O1259">
        <v>3976.49999999998</v>
      </c>
      <c r="P1259">
        <v>-1549172.3650793501</v>
      </c>
      <c r="Q1259">
        <v>-19281.277777779</v>
      </c>
      <c r="R1259">
        <v>9733.0476190475601</v>
      </c>
      <c r="S1259">
        <v>39.111111111111001</v>
      </c>
      <c r="T1259">
        <v>539219.35714285704</v>
      </c>
      <c r="U1259">
        <v>1234626.6269841299</v>
      </c>
      <c r="V1259">
        <v>935.99206349207395</v>
      </c>
    </row>
    <row r="1260" spans="1:22" x14ac:dyDescent="0.3">
      <c r="A1260" t="str">
        <f t="shared" si="38"/>
        <v>HBREPrevisão</v>
      </c>
      <c r="B1260" t="str">
        <f t="shared" si="39"/>
        <v>HBREPrevisãoJun-2023</v>
      </c>
      <c r="C1260" t="s">
        <v>181</v>
      </c>
      <c r="D1260" t="s">
        <v>182</v>
      </c>
      <c r="E1260" t="s">
        <v>168</v>
      </c>
      <c r="F1260" t="s">
        <v>736</v>
      </c>
      <c r="G1260" t="s">
        <v>737</v>
      </c>
      <c r="H1260" t="s">
        <v>738</v>
      </c>
      <c r="I1260" t="s">
        <v>739</v>
      </c>
      <c r="J1260" t="s">
        <v>739</v>
      </c>
      <c r="K1260" s="2">
        <v>45107</v>
      </c>
      <c r="L1260">
        <v>-3510.24314574564</v>
      </c>
      <c r="M1260">
        <v>852102.20490619598</v>
      </c>
      <c r="N1260">
        <v>-959416.89898990595</v>
      </c>
      <c r="O1260">
        <v>6166.6515151514895</v>
      </c>
      <c r="P1260">
        <v>-852102.20490619598</v>
      </c>
      <c r="Q1260">
        <v>60578.934343432797</v>
      </c>
      <c r="R1260">
        <v>13815.8528138527</v>
      </c>
      <c r="S1260">
        <v>56.565656565657903</v>
      </c>
      <c r="T1260">
        <v>551364.94155844196</v>
      </c>
      <c r="U1260">
        <v>679915.34992785403</v>
      </c>
      <c r="V1260">
        <v>719.37301587303398</v>
      </c>
    </row>
    <row r="1261" spans="1:22" x14ac:dyDescent="0.3">
      <c r="A1261" t="str">
        <f t="shared" si="38"/>
        <v>HBREPrevisão</v>
      </c>
      <c r="B1261" t="str">
        <f t="shared" si="39"/>
        <v>HBREPrevisãoSet-2023</v>
      </c>
      <c r="C1261" t="s">
        <v>181</v>
      </c>
      <c r="D1261" t="s">
        <v>182</v>
      </c>
      <c r="E1261" t="s">
        <v>168</v>
      </c>
      <c r="F1261" t="s">
        <v>736</v>
      </c>
      <c r="G1261" t="s">
        <v>737</v>
      </c>
      <c r="H1261" t="s">
        <v>738</v>
      </c>
      <c r="I1261" t="s">
        <v>739</v>
      </c>
      <c r="J1261" t="s">
        <v>739</v>
      </c>
      <c r="K1261" s="2">
        <v>45199</v>
      </c>
      <c r="L1261">
        <v>-12911.922077925299</v>
      </c>
      <c r="M1261">
        <v>-104906.03896105201</v>
      </c>
      <c r="N1261">
        <v>-1584491.5454545501</v>
      </c>
      <c r="O1261">
        <v>9003.5454545454304</v>
      </c>
      <c r="P1261">
        <v>104906.03896105201</v>
      </c>
      <c r="Q1261">
        <v>168242.636363634</v>
      </c>
      <c r="R1261">
        <v>19062.2900432899</v>
      </c>
      <c r="S1261">
        <v>72.848484848488397</v>
      </c>
      <c r="T1261">
        <v>555131.55411255604</v>
      </c>
      <c r="U1261">
        <v>-76281.852813848702</v>
      </c>
      <c r="V1261">
        <v>390.71428571431397</v>
      </c>
    </row>
    <row r="1262" spans="1:22" x14ac:dyDescent="0.3">
      <c r="A1262" t="str">
        <f t="shared" si="38"/>
        <v>GFSAPrevisão</v>
      </c>
      <c r="B1262" t="str">
        <f t="shared" si="39"/>
        <v>GFSAPrevisãoDez-2022</v>
      </c>
      <c r="C1262" t="s">
        <v>219</v>
      </c>
      <c r="D1262" t="s">
        <v>220</v>
      </c>
      <c r="E1262" t="s">
        <v>168</v>
      </c>
      <c r="F1262" t="s">
        <v>736</v>
      </c>
      <c r="G1262" t="s">
        <v>737</v>
      </c>
      <c r="H1262" t="s">
        <v>738</v>
      </c>
      <c r="I1262" t="s">
        <v>739</v>
      </c>
      <c r="J1262" t="s">
        <v>739</v>
      </c>
      <c r="K1262" s="2">
        <v>44925</v>
      </c>
      <c r="L1262">
        <v>9482.6746455870998</v>
      </c>
      <c r="M1262">
        <v>3743680.60011918</v>
      </c>
      <c r="N1262">
        <v>1153579.5951956899</v>
      </c>
      <c r="O1262">
        <v>419513.727951465</v>
      </c>
      <c r="P1262">
        <v>-3743680.9493261301</v>
      </c>
      <c r="Q1262">
        <v>-784268.12053262105</v>
      </c>
      <c r="R1262">
        <v>12141.046006279599</v>
      </c>
      <c r="S1262">
        <v>30352.336473999902</v>
      </c>
      <c r="T1262">
        <v>-72953.453781275704</v>
      </c>
      <c r="U1262">
        <v>2387491.1603430901</v>
      </c>
      <c r="V1262">
        <v>26542.075969789101</v>
      </c>
    </row>
    <row r="1263" spans="1:22" x14ac:dyDescent="0.3">
      <c r="A1263" t="str">
        <f t="shared" si="38"/>
        <v>GFSAPrevisão</v>
      </c>
      <c r="B1263" t="str">
        <f t="shared" si="39"/>
        <v>GFSAPrevisãoMar-2023</v>
      </c>
      <c r="C1263" t="s">
        <v>219</v>
      </c>
      <c r="D1263" t="s">
        <v>220</v>
      </c>
      <c r="E1263" t="s">
        <v>168</v>
      </c>
      <c r="F1263" t="s">
        <v>736</v>
      </c>
      <c r="G1263" t="s">
        <v>737</v>
      </c>
      <c r="H1263" t="s">
        <v>738</v>
      </c>
      <c r="I1263" t="s">
        <v>739</v>
      </c>
      <c r="J1263" t="s">
        <v>739</v>
      </c>
      <c r="K1263" s="2">
        <v>45015</v>
      </c>
      <c r="L1263">
        <v>17989.861047415201</v>
      </c>
      <c r="M1263">
        <v>4066868.3747357801</v>
      </c>
      <c r="N1263">
        <v>1177959.7946671599</v>
      </c>
      <c r="O1263">
        <v>418213.71383569099</v>
      </c>
      <c r="P1263">
        <v>-4066868.7882928802</v>
      </c>
      <c r="Q1263">
        <v>-710958.97777871497</v>
      </c>
      <c r="R1263">
        <v>14362.152909975999</v>
      </c>
      <c r="S1263">
        <v>23352.981977407901</v>
      </c>
      <c r="T1263">
        <v>-92871.718070742194</v>
      </c>
      <c r="U1263">
        <v>2730919.3853344098</v>
      </c>
      <c r="V1263">
        <v>25665.6925535228</v>
      </c>
    </row>
    <row r="1264" spans="1:22" x14ac:dyDescent="0.3">
      <c r="A1264" t="str">
        <f t="shared" si="38"/>
        <v>GFSAPrevisão</v>
      </c>
      <c r="B1264" t="str">
        <f t="shared" si="39"/>
        <v>GFSAPrevisãoJun-2023</v>
      </c>
      <c r="C1264" t="s">
        <v>219</v>
      </c>
      <c r="D1264" t="s">
        <v>220</v>
      </c>
      <c r="E1264" t="s">
        <v>168</v>
      </c>
      <c r="F1264" t="s">
        <v>736</v>
      </c>
      <c r="G1264" t="s">
        <v>737</v>
      </c>
      <c r="H1264" t="s">
        <v>738</v>
      </c>
      <c r="I1264" t="s">
        <v>739</v>
      </c>
      <c r="J1264" t="s">
        <v>739</v>
      </c>
      <c r="K1264" s="2">
        <v>45107</v>
      </c>
      <c r="L1264">
        <v>27179.061763464601</v>
      </c>
      <c r="M1264">
        <v>4451757.2653629202</v>
      </c>
      <c r="N1264">
        <v>1213867.57518402</v>
      </c>
      <c r="O1264">
        <v>418149.98258671199</v>
      </c>
      <c r="P1264">
        <v>-4451757.7497051498</v>
      </c>
      <c r="Q1264">
        <v>-641393.78264788399</v>
      </c>
      <c r="R1264">
        <v>17132.084095072802</v>
      </c>
      <c r="S1264">
        <v>15234.6041818541</v>
      </c>
      <c r="T1264">
        <v>-114861.736805938</v>
      </c>
      <c r="U1264">
        <v>3121734.14637283</v>
      </c>
      <c r="V1264">
        <v>26165.059162702699</v>
      </c>
    </row>
    <row r="1265" spans="1:22" x14ac:dyDescent="0.3">
      <c r="A1265" t="str">
        <f t="shared" si="38"/>
        <v>GFSAPrevisão</v>
      </c>
      <c r="B1265" t="str">
        <f t="shared" si="39"/>
        <v>GFSAPrevisãoSet-2023</v>
      </c>
      <c r="C1265" t="s">
        <v>219</v>
      </c>
      <c r="D1265" t="s">
        <v>220</v>
      </c>
      <c r="E1265" t="s">
        <v>168</v>
      </c>
      <c r="F1265" t="s">
        <v>736</v>
      </c>
      <c r="G1265" t="s">
        <v>737</v>
      </c>
      <c r="H1265" t="s">
        <v>738</v>
      </c>
      <c r="I1265" t="s">
        <v>739</v>
      </c>
      <c r="J1265" t="s">
        <v>739</v>
      </c>
      <c r="K1265" s="2">
        <v>45199</v>
      </c>
      <c r="L1265">
        <v>37065.935909106403</v>
      </c>
      <c r="M1265">
        <v>4901507.5560989399</v>
      </c>
      <c r="N1265">
        <v>1261946.4925119199</v>
      </c>
      <c r="O1265">
        <v>419259.42461159598</v>
      </c>
      <c r="P1265">
        <v>-4901508.1179409605</v>
      </c>
      <c r="Q1265">
        <v>-576162.36122809595</v>
      </c>
      <c r="R1265">
        <v>20482.187570667102</v>
      </c>
      <c r="S1265">
        <v>5932.3160787638299</v>
      </c>
      <c r="T1265">
        <v>-139067.097576359</v>
      </c>
      <c r="U1265">
        <v>3562126.6620091302</v>
      </c>
      <c r="V1265">
        <v>28121.143181370498</v>
      </c>
    </row>
    <row r="1266" spans="1:22" x14ac:dyDescent="0.3">
      <c r="A1266" t="str">
        <f t="shared" si="38"/>
        <v>EVENPrevisão</v>
      </c>
      <c r="B1266" t="str">
        <f t="shared" si="39"/>
        <v>EVENPrevisãoDez-2022</v>
      </c>
      <c r="C1266" t="s">
        <v>209</v>
      </c>
      <c r="D1266" t="s">
        <v>210</v>
      </c>
      <c r="E1266" t="s">
        <v>168</v>
      </c>
      <c r="F1266" t="s">
        <v>736</v>
      </c>
      <c r="G1266" t="s">
        <v>737</v>
      </c>
      <c r="H1266" t="s">
        <v>738</v>
      </c>
      <c r="I1266" t="s">
        <v>739</v>
      </c>
      <c r="J1266" t="s">
        <v>739</v>
      </c>
      <c r="K1266" s="2">
        <v>44925</v>
      </c>
      <c r="L1266">
        <v>88062.662252780501</v>
      </c>
      <c r="M1266">
        <v>1931567.6542736499</v>
      </c>
      <c r="N1266">
        <v>392120.80952372501</v>
      </c>
      <c r="O1266">
        <v>2425.71437064367</v>
      </c>
      <c r="P1266">
        <v>-1931567.6542736499</v>
      </c>
      <c r="Q1266">
        <v>-31485.199473710501</v>
      </c>
      <c r="R1266">
        <v>0</v>
      </c>
      <c r="S1266">
        <v>-3419.0117137778502</v>
      </c>
      <c r="T1266">
        <v>168031.980392575</v>
      </c>
      <c r="U1266">
        <v>2039083.3634665399</v>
      </c>
      <c r="V1266">
        <v>9477.4806043618701</v>
      </c>
    </row>
    <row r="1267" spans="1:22" x14ac:dyDescent="0.3">
      <c r="A1267" t="str">
        <f t="shared" si="38"/>
        <v>EVENPrevisão</v>
      </c>
      <c r="B1267" t="str">
        <f t="shared" si="39"/>
        <v>EVENPrevisãoMar-2023</v>
      </c>
      <c r="C1267" t="s">
        <v>209</v>
      </c>
      <c r="D1267" t="s">
        <v>210</v>
      </c>
      <c r="E1267" t="s">
        <v>168</v>
      </c>
      <c r="F1267" t="s">
        <v>736</v>
      </c>
      <c r="G1267" t="s">
        <v>737</v>
      </c>
      <c r="H1267" t="s">
        <v>738</v>
      </c>
      <c r="I1267" t="s">
        <v>739</v>
      </c>
      <c r="J1267" t="s">
        <v>739</v>
      </c>
      <c r="K1267" s="2">
        <v>45015</v>
      </c>
      <c r="L1267">
        <v>103462.811778929</v>
      </c>
      <c r="M1267">
        <v>1832562.2387925</v>
      </c>
      <c r="N1267">
        <v>386254.70815342601</v>
      </c>
      <c r="O1267">
        <v>-7339.0559099478196</v>
      </c>
      <c r="P1267">
        <v>-1832562.2387925</v>
      </c>
      <c r="Q1267">
        <v>53406.601075510203</v>
      </c>
      <c r="R1267">
        <v>0</v>
      </c>
      <c r="S1267">
        <v>-5047.93609729121</v>
      </c>
      <c r="T1267">
        <v>251496.18987103901</v>
      </c>
      <c r="U1267">
        <v>2140355.1273465799</v>
      </c>
      <c r="V1267">
        <v>10751.8286177685</v>
      </c>
    </row>
    <row r="1268" spans="1:22" x14ac:dyDescent="0.3">
      <c r="A1268" t="str">
        <f t="shared" si="38"/>
        <v>EVENPrevisão</v>
      </c>
      <c r="B1268" t="str">
        <f t="shared" si="39"/>
        <v>EVENPrevisãoJun-2023</v>
      </c>
      <c r="C1268" t="s">
        <v>209</v>
      </c>
      <c r="D1268" t="s">
        <v>210</v>
      </c>
      <c r="E1268" t="s">
        <v>168</v>
      </c>
      <c r="F1268" t="s">
        <v>736</v>
      </c>
      <c r="G1268" t="s">
        <v>737</v>
      </c>
      <c r="H1268" t="s">
        <v>738</v>
      </c>
      <c r="I1268" t="s">
        <v>739</v>
      </c>
      <c r="J1268" t="s">
        <v>739</v>
      </c>
      <c r="K1268" s="2">
        <v>45107</v>
      </c>
      <c r="L1268">
        <v>120413.904094194</v>
      </c>
      <c r="M1268">
        <v>1731233.3268247901</v>
      </c>
      <c r="N1268">
        <v>376484.906582703</v>
      </c>
      <c r="O1268">
        <v>-18528.9838186753</v>
      </c>
      <c r="P1268">
        <v>-1731233.3268247901</v>
      </c>
      <c r="Q1268">
        <v>147884.145342676</v>
      </c>
      <c r="R1268">
        <v>0</v>
      </c>
      <c r="S1268">
        <v>-6736.1429813905997</v>
      </c>
      <c r="T1268">
        <v>351077.18621332903</v>
      </c>
      <c r="U1268">
        <v>2258559.5696624899</v>
      </c>
      <c r="V1268">
        <v>12259.2157802113</v>
      </c>
    </row>
    <row r="1269" spans="1:22" x14ac:dyDescent="0.3">
      <c r="A1269" t="str">
        <f t="shared" si="38"/>
        <v>EVENPrevisão</v>
      </c>
      <c r="B1269" t="str">
        <f t="shared" si="39"/>
        <v>EVENPrevisãoSet-2023</v>
      </c>
      <c r="C1269" t="s">
        <v>209</v>
      </c>
      <c r="D1269" t="s">
        <v>210</v>
      </c>
      <c r="E1269" t="s">
        <v>168</v>
      </c>
      <c r="F1269" t="s">
        <v>736</v>
      </c>
      <c r="G1269" t="s">
        <v>737</v>
      </c>
      <c r="H1269" t="s">
        <v>738</v>
      </c>
      <c r="I1269" t="s">
        <v>739</v>
      </c>
      <c r="J1269" t="s">
        <v>739</v>
      </c>
      <c r="K1269" s="2">
        <v>45199</v>
      </c>
      <c r="L1269">
        <v>138975.07559358099</v>
      </c>
      <c r="M1269">
        <v>1627809.67310791</v>
      </c>
      <c r="N1269">
        <v>362539.59106782998</v>
      </c>
      <c r="O1269">
        <v>-31218.9520806943</v>
      </c>
      <c r="P1269">
        <v>-1627809.67310791</v>
      </c>
      <c r="Q1269">
        <v>252370.75293068399</v>
      </c>
      <c r="R1269">
        <v>0</v>
      </c>
      <c r="S1269">
        <v>-8485.1522498126105</v>
      </c>
      <c r="T1269">
        <v>467680.929319811</v>
      </c>
      <c r="U1269">
        <v>2394692.1173346201</v>
      </c>
      <c r="V1269">
        <v>14011.648216674501</v>
      </c>
    </row>
    <row r="1270" spans="1:22" x14ac:dyDescent="0.3">
      <c r="A1270" t="str">
        <f t="shared" si="38"/>
        <v>EUCAPrevisão</v>
      </c>
      <c r="B1270" t="str">
        <f t="shared" si="39"/>
        <v>EUCAPrevisãoDez-2022</v>
      </c>
      <c r="C1270" t="s">
        <v>179</v>
      </c>
      <c r="D1270" t="s">
        <v>180</v>
      </c>
      <c r="E1270" t="s">
        <v>168</v>
      </c>
      <c r="F1270" t="s">
        <v>736</v>
      </c>
      <c r="G1270" t="s">
        <v>737</v>
      </c>
      <c r="H1270" t="s">
        <v>738</v>
      </c>
      <c r="I1270" t="s">
        <v>739</v>
      </c>
      <c r="J1270" t="s">
        <v>739</v>
      </c>
      <c r="K1270" s="2">
        <v>44925</v>
      </c>
      <c r="L1270">
        <v>96047.533655890598</v>
      </c>
      <c r="M1270">
        <v>3225998.83770474</v>
      </c>
      <c r="N1270">
        <v>668893.13971646095</v>
      </c>
      <c r="O1270">
        <v>441159.57660639501</v>
      </c>
      <c r="P1270">
        <v>-3225998.83770474</v>
      </c>
      <c r="Q1270">
        <v>-689498.917069847</v>
      </c>
      <c r="R1270">
        <v>14049.7184449778</v>
      </c>
      <c r="S1270">
        <v>56088.317799877397</v>
      </c>
      <c r="T1270">
        <v>1012939.18691113</v>
      </c>
      <c r="U1270">
        <v>2246119.8061286299</v>
      </c>
      <c r="V1270">
        <v>373039.357524883</v>
      </c>
    </row>
    <row r="1271" spans="1:22" x14ac:dyDescent="0.3">
      <c r="A1271" t="str">
        <f t="shared" si="38"/>
        <v>EUCAPrevisão</v>
      </c>
      <c r="B1271" t="str">
        <f t="shared" si="39"/>
        <v>EUCAPrevisãoMar-2023</v>
      </c>
      <c r="C1271" t="s">
        <v>179</v>
      </c>
      <c r="D1271" t="s">
        <v>180</v>
      </c>
      <c r="E1271" t="s">
        <v>168</v>
      </c>
      <c r="F1271" t="s">
        <v>736</v>
      </c>
      <c r="G1271" t="s">
        <v>737</v>
      </c>
      <c r="H1271" t="s">
        <v>738</v>
      </c>
      <c r="I1271" t="s">
        <v>739</v>
      </c>
      <c r="J1271" t="s">
        <v>739</v>
      </c>
      <c r="K1271" s="2">
        <v>45015</v>
      </c>
      <c r="L1271">
        <v>105623.645108825</v>
      </c>
      <c r="M1271">
        <v>3460784.8269338398</v>
      </c>
      <c r="N1271">
        <v>759402.76047089603</v>
      </c>
      <c r="O1271">
        <v>505980.39469874097</v>
      </c>
      <c r="P1271">
        <v>-3460784.8269338398</v>
      </c>
      <c r="Q1271">
        <v>-755468.48620657902</v>
      </c>
      <c r="R1271">
        <v>15049.425222039201</v>
      </c>
      <c r="S1271">
        <v>58512.619673944799</v>
      </c>
      <c r="T1271">
        <v>1145220.6243952201</v>
      </c>
      <c r="U1271">
        <v>2397834.7810287001</v>
      </c>
      <c r="V1271">
        <v>420774.50777367997</v>
      </c>
    </row>
    <row r="1272" spans="1:22" x14ac:dyDescent="0.3">
      <c r="A1272" t="str">
        <f t="shared" si="38"/>
        <v>EUCAPrevisão</v>
      </c>
      <c r="B1272" t="str">
        <f t="shared" si="39"/>
        <v>EUCAPrevisãoJun-2023</v>
      </c>
      <c r="C1272" t="s">
        <v>179</v>
      </c>
      <c r="D1272" t="s">
        <v>180</v>
      </c>
      <c r="E1272" t="s">
        <v>168</v>
      </c>
      <c r="F1272" t="s">
        <v>736</v>
      </c>
      <c r="G1272" t="s">
        <v>737</v>
      </c>
      <c r="H1272" t="s">
        <v>738</v>
      </c>
      <c r="I1272" t="s">
        <v>739</v>
      </c>
      <c r="J1272" t="s">
        <v>739</v>
      </c>
      <c r="K1272" s="2">
        <v>45107</v>
      </c>
      <c r="L1272">
        <v>115786.913079662</v>
      </c>
      <c r="M1272">
        <v>3711900.1547710402</v>
      </c>
      <c r="N1272">
        <v>856750.92044445698</v>
      </c>
      <c r="O1272">
        <v>576187.68929815199</v>
      </c>
      <c r="P1272">
        <v>-3711900.1547710402</v>
      </c>
      <c r="Q1272">
        <v>-824955.39167227899</v>
      </c>
      <c r="R1272">
        <v>16014.3263424528</v>
      </c>
      <c r="S1272">
        <v>60737.0579766683</v>
      </c>
      <c r="T1272">
        <v>1288568.3379782201</v>
      </c>
      <c r="U1272">
        <v>2563195.80431139</v>
      </c>
      <c r="V1272">
        <v>471779.55193488498</v>
      </c>
    </row>
    <row r="1273" spans="1:22" x14ac:dyDescent="0.3">
      <c r="A1273" t="str">
        <f t="shared" si="38"/>
        <v>EUCAPrevisão</v>
      </c>
      <c r="B1273" t="str">
        <f t="shared" si="39"/>
        <v>EUCAPrevisãoSet-2023</v>
      </c>
      <c r="C1273" t="s">
        <v>179</v>
      </c>
      <c r="D1273" t="s">
        <v>180</v>
      </c>
      <c r="E1273" t="s">
        <v>168</v>
      </c>
      <c r="F1273" t="s">
        <v>736</v>
      </c>
      <c r="G1273" t="s">
        <v>737</v>
      </c>
      <c r="H1273" t="s">
        <v>738</v>
      </c>
      <c r="I1273" t="s">
        <v>739</v>
      </c>
      <c r="J1273" t="s">
        <v>739</v>
      </c>
      <c r="K1273" s="2">
        <v>45199</v>
      </c>
      <c r="L1273">
        <v>126551.127459941</v>
      </c>
      <c r="M1273">
        <v>3979817.72620025</v>
      </c>
      <c r="N1273">
        <v>961144.69378165295</v>
      </c>
      <c r="O1273">
        <v>651970.30097461399</v>
      </c>
      <c r="P1273">
        <v>-3979817.72620025</v>
      </c>
      <c r="Q1273">
        <v>-897986.86367984198</v>
      </c>
      <c r="R1273">
        <v>16936.9686035952</v>
      </c>
      <c r="S1273">
        <v>62738.140863630702</v>
      </c>
      <c r="T1273">
        <v>1443415.4750447799</v>
      </c>
      <c r="U1273">
        <v>2742792.5838209102</v>
      </c>
      <c r="V1273">
        <v>526131.92285247694</v>
      </c>
    </row>
    <row r="1274" spans="1:22" x14ac:dyDescent="0.3">
      <c r="A1274" t="str">
        <f t="shared" si="38"/>
        <v>ETERPrevisão</v>
      </c>
      <c r="B1274" t="str">
        <f t="shared" si="39"/>
        <v>ETERPrevisãoDez-2022</v>
      </c>
      <c r="C1274" t="s">
        <v>177</v>
      </c>
      <c r="D1274" t="s">
        <v>178</v>
      </c>
      <c r="E1274" t="s">
        <v>168</v>
      </c>
      <c r="F1274" t="s">
        <v>736</v>
      </c>
      <c r="G1274" t="s">
        <v>737</v>
      </c>
      <c r="H1274" t="s">
        <v>738</v>
      </c>
      <c r="I1274" t="s">
        <v>739</v>
      </c>
      <c r="J1274" t="s">
        <v>739</v>
      </c>
      <c r="K1274" s="2">
        <v>44925</v>
      </c>
      <c r="L1274">
        <v>96807.800611148705</v>
      </c>
      <c r="M1274">
        <v>1191103.9596805</v>
      </c>
      <c r="N1274">
        <v>595696.19013670005</v>
      </c>
      <c r="O1274">
        <v>92740.957813416695</v>
      </c>
      <c r="P1274">
        <v>-1191103.9596805</v>
      </c>
      <c r="Q1274">
        <v>-182193.59477124599</v>
      </c>
      <c r="R1274">
        <v>27248.466768523002</v>
      </c>
      <c r="S1274">
        <v>25469.469314998001</v>
      </c>
      <c r="T1274">
        <v>105935.01689177701</v>
      </c>
      <c r="U1274">
        <v>881576.84186385595</v>
      </c>
      <c r="V1274">
        <v>241887.83116883601</v>
      </c>
    </row>
    <row r="1275" spans="1:22" x14ac:dyDescent="0.3">
      <c r="A1275" t="str">
        <f t="shared" si="38"/>
        <v>ETERPrevisão</v>
      </c>
      <c r="B1275" t="str">
        <f t="shared" si="39"/>
        <v>ETERPrevisãoMar-2023</v>
      </c>
      <c r="C1275" t="s">
        <v>177</v>
      </c>
      <c r="D1275" t="s">
        <v>178</v>
      </c>
      <c r="E1275" t="s">
        <v>168</v>
      </c>
      <c r="F1275" t="s">
        <v>736</v>
      </c>
      <c r="G1275" t="s">
        <v>737</v>
      </c>
      <c r="H1275" t="s">
        <v>738</v>
      </c>
      <c r="I1275" t="s">
        <v>739</v>
      </c>
      <c r="J1275" t="s">
        <v>739</v>
      </c>
      <c r="K1275" s="2">
        <v>45015</v>
      </c>
      <c r="L1275">
        <v>114272.95677877399</v>
      </c>
      <c r="M1275">
        <v>1336231.1853805999</v>
      </c>
      <c r="N1275">
        <v>670951.48232729896</v>
      </c>
      <c r="O1275">
        <v>100905.136045889</v>
      </c>
      <c r="P1275">
        <v>-1336231.1853805999</v>
      </c>
      <c r="Q1275">
        <v>-175169.54412395699</v>
      </c>
      <c r="R1275">
        <v>29649.248934952098</v>
      </c>
      <c r="S1275">
        <v>26238.675503615599</v>
      </c>
      <c r="T1275">
        <v>133623.041069539</v>
      </c>
      <c r="U1275">
        <v>1052614.1322375101</v>
      </c>
      <c r="V1275">
        <v>265643.850377505</v>
      </c>
    </row>
    <row r="1276" spans="1:22" x14ac:dyDescent="0.3">
      <c r="A1276" t="str">
        <f t="shared" si="38"/>
        <v>ETERPrevisão</v>
      </c>
      <c r="B1276" t="str">
        <f t="shared" si="39"/>
        <v>ETERPrevisãoJun-2023</v>
      </c>
      <c r="C1276" t="s">
        <v>177</v>
      </c>
      <c r="D1276" t="s">
        <v>178</v>
      </c>
      <c r="E1276" t="s">
        <v>168</v>
      </c>
      <c r="F1276" t="s">
        <v>736</v>
      </c>
      <c r="G1276" t="s">
        <v>737</v>
      </c>
      <c r="H1276" t="s">
        <v>738</v>
      </c>
      <c r="I1276" t="s">
        <v>739</v>
      </c>
      <c r="J1276" t="s">
        <v>739</v>
      </c>
      <c r="K1276" s="2">
        <v>45107</v>
      </c>
      <c r="L1276">
        <v>133423.92577156899</v>
      </c>
      <c r="M1276">
        <v>1498498.34616954</v>
      </c>
      <c r="N1276">
        <v>753971.28066547704</v>
      </c>
      <c r="O1276">
        <v>110124.480768441</v>
      </c>
      <c r="P1276">
        <v>-1498498.34616954</v>
      </c>
      <c r="Q1276">
        <v>-166398.02478904999</v>
      </c>
      <c r="R1276">
        <v>32302.272416476899</v>
      </c>
      <c r="S1276">
        <v>27009.048896267199</v>
      </c>
      <c r="T1276">
        <v>165967.56492618701</v>
      </c>
      <c r="U1276">
        <v>1245198.5483482601</v>
      </c>
      <c r="V1276">
        <v>291792.940541855</v>
      </c>
    </row>
    <row r="1277" spans="1:22" x14ac:dyDescent="0.3">
      <c r="A1277" t="str">
        <f t="shared" si="38"/>
        <v>ETERPrevisão</v>
      </c>
      <c r="B1277" t="str">
        <f t="shared" si="39"/>
        <v>ETERPrevisãoSet-2023</v>
      </c>
      <c r="C1277" t="s">
        <v>177</v>
      </c>
      <c r="D1277" t="s">
        <v>178</v>
      </c>
      <c r="E1277" t="s">
        <v>168</v>
      </c>
      <c r="F1277" t="s">
        <v>736</v>
      </c>
      <c r="G1277" t="s">
        <v>737</v>
      </c>
      <c r="H1277" t="s">
        <v>738</v>
      </c>
      <c r="I1277" t="s">
        <v>739</v>
      </c>
      <c r="J1277" t="s">
        <v>739</v>
      </c>
      <c r="K1277" s="2">
        <v>45199</v>
      </c>
      <c r="L1277">
        <v>154327.73202458501</v>
      </c>
      <c r="M1277">
        <v>1678727.4479760299</v>
      </c>
      <c r="N1277">
        <v>845096.20358878304</v>
      </c>
      <c r="O1277">
        <v>120451.055692016</v>
      </c>
      <c r="P1277">
        <v>-1678727.4479760299</v>
      </c>
      <c r="Q1277">
        <v>-155780.577383589</v>
      </c>
      <c r="R1277">
        <v>35218.726725869201</v>
      </c>
      <c r="S1277">
        <v>27779.092843756502</v>
      </c>
      <c r="T1277">
        <v>203230.19360690899</v>
      </c>
      <c r="U1277">
        <v>1460375.87436453</v>
      </c>
      <c r="V1277">
        <v>320439.09720858099</v>
      </c>
    </row>
    <row r="1278" spans="1:22" x14ac:dyDescent="0.3">
      <c r="A1278" t="str">
        <f t="shared" si="38"/>
        <v>DIRRPrevisão</v>
      </c>
      <c r="B1278" t="str">
        <f t="shared" si="39"/>
        <v>DIRRPrevisãoDez-2022</v>
      </c>
      <c r="C1278" t="s">
        <v>175</v>
      </c>
      <c r="D1278" t="s">
        <v>176</v>
      </c>
      <c r="E1278" t="s">
        <v>168</v>
      </c>
      <c r="F1278" t="s">
        <v>736</v>
      </c>
      <c r="G1278" t="s">
        <v>737</v>
      </c>
      <c r="H1278" t="s">
        <v>738</v>
      </c>
      <c r="I1278" t="s">
        <v>739</v>
      </c>
      <c r="J1278" t="s">
        <v>739</v>
      </c>
      <c r="K1278" s="2">
        <v>44925</v>
      </c>
      <c r="L1278">
        <v>92735.776504556197</v>
      </c>
      <c r="M1278">
        <v>2879108.8922843202</v>
      </c>
      <c r="N1278">
        <v>1024529.45938375</v>
      </c>
      <c r="O1278">
        <v>5286.6783804373299</v>
      </c>
      <c r="P1278">
        <v>-2879108.8922843202</v>
      </c>
      <c r="Q1278">
        <v>-331259.77022326901</v>
      </c>
      <c r="R1278">
        <v>20500.476699768598</v>
      </c>
      <c r="S1278">
        <v>1543.48162295216</v>
      </c>
      <c r="T1278">
        <v>391733.21526202199</v>
      </c>
      <c r="U1278">
        <v>1360209.6415416801</v>
      </c>
      <c r="V1278">
        <v>-2523.3859604506401</v>
      </c>
    </row>
    <row r="1279" spans="1:22" x14ac:dyDescent="0.3">
      <c r="A1279" t="str">
        <f t="shared" si="38"/>
        <v>DIRRPrevisão</v>
      </c>
      <c r="B1279" t="str">
        <f t="shared" si="39"/>
        <v>DIRRPrevisãoMar-2023</v>
      </c>
      <c r="C1279" t="s">
        <v>175</v>
      </c>
      <c r="D1279" t="s">
        <v>176</v>
      </c>
      <c r="E1279" t="s">
        <v>168</v>
      </c>
      <c r="F1279" t="s">
        <v>736</v>
      </c>
      <c r="G1279" t="s">
        <v>737</v>
      </c>
      <c r="H1279" t="s">
        <v>738</v>
      </c>
      <c r="I1279" t="s">
        <v>739</v>
      </c>
      <c r="J1279" t="s">
        <v>739</v>
      </c>
      <c r="K1279" s="2">
        <v>45015</v>
      </c>
      <c r="L1279">
        <v>111732.458959358</v>
      </c>
      <c r="M1279">
        <v>2967718.36223255</v>
      </c>
      <c r="N1279">
        <v>1060352.4728594101</v>
      </c>
      <c r="O1279">
        <v>-2053.2144818697998</v>
      </c>
      <c r="P1279">
        <v>-2967718.36223255</v>
      </c>
      <c r="Q1279">
        <v>-331622.53293327399</v>
      </c>
      <c r="R1279">
        <v>21753.111507991402</v>
      </c>
      <c r="S1279">
        <v>1710.6970270499501</v>
      </c>
      <c r="T1279">
        <v>425683.90412435198</v>
      </c>
      <c r="U1279">
        <v>1405877.89124752</v>
      </c>
      <c r="V1279">
        <v>-7365.4910747338899</v>
      </c>
    </row>
    <row r="1280" spans="1:22" x14ac:dyDescent="0.3">
      <c r="A1280" t="str">
        <f t="shared" si="38"/>
        <v>DIRRPrevisão</v>
      </c>
      <c r="B1280" t="str">
        <f t="shared" si="39"/>
        <v>DIRRPrevisãoJun-2023</v>
      </c>
      <c r="C1280" t="s">
        <v>175</v>
      </c>
      <c r="D1280" t="s">
        <v>176</v>
      </c>
      <c r="E1280" t="s">
        <v>168</v>
      </c>
      <c r="F1280" t="s">
        <v>736</v>
      </c>
      <c r="G1280" t="s">
        <v>737</v>
      </c>
      <c r="H1280" t="s">
        <v>738</v>
      </c>
      <c r="I1280" t="s">
        <v>739</v>
      </c>
      <c r="J1280" t="s">
        <v>739</v>
      </c>
      <c r="K1280" s="2">
        <v>45107</v>
      </c>
      <c r="L1280">
        <v>132824.712338146</v>
      </c>
      <c r="M1280">
        <v>3065505.17515413</v>
      </c>
      <c r="N1280">
        <v>1096398.4562080901</v>
      </c>
      <c r="O1280">
        <v>-10457.7231704896</v>
      </c>
      <c r="P1280">
        <v>-3065505.17515413</v>
      </c>
      <c r="Q1280">
        <v>-331986.03772539698</v>
      </c>
      <c r="R1280">
        <v>23104.8039461976</v>
      </c>
      <c r="S1280">
        <v>1897.4684443198501</v>
      </c>
      <c r="T1280">
        <v>468023.76447046199</v>
      </c>
      <c r="U1280">
        <v>1461696.99840666</v>
      </c>
      <c r="V1280">
        <v>-12864.629366700699</v>
      </c>
    </row>
    <row r="1281" spans="1:22" x14ac:dyDescent="0.3">
      <c r="A1281" t="str">
        <f t="shared" si="38"/>
        <v>DIRRPrevisão</v>
      </c>
      <c r="B1281" t="str">
        <f t="shared" si="39"/>
        <v>DIRRPrevisãoSet-2023</v>
      </c>
      <c r="C1281" t="s">
        <v>175</v>
      </c>
      <c r="D1281" t="s">
        <v>176</v>
      </c>
      <c r="E1281" t="s">
        <v>168</v>
      </c>
      <c r="F1281" t="s">
        <v>736</v>
      </c>
      <c r="G1281" t="s">
        <v>737</v>
      </c>
      <c r="H1281" t="s">
        <v>738</v>
      </c>
      <c r="I1281" t="s">
        <v>739</v>
      </c>
      <c r="J1281" t="s">
        <v>739</v>
      </c>
      <c r="K1281" s="2">
        <v>45199</v>
      </c>
      <c r="L1281">
        <v>156102.49596973101</v>
      </c>
      <c r="M1281">
        <v>3173031.8453098</v>
      </c>
      <c r="N1281">
        <v>1132623.96144023</v>
      </c>
      <c r="O1281">
        <v>-19980.454620812499</v>
      </c>
      <c r="P1281">
        <v>-3173031.8453098</v>
      </c>
      <c r="Q1281">
        <v>-332383.92151551601</v>
      </c>
      <c r="R1281">
        <v>24559.595199849198</v>
      </c>
      <c r="S1281">
        <v>2104.7982626528001</v>
      </c>
      <c r="T1281">
        <v>519301.24358493701</v>
      </c>
      <c r="U1281">
        <v>1528323.83215463</v>
      </c>
      <c r="V1281">
        <v>-19053.1127690375</v>
      </c>
    </row>
    <row r="1282" spans="1:22" x14ac:dyDescent="0.3">
      <c r="A1282" t="str">
        <f t="shared" ref="A1282:A1345" si="40">_xlfn.CONCAT(D1282,F1282)</f>
        <v>DXCOPrevisão</v>
      </c>
      <c r="B1282" t="str">
        <f t="shared" ref="B1282:B1345" si="41">_xlfn.CONCAT(D1282,F1282,PROPER(TEXT(K1282,"mmm-aaaa")))</f>
        <v>DXCOPrevisãoDez-2016</v>
      </c>
      <c r="C1282" t="s">
        <v>720</v>
      </c>
      <c r="D1282" t="s">
        <v>174</v>
      </c>
      <c r="E1282" t="s">
        <v>168</v>
      </c>
      <c r="F1282" t="s">
        <v>736</v>
      </c>
      <c r="G1282" t="s">
        <v>737</v>
      </c>
      <c r="H1282" t="s">
        <v>738</v>
      </c>
      <c r="I1282" t="s">
        <v>739</v>
      </c>
      <c r="J1282" t="s">
        <v>739</v>
      </c>
      <c r="K1282" s="2">
        <v>42734</v>
      </c>
      <c r="L1282">
        <v>-15391.4025973885</v>
      </c>
      <c r="M1282">
        <v>8730346.3733963501</v>
      </c>
      <c r="N1282">
        <v>2613122.2389468802</v>
      </c>
      <c r="O1282">
        <v>933035.79314172105</v>
      </c>
      <c r="P1282">
        <v>-8730346.3733963501</v>
      </c>
      <c r="Q1282">
        <v>-1239381.0842037401</v>
      </c>
      <c r="R1282">
        <v>122741.665393414</v>
      </c>
      <c r="S1282">
        <v>25122.416348357001</v>
      </c>
      <c r="T1282">
        <v>2101313.9917661301</v>
      </c>
      <c r="U1282">
        <v>5109280.4704194898</v>
      </c>
      <c r="V1282">
        <v>875737.51311399904</v>
      </c>
    </row>
    <row r="1283" spans="1:22" x14ac:dyDescent="0.3">
      <c r="A1283" t="str">
        <f t="shared" si="40"/>
        <v>DXCOPrevisão</v>
      </c>
      <c r="B1283" t="str">
        <f t="shared" si="41"/>
        <v>DXCOPrevisãoMar-2017</v>
      </c>
      <c r="C1283" t="s">
        <v>720</v>
      </c>
      <c r="D1283" t="s">
        <v>174</v>
      </c>
      <c r="E1283" t="s">
        <v>168</v>
      </c>
      <c r="F1283" t="s">
        <v>736</v>
      </c>
      <c r="G1283" t="s">
        <v>737</v>
      </c>
      <c r="H1283" t="s">
        <v>738</v>
      </c>
      <c r="I1283" t="s">
        <v>739</v>
      </c>
      <c r="J1283" t="s">
        <v>739</v>
      </c>
      <c r="K1283" s="2">
        <v>42824</v>
      </c>
      <c r="L1283">
        <v>-26934.393037784201</v>
      </c>
      <c r="M1283">
        <v>9218972.6394753009</v>
      </c>
      <c r="N1283">
        <v>2844148.7297971998</v>
      </c>
      <c r="O1283">
        <v>956179.27908453997</v>
      </c>
      <c r="P1283">
        <v>-9218972.6394753009</v>
      </c>
      <c r="Q1283">
        <v>-1382865.08085214</v>
      </c>
      <c r="R1283">
        <v>125410.967047244</v>
      </c>
      <c r="S1283">
        <v>18433.331832978402</v>
      </c>
      <c r="T1283">
        <v>2225372.8745526602</v>
      </c>
      <c r="U1283">
        <v>5351534.1268109595</v>
      </c>
      <c r="V1283">
        <v>911988.44514381199</v>
      </c>
    </row>
    <row r="1284" spans="1:22" x14ac:dyDescent="0.3">
      <c r="A1284" t="str">
        <f t="shared" si="40"/>
        <v>DXCOPrevisão</v>
      </c>
      <c r="B1284" t="str">
        <f t="shared" si="41"/>
        <v>DXCOPrevisãoJun-2017</v>
      </c>
      <c r="C1284" t="s">
        <v>720</v>
      </c>
      <c r="D1284" t="s">
        <v>174</v>
      </c>
      <c r="E1284" t="s">
        <v>168</v>
      </c>
      <c r="F1284" t="s">
        <v>736</v>
      </c>
      <c r="G1284" t="s">
        <v>737</v>
      </c>
      <c r="H1284" t="s">
        <v>738</v>
      </c>
      <c r="I1284" t="s">
        <v>739</v>
      </c>
      <c r="J1284" t="s">
        <v>739</v>
      </c>
      <c r="K1284" s="2">
        <v>42916</v>
      </c>
      <c r="L1284">
        <v>-38059.769585809598</v>
      </c>
      <c r="M1284">
        <v>9785086.9830337204</v>
      </c>
      <c r="N1284">
        <v>3111038.5563002499</v>
      </c>
      <c r="O1284">
        <v>984135.076515725</v>
      </c>
      <c r="P1284">
        <v>-9785086.9830337204</v>
      </c>
      <c r="Q1284">
        <v>-1553775.50991634</v>
      </c>
      <c r="R1284">
        <v>128580.84060525399</v>
      </c>
      <c r="S1284">
        <v>11000.428848895899</v>
      </c>
      <c r="T1284">
        <v>2368208.2805941398</v>
      </c>
      <c r="U1284">
        <v>5628077.0311362101</v>
      </c>
      <c r="V1284">
        <v>956995.26248091401</v>
      </c>
    </row>
    <row r="1285" spans="1:22" x14ac:dyDescent="0.3">
      <c r="A1285" t="str">
        <f t="shared" si="40"/>
        <v>DXCOPrevisão</v>
      </c>
      <c r="B1285" t="str">
        <f t="shared" si="41"/>
        <v>DXCOPrevisãoSet-2017</v>
      </c>
      <c r="C1285" t="s">
        <v>720</v>
      </c>
      <c r="D1285" t="s">
        <v>174</v>
      </c>
      <c r="E1285" t="s">
        <v>168</v>
      </c>
      <c r="F1285" t="s">
        <v>736</v>
      </c>
      <c r="G1285" t="s">
        <v>737</v>
      </c>
      <c r="H1285" t="s">
        <v>738</v>
      </c>
      <c r="I1285" t="s">
        <v>739</v>
      </c>
      <c r="J1285" t="s">
        <v>739</v>
      </c>
      <c r="K1285" s="2">
        <v>43008</v>
      </c>
      <c r="L1285">
        <v>-48688.114654616598</v>
      </c>
      <c r="M1285">
        <v>10432996.0252901</v>
      </c>
      <c r="N1285">
        <v>3415783.8756730999</v>
      </c>
      <c r="O1285">
        <v>1017203.50349379</v>
      </c>
      <c r="P1285">
        <v>-10432996.0252901</v>
      </c>
      <c r="Q1285">
        <v>-1753733.87603605</v>
      </c>
      <c r="R1285">
        <v>132284.172252855</v>
      </c>
      <c r="S1285">
        <v>2793.4574134199102</v>
      </c>
      <c r="T1285">
        <v>2530814.8501374698</v>
      </c>
      <c r="U1285">
        <v>5940667.4760281099</v>
      </c>
      <c r="V1285">
        <v>1011326.13702829</v>
      </c>
    </row>
    <row r="1286" spans="1:22" x14ac:dyDescent="0.3">
      <c r="A1286" t="str">
        <f t="shared" si="40"/>
        <v>CYREPrevisão</v>
      </c>
      <c r="B1286" t="str">
        <f t="shared" si="41"/>
        <v>CYREPrevisãoDez-2022</v>
      </c>
      <c r="C1286" t="s">
        <v>171</v>
      </c>
      <c r="D1286" t="s">
        <v>172</v>
      </c>
      <c r="E1286" t="s">
        <v>168</v>
      </c>
      <c r="F1286" t="s">
        <v>736</v>
      </c>
      <c r="G1286" t="s">
        <v>737</v>
      </c>
      <c r="H1286" t="s">
        <v>738</v>
      </c>
      <c r="I1286" t="s">
        <v>739</v>
      </c>
      <c r="J1286" t="s">
        <v>739</v>
      </c>
      <c r="K1286" s="2">
        <v>44925</v>
      </c>
      <c r="L1286">
        <v>429844.85773701698</v>
      </c>
      <c r="M1286">
        <v>11444452.036498999</v>
      </c>
      <c r="N1286">
        <v>1396659.79033994</v>
      </c>
      <c r="O1286">
        <v>-615.68389784341696</v>
      </c>
      <c r="P1286">
        <v>-11444452.036498999</v>
      </c>
      <c r="Q1286">
        <v>-1452807.73338412</v>
      </c>
      <c r="R1286">
        <v>92645.772090642597</v>
      </c>
      <c r="S1286">
        <v>3551.3823104875401</v>
      </c>
      <c r="T1286">
        <v>3004394.21747017</v>
      </c>
      <c r="U1286">
        <v>7011401.5750773903</v>
      </c>
      <c r="V1286">
        <v>2414.3757745522698</v>
      </c>
    </row>
    <row r="1287" spans="1:22" x14ac:dyDescent="0.3">
      <c r="A1287" t="str">
        <f t="shared" si="40"/>
        <v>CYREPrevisão</v>
      </c>
      <c r="B1287" t="str">
        <f t="shared" si="41"/>
        <v>CYREPrevisãoMar-2023</v>
      </c>
      <c r="C1287" t="s">
        <v>171</v>
      </c>
      <c r="D1287" t="s">
        <v>172</v>
      </c>
      <c r="E1287" t="s">
        <v>168</v>
      </c>
      <c r="F1287" t="s">
        <v>736</v>
      </c>
      <c r="G1287" t="s">
        <v>737</v>
      </c>
      <c r="H1287" t="s">
        <v>738</v>
      </c>
      <c r="I1287" t="s">
        <v>739</v>
      </c>
      <c r="J1287" t="s">
        <v>739</v>
      </c>
      <c r="K1287" s="2">
        <v>45015</v>
      </c>
      <c r="L1287">
        <v>479288.22411943402</v>
      </c>
      <c r="M1287">
        <v>12177053.5600332</v>
      </c>
      <c r="N1287">
        <v>1461180.47788767</v>
      </c>
      <c r="O1287">
        <v>-5784.4141437569097</v>
      </c>
      <c r="P1287">
        <v>-12177053.5600332</v>
      </c>
      <c r="Q1287">
        <v>-1542365.0526980199</v>
      </c>
      <c r="R1287">
        <v>106984.13151500199</v>
      </c>
      <c r="S1287">
        <v>1069.74417120005</v>
      </c>
      <c r="T1287">
        <v>3263365.6977971899</v>
      </c>
      <c r="U1287">
        <v>7358612.6082090503</v>
      </c>
      <c r="V1287">
        <v>2023.8648212766</v>
      </c>
    </row>
    <row r="1288" spans="1:22" x14ac:dyDescent="0.3">
      <c r="A1288" t="str">
        <f t="shared" si="40"/>
        <v>CYREPrevisão</v>
      </c>
      <c r="B1288" t="str">
        <f t="shared" si="41"/>
        <v>CYREPrevisãoJun-2023</v>
      </c>
      <c r="C1288" t="s">
        <v>171</v>
      </c>
      <c r="D1288" t="s">
        <v>172</v>
      </c>
      <c r="E1288" t="s">
        <v>168</v>
      </c>
      <c r="F1288" t="s">
        <v>736</v>
      </c>
      <c r="G1288" t="s">
        <v>737</v>
      </c>
      <c r="H1288" t="s">
        <v>738</v>
      </c>
      <c r="I1288" t="s">
        <v>739</v>
      </c>
      <c r="J1288" t="s">
        <v>739</v>
      </c>
      <c r="K1288" s="2">
        <v>45107</v>
      </c>
      <c r="L1288">
        <v>532721.06130669801</v>
      </c>
      <c r="M1288">
        <v>12983932.952181401</v>
      </c>
      <c r="N1288">
        <v>1531946.34230662</v>
      </c>
      <c r="O1288">
        <v>-11737.0858034019</v>
      </c>
      <c r="P1288">
        <v>-12983932.952181401</v>
      </c>
      <c r="Q1288">
        <v>-1636646.31058866</v>
      </c>
      <c r="R1288">
        <v>122803.54785466701</v>
      </c>
      <c r="S1288">
        <v>-1818.78639173232</v>
      </c>
      <c r="T1288">
        <v>3558990.4853552999</v>
      </c>
      <c r="U1288">
        <v>7750356.58285625</v>
      </c>
      <c r="V1288">
        <v>1576.8236176750199</v>
      </c>
    </row>
    <row r="1289" spans="1:22" x14ac:dyDescent="0.3">
      <c r="A1289" t="str">
        <f t="shared" si="40"/>
        <v>CYREPrevisão</v>
      </c>
      <c r="B1289" t="str">
        <f t="shared" si="41"/>
        <v>CYREPrevisãoSet-2023</v>
      </c>
      <c r="C1289" t="s">
        <v>171</v>
      </c>
      <c r="D1289" t="s">
        <v>172</v>
      </c>
      <c r="E1289" t="s">
        <v>168</v>
      </c>
      <c r="F1289" t="s">
        <v>736</v>
      </c>
      <c r="G1289" t="s">
        <v>737</v>
      </c>
      <c r="H1289" t="s">
        <v>738</v>
      </c>
      <c r="I1289" t="s">
        <v>739</v>
      </c>
      <c r="J1289" t="s">
        <v>739</v>
      </c>
      <c r="K1289" s="2">
        <v>45199</v>
      </c>
      <c r="L1289">
        <v>590279.96432595199</v>
      </c>
      <c r="M1289">
        <v>13868348.674704099</v>
      </c>
      <c r="N1289">
        <v>1609338.34381163</v>
      </c>
      <c r="O1289">
        <v>-18520.249034743301</v>
      </c>
      <c r="P1289">
        <v>-13868348.674704099</v>
      </c>
      <c r="Q1289">
        <v>-1735647.22564392</v>
      </c>
      <c r="R1289">
        <v>140168.88661347501</v>
      </c>
      <c r="S1289">
        <v>-5136.5551336430899</v>
      </c>
      <c r="T1289">
        <v>3893247.5003245999</v>
      </c>
      <c r="U1289">
        <v>8189031.7604779499</v>
      </c>
      <c r="V1289">
        <v>1070.40222430626</v>
      </c>
    </row>
    <row r="1290" spans="1:22" x14ac:dyDescent="0.3">
      <c r="A1290" t="str">
        <f t="shared" si="40"/>
        <v>CURYPrevisão</v>
      </c>
      <c r="B1290" t="str">
        <f t="shared" si="41"/>
        <v>CURYPrevisãoDez-2022</v>
      </c>
      <c r="C1290" t="s">
        <v>169</v>
      </c>
      <c r="D1290" t="s">
        <v>170</v>
      </c>
      <c r="E1290" t="s">
        <v>168</v>
      </c>
      <c r="F1290" t="s">
        <v>736</v>
      </c>
      <c r="G1290" t="s">
        <v>737</v>
      </c>
      <c r="H1290" t="s">
        <v>738</v>
      </c>
      <c r="I1290" t="s">
        <v>739</v>
      </c>
      <c r="J1290" t="s">
        <v>739</v>
      </c>
      <c r="K1290" s="2">
        <v>44925</v>
      </c>
      <c r="L1290">
        <v>112323.41269841199</v>
      </c>
      <c r="M1290">
        <v>1467216.9761904699</v>
      </c>
      <c r="N1290">
        <v>289030.03174603003</v>
      </c>
      <c r="O1290">
        <v>96190.150793650799</v>
      </c>
      <c r="P1290">
        <v>-1467216.9761904699</v>
      </c>
      <c r="Q1290">
        <v>-114835.396825396</v>
      </c>
      <c r="R1290">
        <v>17824.317460317001</v>
      </c>
      <c r="S1290">
        <v>606.74603174602998</v>
      </c>
      <c r="T1290">
        <v>461599.51587301301</v>
      </c>
      <c r="U1290">
        <v>786136.09523809794</v>
      </c>
      <c r="V1290">
        <v>9706.1190476190295</v>
      </c>
    </row>
    <row r="1291" spans="1:22" x14ac:dyDescent="0.3">
      <c r="A1291" t="str">
        <f t="shared" si="40"/>
        <v>CURYPrevisão</v>
      </c>
      <c r="B1291" t="str">
        <f t="shared" si="41"/>
        <v>CURYPrevisãoMar-2023</v>
      </c>
      <c r="C1291" t="s">
        <v>169</v>
      </c>
      <c r="D1291" t="s">
        <v>170</v>
      </c>
      <c r="E1291" t="s">
        <v>168</v>
      </c>
      <c r="F1291" t="s">
        <v>736</v>
      </c>
      <c r="G1291" t="s">
        <v>737</v>
      </c>
      <c r="H1291" t="s">
        <v>738</v>
      </c>
      <c r="I1291" t="s">
        <v>739</v>
      </c>
      <c r="J1291" t="s">
        <v>739</v>
      </c>
      <c r="K1291" s="2">
        <v>45015</v>
      </c>
      <c r="L1291">
        <v>143855.12698412701</v>
      </c>
      <c r="M1291">
        <v>1541149.09523809</v>
      </c>
      <c r="N1291">
        <v>376172.31746031501</v>
      </c>
      <c r="O1291">
        <v>97990.507936508002</v>
      </c>
      <c r="P1291">
        <v>-1541149.09523809</v>
      </c>
      <c r="Q1291">
        <v>-113964.96825396801</v>
      </c>
      <c r="R1291">
        <v>23293.841269840501</v>
      </c>
      <c r="S1291">
        <v>894.96031746031201</v>
      </c>
      <c r="T1291">
        <v>491992.15873015398</v>
      </c>
      <c r="U1291">
        <v>872086.61904762196</v>
      </c>
      <c r="V1291">
        <v>12773.357142856999</v>
      </c>
    </row>
    <row r="1292" spans="1:22" x14ac:dyDescent="0.3">
      <c r="A1292" t="str">
        <f t="shared" si="40"/>
        <v>CURYPrevisão</v>
      </c>
      <c r="B1292" t="str">
        <f t="shared" si="41"/>
        <v>CURYPrevisãoJun-2023</v>
      </c>
      <c r="C1292" t="s">
        <v>169</v>
      </c>
      <c r="D1292" t="s">
        <v>170</v>
      </c>
      <c r="E1292" t="s">
        <v>168</v>
      </c>
      <c r="F1292" t="s">
        <v>736</v>
      </c>
      <c r="G1292" t="s">
        <v>737</v>
      </c>
      <c r="H1292" t="s">
        <v>738</v>
      </c>
      <c r="I1292" t="s">
        <v>739</v>
      </c>
      <c r="J1292" t="s">
        <v>739</v>
      </c>
      <c r="K1292" s="2">
        <v>45107</v>
      </c>
      <c r="L1292">
        <v>188659.698412698</v>
      </c>
      <c r="M1292">
        <v>1599952.62987013</v>
      </c>
      <c r="N1292">
        <v>495048.20057719701</v>
      </c>
      <c r="O1292">
        <v>94006.323953824103</v>
      </c>
      <c r="P1292">
        <v>-1599952.62987013</v>
      </c>
      <c r="Q1292">
        <v>-121234.85569985599</v>
      </c>
      <c r="R1292">
        <v>31110.7027417016</v>
      </c>
      <c r="S1292">
        <v>1327.62265512264</v>
      </c>
      <c r="T1292">
        <v>515054.67604616901</v>
      </c>
      <c r="U1292">
        <v>988711.40476190695</v>
      </c>
      <c r="V1292">
        <v>17549.456709956601</v>
      </c>
    </row>
    <row r="1293" spans="1:22" x14ac:dyDescent="0.3">
      <c r="A1293" t="str">
        <f t="shared" si="40"/>
        <v>CURYPrevisão</v>
      </c>
      <c r="B1293" t="str">
        <f t="shared" si="41"/>
        <v>CURYPrevisãoSet-2023</v>
      </c>
      <c r="C1293" t="s">
        <v>169</v>
      </c>
      <c r="D1293" t="s">
        <v>170</v>
      </c>
      <c r="E1293" t="s">
        <v>168</v>
      </c>
      <c r="F1293" t="s">
        <v>736</v>
      </c>
      <c r="G1293" t="s">
        <v>737</v>
      </c>
      <c r="H1293" t="s">
        <v>738</v>
      </c>
      <c r="I1293" t="s">
        <v>739</v>
      </c>
      <c r="J1293" t="s">
        <v>739</v>
      </c>
      <c r="K1293" s="2">
        <v>45199</v>
      </c>
      <c r="L1293">
        <v>249272.60173160001</v>
      </c>
      <c r="M1293">
        <v>1639542.76190476</v>
      </c>
      <c r="N1293">
        <v>650385.06493505905</v>
      </c>
      <c r="O1293">
        <v>83097.285714285899</v>
      </c>
      <c r="P1293">
        <v>-1639542.76190476</v>
      </c>
      <c r="Q1293">
        <v>-138055.09956710099</v>
      </c>
      <c r="R1293">
        <v>41708.073593071997</v>
      </c>
      <c r="S1293">
        <v>1926.96536796535</v>
      </c>
      <c r="T1293">
        <v>529526.77489176404</v>
      </c>
      <c r="U1293">
        <v>1143298.52813852</v>
      </c>
      <c r="V1293">
        <v>24329.3419913418</v>
      </c>
    </row>
    <row r="1294" spans="1:22" x14ac:dyDescent="0.3">
      <c r="A1294" t="str">
        <f t="shared" si="40"/>
        <v>CRDEPrevisão</v>
      </c>
      <c r="B1294" t="str">
        <f t="shared" si="41"/>
        <v>CRDEPrevisãoDez-2022</v>
      </c>
      <c r="C1294" t="s">
        <v>217</v>
      </c>
      <c r="D1294" t="s">
        <v>218</v>
      </c>
      <c r="E1294" t="s">
        <v>168</v>
      </c>
      <c r="F1294" t="s">
        <v>736</v>
      </c>
      <c r="G1294" t="s">
        <v>737</v>
      </c>
      <c r="H1294" t="s">
        <v>738</v>
      </c>
      <c r="I1294" t="s">
        <v>739</v>
      </c>
      <c r="J1294" t="s">
        <v>739</v>
      </c>
      <c r="K1294" s="2">
        <v>44925</v>
      </c>
      <c r="L1294">
        <v>-2373.4377387324198</v>
      </c>
      <c r="M1294">
        <v>118673.47627524201</v>
      </c>
      <c r="N1294">
        <v>829.53773025449402</v>
      </c>
      <c r="O1294">
        <v>-2951.8442407202801</v>
      </c>
      <c r="P1294">
        <v>-118673.47627524201</v>
      </c>
      <c r="Q1294">
        <v>-13670.3790849454</v>
      </c>
      <c r="R1294">
        <v>0</v>
      </c>
      <c r="S1294">
        <v>256.65885748236099</v>
      </c>
      <c r="T1294">
        <v>-2529.89949919319</v>
      </c>
      <c r="U1294">
        <v>110412.702487061</v>
      </c>
      <c r="V1294">
        <v>-2380.7226890760599</v>
      </c>
    </row>
    <row r="1295" spans="1:22" x14ac:dyDescent="0.3">
      <c r="A1295" t="str">
        <f t="shared" si="40"/>
        <v>CRDEPrevisão</v>
      </c>
      <c r="B1295" t="str">
        <f t="shared" si="41"/>
        <v>CRDEPrevisãoMar-2023</v>
      </c>
      <c r="C1295" t="s">
        <v>217</v>
      </c>
      <c r="D1295" t="s">
        <v>218</v>
      </c>
      <c r="E1295" t="s">
        <v>168</v>
      </c>
      <c r="F1295" t="s">
        <v>736</v>
      </c>
      <c r="G1295" t="s">
        <v>737</v>
      </c>
      <c r="H1295" t="s">
        <v>738</v>
      </c>
      <c r="I1295" t="s">
        <v>739</v>
      </c>
      <c r="J1295" t="s">
        <v>739</v>
      </c>
      <c r="K1295" s="2">
        <v>45015</v>
      </c>
      <c r="L1295">
        <v>-2772.48272871876</v>
      </c>
      <c r="M1295">
        <v>125067.288400566</v>
      </c>
      <c r="N1295">
        <v>-3684.9168358453599</v>
      </c>
      <c r="O1295">
        <v>-5606.2856615139299</v>
      </c>
      <c r="P1295">
        <v>-125067.288400566</v>
      </c>
      <c r="Q1295">
        <v>-17724.439422589901</v>
      </c>
      <c r="R1295">
        <v>0</v>
      </c>
      <c r="S1295">
        <v>300.84801225974797</v>
      </c>
      <c r="T1295">
        <v>-3929.3283321527801</v>
      </c>
      <c r="U1295">
        <v>116698.987175876</v>
      </c>
      <c r="V1295">
        <v>-2723.6086759035202</v>
      </c>
    </row>
    <row r="1296" spans="1:22" x14ac:dyDescent="0.3">
      <c r="A1296" t="str">
        <f t="shared" si="40"/>
        <v>CRDEPrevisão</v>
      </c>
      <c r="B1296" t="str">
        <f t="shared" si="41"/>
        <v>CRDEPrevisãoJun-2023</v>
      </c>
      <c r="C1296" t="s">
        <v>217</v>
      </c>
      <c r="D1296" t="s">
        <v>218</v>
      </c>
      <c r="E1296" t="s">
        <v>168</v>
      </c>
      <c r="F1296" t="s">
        <v>736</v>
      </c>
      <c r="G1296" t="s">
        <v>737</v>
      </c>
      <c r="H1296" t="s">
        <v>738</v>
      </c>
      <c r="I1296" t="s">
        <v>739</v>
      </c>
      <c r="J1296" t="s">
        <v>739</v>
      </c>
      <c r="K1296" s="2">
        <v>45107</v>
      </c>
      <c r="L1296">
        <v>-3249.2364068874899</v>
      </c>
      <c r="M1296">
        <v>133109.991134401</v>
      </c>
      <c r="N1296">
        <v>-8621.7564898997607</v>
      </c>
      <c r="O1296">
        <v>-8481.6199098381294</v>
      </c>
      <c r="P1296">
        <v>-133109.991134401</v>
      </c>
      <c r="Q1296">
        <v>-22312.3758176271</v>
      </c>
      <c r="R1296">
        <v>0</v>
      </c>
      <c r="S1296">
        <v>350.70626172790202</v>
      </c>
      <c r="T1296">
        <v>-5619.2325293433796</v>
      </c>
      <c r="U1296">
        <v>124854.946407312</v>
      </c>
      <c r="V1296">
        <v>-3141.8265377285302</v>
      </c>
    </row>
    <row r="1297" spans="1:22" x14ac:dyDescent="0.3">
      <c r="A1297" t="str">
        <f t="shared" si="40"/>
        <v>CRDEPrevisão</v>
      </c>
      <c r="B1297" t="str">
        <f t="shared" si="41"/>
        <v>CRDEPrevisãoSet-2023</v>
      </c>
      <c r="C1297" t="s">
        <v>217</v>
      </c>
      <c r="D1297" t="s">
        <v>218</v>
      </c>
      <c r="E1297" t="s">
        <v>168</v>
      </c>
      <c r="F1297" t="s">
        <v>736</v>
      </c>
      <c r="G1297" t="s">
        <v>737</v>
      </c>
      <c r="H1297" t="s">
        <v>738</v>
      </c>
      <c r="I1297" t="s">
        <v>739</v>
      </c>
      <c r="J1297" t="s">
        <v>739</v>
      </c>
      <c r="K1297" s="2">
        <v>45199</v>
      </c>
      <c r="L1297">
        <v>-3807.6512514914102</v>
      </c>
      <c r="M1297">
        <v>142852.43585173099</v>
      </c>
      <c r="N1297">
        <v>-14004.584707886699</v>
      </c>
      <c r="O1297">
        <v>-11591.9739178817</v>
      </c>
      <c r="P1297">
        <v>-142852.43585173099</v>
      </c>
      <c r="Q1297">
        <v>-27453.0293404677</v>
      </c>
      <c r="R1297">
        <v>0</v>
      </c>
      <c r="S1297">
        <v>406.48431681555098</v>
      </c>
      <c r="T1297">
        <v>-7621.8673211192799</v>
      </c>
      <c r="U1297">
        <v>134965.220162991</v>
      </c>
      <c r="V1297">
        <v>-3639.5492286435701</v>
      </c>
    </row>
    <row r="1298" spans="1:22" x14ac:dyDescent="0.3">
      <c r="A1298" t="str">
        <f t="shared" si="40"/>
        <v>CORRPrevisão</v>
      </c>
      <c r="B1298" t="str">
        <f t="shared" si="41"/>
        <v>CORRPrevisãoDez-2022</v>
      </c>
      <c r="C1298" t="s">
        <v>221</v>
      </c>
      <c r="D1298" t="s">
        <v>222</v>
      </c>
      <c r="E1298" t="s">
        <v>168</v>
      </c>
      <c r="F1298" t="s">
        <v>736</v>
      </c>
      <c r="G1298" t="s">
        <v>737</v>
      </c>
      <c r="H1298" t="s">
        <v>738</v>
      </c>
      <c r="I1298" t="s">
        <v>739</v>
      </c>
      <c r="J1298" t="s">
        <v>739</v>
      </c>
      <c r="K1298" s="2">
        <v>44925</v>
      </c>
      <c r="L1298">
        <v>540.78703914053096</v>
      </c>
      <c r="M1298">
        <v>19244.938148229699</v>
      </c>
      <c r="N1298">
        <v>-1573.0259671441399</v>
      </c>
      <c r="O1298">
        <v>566.82610341495695</v>
      </c>
      <c r="P1298">
        <v>-19244.938148229699</v>
      </c>
      <c r="Q1298">
        <v>-333.05140434552499</v>
      </c>
      <c r="R1298">
        <v>169.655235066904</v>
      </c>
      <c r="S1298">
        <v>410.11106064042201</v>
      </c>
      <c r="T1298">
        <v>468.67067908126</v>
      </c>
      <c r="U1298">
        <v>1120.5943674759301</v>
      </c>
      <c r="V1298">
        <v>1054.9207358618301</v>
      </c>
    </row>
    <row r="1299" spans="1:22" x14ac:dyDescent="0.3">
      <c r="A1299" t="str">
        <f t="shared" si="40"/>
        <v>CORRPrevisão</v>
      </c>
      <c r="B1299" t="str">
        <f t="shared" si="41"/>
        <v>CORRPrevisãoMar-2023</v>
      </c>
      <c r="C1299" t="s">
        <v>221</v>
      </c>
      <c r="D1299" t="s">
        <v>222</v>
      </c>
      <c r="E1299" t="s">
        <v>168</v>
      </c>
      <c r="F1299" t="s">
        <v>736</v>
      </c>
      <c r="G1299" t="s">
        <v>737</v>
      </c>
      <c r="H1299" t="s">
        <v>738</v>
      </c>
      <c r="I1299" t="s">
        <v>739</v>
      </c>
      <c r="J1299" t="s">
        <v>739</v>
      </c>
      <c r="K1299" s="2">
        <v>45015</v>
      </c>
      <c r="L1299">
        <v>477.82356128853399</v>
      </c>
      <c r="M1299">
        <v>20584.959732396601</v>
      </c>
      <c r="N1299">
        <v>-2426.5211279396099</v>
      </c>
      <c r="O1299">
        <v>309.87082969813201</v>
      </c>
      <c r="P1299">
        <v>-20584.959732396601</v>
      </c>
      <c r="Q1299">
        <v>-286.75896019857402</v>
      </c>
      <c r="R1299">
        <v>237.39916962508201</v>
      </c>
      <c r="S1299">
        <v>410.49816114206197</v>
      </c>
      <c r="T1299">
        <v>860.72051352419999</v>
      </c>
      <c r="U1299">
        <v>1981.8709332942899</v>
      </c>
      <c r="V1299">
        <v>1032.5028987411999</v>
      </c>
    </row>
    <row r="1300" spans="1:22" x14ac:dyDescent="0.3">
      <c r="A1300" t="str">
        <f t="shared" si="40"/>
        <v>CORRPrevisão</v>
      </c>
      <c r="B1300" t="str">
        <f t="shared" si="41"/>
        <v>CORRPrevisãoJun-2023</v>
      </c>
      <c r="C1300" t="s">
        <v>221</v>
      </c>
      <c r="D1300" t="s">
        <v>222</v>
      </c>
      <c r="E1300" t="s">
        <v>168</v>
      </c>
      <c r="F1300" t="s">
        <v>736</v>
      </c>
      <c r="G1300" t="s">
        <v>737</v>
      </c>
      <c r="H1300" t="s">
        <v>738</v>
      </c>
      <c r="I1300" t="s">
        <v>739</v>
      </c>
      <c r="J1300" t="s">
        <v>739</v>
      </c>
      <c r="K1300" s="2">
        <v>45107</v>
      </c>
      <c r="L1300">
        <v>395.86478486848102</v>
      </c>
      <c r="M1300">
        <v>22121.808573957402</v>
      </c>
      <c r="N1300">
        <v>-3273.2582489615502</v>
      </c>
      <c r="O1300">
        <v>21.620873451331299</v>
      </c>
      <c r="P1300">
        <v>-22121.808573957402</v>
      </c>
      <c r="Q1300">
        <v>-230.53337452714999</v>
      </c>
      <c r="R1300">
        <v>316.66421036071398</v>
      </c>
      <c r="S1300">
        <v>407.19916980900098</v>
      </c>
      <c r="T1300">
        <v>1341.6704317341</v>
      </c>
      <c r="U1300">
        <v>2995.41353444679</v>
      </c>
      <c r="V1300">
        <v>1011.2309883795</v>
      </c>
    </row>
    <row r="1301" spans="1:22" x14ac:dyDescent="0.3">
      <c r="A1301" t="str">
        <f t="shared" si="40"/>
        <v>CORRPrevisão</v>
      </c>
      <c r="B1301" t="str">
        <f t="shared" si="41"/>
        <v>CORRPrevisãoSet-2023</v>
      </c>
      <c r="C1301" t="s">
        <v>221</v>
      </c>
      <c r="D1301" t="s">
        <v>222</v>
      </c>
      <c r="E1301" t="s">
        <v>168</v>
      </c>
      <c r="F1301" t="s">
        <v>736</v>
      </c>
      <c r="G1301" t="s">
        <v>737</v>
      </c>
      <c r="H1301" t="s">
        <v>738</v>
      </c>
      <c r="I1301" t="s">
        <v>739</v>
      </c>
      <c r="J1301" t="s">
        <v>739</v>
      </c>
      <c r="K1301" s="2">
        <v>45199</v>
      </c>
      <c r="L1301">
        <v>293.70482752743101</v>
      </c>
      <c r="M1301">
        <v>23864.987165998002</v>
      </c>
      <c r="N1301">
        <v>-4111.3008835227602</v>
      </c>
      <c r="O1301">
        <v>-299.39521712971299</v>
      </c>
      <c r="P1301">
        <v>-23864.987165998002</v>
      </c>
      <c r="Q1301">
        <v>-163.57351492949701</v>
      </c>
      <c r="R1301">
        <v>408.08694384846501</v>
      </c>
      <c r="S1301">
        <v>399.95268806714898</v>
      </c>
      <c r="T1301">
        <v>1916.07829175953</v>
      </c>
      <c r="U1301">
        <v>4168.72771708448</v>
      </c>
      <c r="V1301">
        <v>991.27256612231099</v>
      </c>
    </row>
    <row r="1302" spans="1:22" x14ac:dyDescent="0.3">
      <c r="A1302" t="str">
        <f t="shared" si="40"/>
        <v>TENDPrevisão</v>
      </c>
      <c r="B1302" t="str">
        <f t="shared" si="41"/>
        <v>TENDPrevisãoDez-2022</v>
      </c>
      <c r="C1302" t="s">
        <v>207</v>
      </c>
      <c r="D1302" t="s">
        <v>208</v>
      </c>
      <c r="E1302" t="s">
        <v>168</v>
      </c>
      <c r="F1302" t="s">
        <v>736</v>
      </c>
      <c r="G1302" t="s">
        <v>737</v>
      </c>
      <c r="H1302" t="s">
        <v>738</v>
      </c>
      <c r="I1302" t="s">
        <v>739</v>
      </c>
      <c r="J1302" t="s">
        <v>739</v>
      </c>
      <c r="K1302" s="2">
        <v>44925</v>
      </c>
      <c r="L1302">
        <v>-190541.48569728501</v>
      </c>
      <c r="M1302">
        <v>3841616.6118328501</v>
      </c>
      <c r="N1302">
        <v>877729.56871209398</v>
      </c>
      <c r="O1302">
        <v>-25779.550887261699</v>
      </c>
      <c r="P1302">
        <v>-3841616.6118328501</v>
      </c>
      <c r="Q1302">
        <v>-1421398.2747635699</v>
      </c>
      <c r="R1302">
        <v>20234.481538078599</v>
      </c>
      <c r="S1302">
        <v>-3055.07571513516</v>
      </c>
      <c r="T1302">
        <v>213402.709871753</v>
      </c>
      <c r="U1302">
        <v>1089779.5131141201</v>
      </c>
      <c r="V1302">
        <v>30760.497326243702</v>
      </c>
    </row>
    <row r="1303" spans="1:22" x14ac:dyDescent="0.3">
      <c r="A1303" t="str">
        <f t="shared" si="40"/>
        <v>TENDPrevisão</v>
      </c>
      <c r="B1303" t="str">
        <f t="shared" si="41"/>
        <v>TENDPrevisãoMar-2023</v>
      </c>
      <c r="C1303" t="s">
        <v>207</v>
      </c>
      <c r="D1303" t="s">
        <v>208</v>
      </c>
      <c r="E1303" t="s">
        <v>168</v>
      </c>
      <c r="F1303" t="s">
        <v>736</v>
      </c>
      <c r="G1303" t="s">
        <v>737</v>
      </c>
      <c r="H1303" t="s">
        <v>738</v>
      </c>
      <c r="I1303" t="s">
        <v>739</v>
      </c>
      <c r="J1303" t="s">
        <v>739</v>
      </c>
      <c r="K1303" s="2">
        <v>45015</v>
      </c>
      <c r="L1303">
        <v>-242098.92340849299</v>
      </c>
      <c r="M1303">
        <v>4258040.80670691</v>
      </c>
      <c r="N1303">
        <v>886470.90903781401</v>
      </c>
      <c r="O1303">
        <v>-84427.158579058203</v>
      </c>
      <c r="P1303">
        <v>-4258040.80670691</v>
      </c>
      <c r="Q1303">
        <v>-1810292.9785330701</v>
      </c>
      <c r="R1303">
        <v>23577.061060308501</v>
      </c>
      <c r="S1303">
        <v>-6329.7633041761401</v>
      </c>
      <c r="T1303">
        <v>184057.312270917</v>
      </c>
      <c r="U1303">
        <v>1019763.59496593</v>
      </c>
      <c r="V1303">
        <v>28746.523258974299</v>
      </c>
    </row>
    <row r="1304" spans="1:22" x14ac:dyDescent="0.3">
      <c r="A1304" t="str">
        <f t="shared" si="40"/>
        <v>TENDPrevisão</v>
      </c>
      <c r="B1304" t="str">
        <f t="shared" si="41"/>
        <v>TENDPrevisãoJun-2023</v>
      </c>
      <c r="C1304" t="s">
        <v>207</v>
      </c>
      <c r="D1304" t="s">
        <v>208</v>
      </c>
      <c r="E1304" t="s">
        <v>168</v>
      </c>
      <c r="F1304" t="s">
        <v>736</v>
      </c>
      <c r="G1304" t="s">
        <v>737</v>
      </c>
      <c r="H1304" t="s">
        <v>738</v>
      </c>
      <c r="I1304" t="s">
        <v>739</v>
      </c>
      <c r="J1304" t="s">
        <v>739</v>
      </c>
      <c r="K1304" s="2">
        <v>45107</v>
      </c>
      <c r="L1304">
        <v>-299582.09334301797</v>
      </c>
      <c r="M1304">
        <v>4729272.54838013</v>
      </c>
      <c r="N1304">
        <v>895004.55517936905</v>
      </c>
      <c r="O1304">
        <v>-153752.17015019199</v>
      </c>
      <c r="P1304">
        <v>-4729272.54838013</v>
      </c>
      <c r="Q1304">
        <v>-2263202.9110809099</v>
      </c>
      <c r="R1304">
        <v>27463.346681142801</v>
      </c>
      <c r="S1304">
        <v>-10013.7157043272</v>
      </c>
      <c r="T1304">
        <v>148040.32427010001</v>
      </c>
      <c r="U1304">
        <v>937093.03585305205</v>
      </c>
      <c r="V1304">
        <v>26530.594955412402</v>
      </c>
    </row>
    <row r="1305" spans="1:22" x14ac:dyDescent="0.3">
      <c r="A1305" t="str">
        <f t="shared" si="40"/>
        <v>TENDPrevisão</v>
      </c>
      <c r="B1305" t="str">
        <f t="shared" si="41"/>
        <v>TENDPrevisãoSet-2023</v>
      </c>
      <c r="C1305" t="s">
        <v>207</v>
      </c>
      <c r="D1305" t="s">
        <v>208</v>
      </c>
      <c r="E1305" t="s">
        <v>168</v>
      </c>
      <c r="F1305" t="s">
        <v>736</v>
      </c>
      <c r="G1305" t="s">
        <v>737</v>
      </c>
      <c r="H1305" t="s">
        <v>738</v>
      </c>
      <c r="I1305" t="s">
        <v>739</v>
      </c>
      <c r="J1305" t="s">
        <v>739</v>
      </c>
      <c r="K1305" s="2">
        <v>45199</v>
      </c>
      <c r="L1305">
        <v>-363265.61873955</v>
      </c>
      <c r="M1305">
        <v>5257892.002626</v>
      </c>
      <c r="N1305">
        <v>903105.00381982699</v>
      </c>
      <c r="O1305">
        <v>-234507.263431156</v>
      </c>
      <c r="P1305">
        <v>-5257892.002626</v>
      </c>
      <c r="Q1305">
        <v>-2783665.23162894</v>
      </c>
      <c r="R1305">
        <v>31917.432636777899</v>
      </c>
      <c r="S1305">
        <v>-14125.8214487122</v>
      </c>
      <c r="T1305">
        <v>104954.456532312</v>
      </c>
      <c r="U1305">
        <v>840911.10537439701</v>
      </c>
      <c r="V1305">
        <v>24088.431928940099</v>
      </c>
    </row>
    <row r="1306" spans="1:22" x14ac:dyDescent="0.3">
      <c r="A1306" t="str">
        <f t="shared" si="40"/>
        <v>CALIPrevisão</v>
      </c>
      <c r="B1306" t="str">
        <f t="shared" si="41"/>
        <v>CALIPrevisãoDez-2022</v>
      </c>
      <c r="C1306" t="s">
        <v>166</v>
      </c>
      <c r="D1306" t="s">
        <v>167</v>
      </c>
      <c r="E1306" t="s">
        <v>168</v>
      </c>
      <c r="F1306" t="s">
        <v>736</v>
      </c>
      <c r="G1306" t="s">
        <v>737</v>
      </c>
      <c r="H1306" t="s">
        <v>738</v>
      </c>
      <c r="I1306" t="s">
        <v>739</v>
      </c>
      <c r="J1306" t="s">
        <v>739</v>
      </c>
      <c r="K1306" s="2">
        <v>44925</v>
      </c>
      <c r="L1306">
        <v>4467.8192852909897</v>
      </c>
      <c r="M1306">
        <v>113440.466004567</v>
      </c>
      <c r="N1306">
        <v>2260.0110347180698</v>
      </c>
      <c r="O1306">
        <v>686.711229946598</v>
      </c>
      <c r="P1306">
        <v>-113440.466004567</v>
      </c>
      <c r="Q1306">
        <v>-360.49664712142402</v>
      </c>
      <c r="R1306">
        <v>122.65724471614701</v>
      </c>
      <c r="S1306">
        <v>112.06909430420301</v>
      </c>
      <c r="T1306">
        <v>1483.3922417426299</v>
      </c>
      <c r="U1306">
        <v>5451.9112129546902</v>
      </c>
      <c r="V1306">
        <v>4195.2269756379501</v>
      </c>
    </row>
    <row r="1307" spans="1:22" x14ac:dyDescent="0.3">
      <c r="A1307" t="str">
        <f t="shared" si="40"/>
        <v>CALIPrevisão</v>
      </c>
      <c r="B1307" t="str">
        <f t="shared" si="41"/>
        <v>CALIPrevisãoMar-2023</v>
      </c>
      <c r="C1307" t="s">
        <v>166</v>
      </c>
      <c r="D1307" t="s">
        <v>167</v>
      </c>
      <c r="E1307" t="s">
        <v>168</v>
      </c>
      <c r="F1307" t="s">
        <v>736</v>
      </c>
      <c r="G1307" t="s">
        <v>737</v>
      </c>
      <c r="H1307" t="s">
        <v>738</v>
      </c>
      <c r="I1307" t="s">
        <v>739</v>
      </c>
      <c r="J1307" t="s">
        <v>739</v>
      </c>
      <c r="K1307" s="2">
        <v>45015</v>
      </c>
      <c r="L1307">
        <v>6169.6024496629097</v>
      </c>
      <c r="M1307">
        <v>122738.117860395</v>
      </c>
      <c r="N1307">
        <v>2581.89598230911</v>
      </c>
      <c r="O1307">
        <v>970.83704636662799</v>
      </c>
      <c r="P1307">
        <v>-122738.117860395</v>
      </c>
      <c r="Q1307">
        <v>-44.665065345627198</v>
      </c>
      <c r="R1307">
        <v>147.57174516007601</v>
      </c>
      <c r="S1307">
        <v>114.94062129337</v>
      </c>
      <c r="T1307">
        <v>1220.43905555435</v>
      </c>
      <c r="U1307">
        <v>5477.7833180624202</v>
      </c>
      <c r="V1307">
        <v>5405.60681995913</v>
      </c>
    </row>
    <row r="1308" spans="1:22" x14ac:dyDescent="0.3">
      <c r="A1308" t="str">
        <f t="shared" si="40"/>
        <v>CALIPrevisão</v>
      </c>
      <c r="B1308" t="str">
        <f t="shared" si="41"/>
        <v>CALIPrevisãoJun-2023</v>
      </c>
      <c r="C1308" t="s">
        <v>166</v>
      </c>
      <c r="D1308" t="s">
        <v>167</v>
      </c>
      <c r="E1308" t="s">
        <v>168</v>
      </c>
      <c r="F1308" t="s">
        <v>736</v>
      </c>
      <c r="G1308" t="s">
        <v>737</v>
      </c>
      <c r="H1308" t="s">
        <v>738</v>
      </c>
      <c r="I1308" t="s">
        <v>739</v>
      </c>
      <c r="J1308" t="s">
        <v>739</v>
      </c>
      <c r="K1308" s="2">
        <v>45107</v>
      </c>
      <c r="L1308">
        <v>8112.2427829726003</v>
      </c>
      <c r="M1308">
        <v>132742.502888218</v>
      </c>
      <c r="N1308">
        <v>2950.8674465965901</v>
      </c>
      <c r="O1308">
        <v>1305.04781791187</v>
      </c>
      <c r="P1308">
        <v>-132742.502888218</v>
      </c>
      <c r="Q1308">
        <v>344.497295321536</v>
      </c>
      <c r="R1308">
        <v>176.064029853617</v>
      </c>
      <c r="S1308">
        <v>123.693309851005</v>
      </c>
      <c r="T1308">
        <v>976.20653792579799</v>
      </c>
      <c r="U1308">
        <v>5753.4498459958604</v>
      </c>
      <c r="V1308">
        <v>6768.2700592107904</v>
      </c>
    </row>
    <row r="1309" spans="1:22" x14ac:dyDescent="0.3">
      <c r="A1309" t="str">
        <f t="shared" si="40"/>
        <v>CALIPrevisão</v>
      </c>
      <c r="B1309" t="str">
        <f t="shared" si="41"/>
        <v>CALIPrevisãoSet-2023</v>
      </c>
      <c r="C1309" t="s">
        <v>166</v>
      </c>
      <c r="D1309" t="s">
        <v>167</v>
      </c>
      <c r="E1309" t="s">
        <v>168</v>
      </c>
      <c r="F1309" t="s">
        <v>736</v>
      </c>
      <c r="G1309" t="s">
        <v>737</v>
      </c>
      <c r="H1309" t="s">
        <v>738</v>
      </c>
      <c r="I1309" t="s">
        <v>739</v>
      </c>
      <c r="J1309" t="s">
        <v>739</v>
      </c>
      <c r="K1309" s="2">
        <v>45199</v>
      </c>
      <c r="L1309">
        <v>10308.4032921616</v>
      </c>
      <c r="M1309">
        <v>143482.19992208501</v>
      </c>
      <c r="N1309">
        <v>3369.4494197144099</v>
      </c>
      <c r="O1309">
        <v>1692.15167447716</v>
      </c>
      <c r="P1309">
        <v>-143482.19992208501</v>
      </c>
      <c r="Q1309">
        <v>813.50980531896096</v>
      </c>
      <c r="R1309">
        <v>208.32518208382899</v>
      </c>
      <c r="S1309">
        <v>138.74496072618001</v>
      </c>
      <c r="T1309">
        <v>753.82196393782897</v>
      </c>
      <c r="U1309">
        <v>6302.3401013544199</v>
      </c>
      <c r="V1309">
        <v>8290.5651987538295</v>
      </c>
    </row>
    <row r="1310" spans="1:22" x14ac:dyDescent="0.3">
      <c r="A1310" t="str">
        <f t="shared" si="40"/>
        <v>AZEVPrevisão</v>
      </c>
      <c r="B1310" t="str">
        <f t="shared" si="41"/>
        <v>AZEVPrevisãoDez-2022</v>
      </c>
      <c r="C1310" t="s">
        <v>205</v>
      </c>
      <c r="D1310" t="s">
        <v>206</v>
      </c>
      <c r="E1310" t="s">
        <v>168</v>
      </c>
      <c r="F1310" t="s">
        <v>736</v>
      </c>
      <c r="G1310" t="s">
        <v>737</v>
      </c>
      <c r="H1310" t="s">
        <v>738</v>
      </c>
      <c r="I1310" t="s">
        <v>739</v>
      </c>
      <c r="J1310" t="s">
        <v>739</v>
      </c>
      <c r="K1310" s="2">
        <v>44925</v>
      </c>
      <c r="L1310">
        <v>-3317.9389695210398</v>
      </c>
      <c r="M1310">
        <v>386478.22128853202</v>
      </c>
      <c r="N1310">
        <v>16149.4766997729</v>
      </c>
      <c r="O1310">
        <v>511.42687378782898</v>
      </c>
      <c r="P1310">
        <v>-386478.22128853202</v>
      </c>
      <c r="Q1310">
        <v>-39616.622527799998</v>
      </c>
      <c r="R1310">
        <v>7125.3352856306301</v>
      </c>
      <c r="S1310">
        <v>1050.03972498292</v>
      </c>
      <c r="T1310">
        <v>328.698921994599</v>
      </c>
      <c r="U1310">
        <v>220440.417282023</v>
      </c>
      <c r="V1310">
        <v>-530.86732874969698</v>
      </c>
    </row>
    <row r="1311" spans="1:22" x14ac:dyDescent="0.3">
      <c r="A1311" t="str">
        <f t="shared" si="40"/>
        <v>AZEVPrevisão</v>
      </c>
      <c r="B1311" t="str">
        <f t="shared" si="41"/>
        <v>AZEVPrevisãoMar-2023</v>
      </c>
      <c r="C1311" t="s">
        <v>205</v>
      </c>
      <c r="D1311" t="s">
        <v>206</v>
      </c>
      <c r="E1311" t="s">
        <v>168</v>
      </c>
      <c r="F1311" t="s">
        <v>736</v>
      </c>
      <c r="G1311" t="s">
        <v>737</v>
      </c>
      <c r="H1311" t="s">
        <v>738</v>
      </c>
      <c r="I1311" t="s">
        <v>739</v>
      </c>
      <c r="J1311" t="s">
        <v>739</v>
      </c>
      <c r="K1311" s="2">
        <v>45015</v>
      </c>
      <c r="L1311">
        <v>-4490.2126878542203</v>
      </c>
      <c r="M1311">
        <v>454232.28314031102</v>
      </c>
      <c r="N1311">
        <v>19267.984776222998</v>
      </c>
      <c r="O1311">
        <v>772.14552980189001</v>
      </c>
      <c r="P1311">
        <v>-454232.28314031102</v>
      </c>
      <c r="Q1311">
        <v>-39167.945633946299</v>
      </c>
      <c r="R1311">
        <v>6442.0186351373004</v>
      </c>
      <c r="S1311">
        <v>-1410.3781581410899</v>
      </c>
      <c r="T1311">
        <v>606.82967994932403</v>
      </c>
      <c r="U1311">
        <v>308495.256909288</v>
      </c>
      <c r="V1311">
        <v>-594.45296251172294</v>
      </c>
    </row>
    <row r="1312" spans="1:22" x14ac:dyDescent="0.3">
      <c r="A1312" t="str">
        <f t="shared" si="40"/>
        <v>AZEVPrevisão</v>
      </c>
      <c r="B1312" t="str">
        <f t="shared" si="41"/>
        <v>AZEVPrevisãoJun-2023</v>
      </c>
      <c r="C1312" t="s">
        <v>205</v>
      </c>
      <c r="D1312" t="s">
        <v>206</v>
      </c>
      <c r="E1312" t="s">
        <v>168</v>
      </c>
      <c r="F1312" t="s">
        <v>736</v>
      </c>
      <c r="G1312" t="s">
        <v>737</v>
      </c>
      <c r="H1312" t="s">
        <v>738</v>
      </c>
      <c r="I1312" t="s">
        <v>739</v>
      </c>
      <c r="J1312" t="s">
        <v>739</v>
      </c>
      <c r="K1312" s="2">
        <v>45107</v>
      </c>
      <c r="L1312">
        <v>-5909.2587279443997</v>
      </c>
      <c r="M1312">
        <v>529382.31820811995</v>
      </c>
      <c r="N1312">
        <v>22811.442856675902</v>
      </c>
      <c r="O1312">
        <v>1163.5725258959701</v>
      </c>
      <c r="P1312">
        <v>-529382.31820811995</v>
      </c>
      <c r="Q1312">
        <v>-38440.447829599798</v>
      </c>
      <c r="R1312">
        <v>5605.9952253334604</v>
      </c>
      <c r="S1312">
        <v>-4203.8860498536396</v>
      </c>
      <c r="T1312">
        <v>947.18472857731695</v>
      </c>
      <c r="U1312">
        <v>407659.25726464897</v>
      </c>
      <c r="V1312">
        <v>-627.96695090797004</v>
      </c>
    </row>
    <row r="1313" spans="1:22" x14ac:dyDescent="0.3">
      <c r="A1313" t="str">
        <f t="shared" si="40"/>
        <v>AZEVPrevisão</v>
      </c>
      <c r="B1313" t="str">
        <f t="shared" si="41"/>
        <v>AZEVPrevisãoSet-2023</v>
      </c>
      <c r="C1313" t="s">
        <v>205</v>
      </c>
      <c r="D1313" t="s">
        <v>206</v>
      </c>
      <c r="E1313" t="s">
        <v>168</v>
      </c>
      <c r="F1313" t="s">
        <v>736</v>
      </c>
      <c r="G1313" t="s">
        <v>737</v>
      </c>
      <c r="H1313" t="s">
        <v>738</v>
      </c>
      <c r="I1313" t="s">
        <v>739</v>
      </c>
      <c r="J1313" t="s">
        <v>739</v>
      </c>
      <c r="K1313" s="2">
        <v>45199</v>
      </c>
      <c r="L1313">
        <v>-7591.1914812620598</v>
      </c>
      <c r="M1313">
        <v>612265.68345811998</v>
      </c>
      <c r="N1313">
        <v>26801.088968827898</v>
      </c>
      <c r="O1313">
        <v>1694.17137375332</v>
      </c>
      <c r="P1313">
        <v>-612265.68345811998</v>
      </c>
      <c r="Q1313">
        <v>-37418.223472536003</v>
      </c>
      <c r="R1313">
        <v>4608.7406217194102</v>
      </c>
      <c r="S1313">
        <v>-7346.5440414872301</v>
      </c>
      <c r="T1313">
        <v>1353.71086721855</v>
      </c>
      <c r="U1313">
        <v>518467.31807860098</v>
      </c>
      <c r="V1313">
        <v>-629.20438204003005</v>
      </c>
    </row>
    <row r="1314" spans="1:22" x14ac:dyDescent="0.3">
      <c r="A1314" t="str">
        <f t="shared" si="40"/>
        <v>AZEVRealizado</v>
      </c>
      <c r="B1314" t="str">
        <f t="shared" si="41"/>
        <v>AZEVRealizadoSet-2022</v>
      </c>
      <c r="C1314" t="s">
        <v>205</v>
      </c>
      <c r="D1314" t="s">
        <v>206</v>
      </c>
      <c r="E1314" t="s">
        <v>168</v>
      </c>
      <c r="F1314" t="s">
        <v>740</v>
      </c>
      <c r="G1314" t="s">
        <v>741</v>
      </c>
      <c r="H1314" t="s">
        <v>742</v>
      </c>
      <c r="I1314" t="s">
        <v>700</v>
      </c>
      <c r="J1314" t="s">
        <v>743</v>
      </c>
      <c r="K1314" s="1">
        <v>44834</v>
      </c>
      <c r="L1314">
        <v>-43508</v>
      </c>
      <c r="M1314">
        <v>318680</v>
      </c>
      <c r="N1314">
        <v>1554</v>
      </c>
      <c r="O1314">
        <v>46</v>
      </c>
      <c r="P1314">
        <v>-318680</v>
      </c>
      <c r="Q1314">
        <v>-49543</v>
      </c>
      <c r="R1314">
        <v>17195</v>
      </c>
      <c r="S1314">
        <v>4660</v>
      </c>
      <c r="T1314">
        <v>0</v>
      </c>
      <c r="U1314">
        <v>124647</v>
      </c>
      <c r="V1314">
        <v>44</v>
      </c>
    </row>
    <row r="1315" spans="1:22" x14ac:dyDescent="0.3">
      <c r="A1315" t="str">
        <f t="shared" si="40"/>
        <v>CALIRealizado</v>
      </c>
      <c r="B1315" t="str">
        <f t="shared" si="41"/>
        <v>CALIRealizadoSet-2022</v>
      </c>
      <c r="C1315" t="s">
        <v>166</v>
      </c>
      <c r="D1315" t="s">
        <v>167</v>
      </c>
      <c r="E1315" t="s">
        <v>168</v>
      </c>
      <c r="F1315" t="s">
        <v>740</v>
      </c>
      <c r="G1315" t="s">
        <v>741</v>
      </c>
      <c r="H1315" t="s">
        <v>742</v>
      </c>
      <c r="I1315" t="s">
        <v>701</v>
      </c>
      <c r="J1315" t="s">
        <v>743</v>
      </c>
      <c r="K1315" s="1">
        <v>44834</v>
      </c>
      <c r="L1315">
        <v>5886</v>
      </c>
      <c r="M1315">
        <v>111723</v>
      </c>
      <c r="N1315">
        <v>1153</v>
      </c>
      <c r="O1315">
        <v>15</v>
      </c>
      <c r="P1315">
        <v>-111723</v>
      </c>
      <c r="Q1315">
        <v>-662</v>
      </c>
      <c r="R1315">
        <v>47</v>
      </c>
      <c r="S1315">
        <v>164</v>
      </c>
      <c r="T1315">
        <v>4823</v>
      </c>
      <c r="U1315">
        <v>19711</v>
      </c>
      <c r="V1315">
        <v>8211</v>
      </c>
    </row>
    <row r="1316" spans="1:22" x14ac:dyDescent="0.3">
      <c r="A1316" t="str">
        <f t="shared" si="40"/>
        <v>TENDRealizado</v>
      </c>
      <c r="B1316" t="str">
        <f t="shared" si="41"/>
        <v>TENDRealizadoSet-2022</v>
      </c>
      <c r="C1316" t="s">
        <v>207</v>
      </c>
      <c r="D1316" t="s">
        <v>208</v>
      </c>
      <c r="E1316" t="s">
        <v>168</v>
      </c>
      <c r="F1316" t="s">
        <v>740</v>
      </c>
      <c r="G1316" t="s">
        <v>741</v>
      </c>
      <c r="H1316" t="s">
        <v>742</v>
      </c>
      <c r="I1316" t="s">
        <v>700</v>
      </c>
      <c r="J1316" t="s">
        <v>743</v>
      </c>
      <c r="K1316" s="1">
        <v>44834</v>
      </c>
      <c r="L1316">
        <v>-210410</v>
      </c>
      <c r="M1316">
        <v>2570036</v>
      </c>
      <c r="N1316">
        <v>431163</v>
      </c>
      <c r="O1316">
        <v>76145</v>
      </c>
      <c r="P1316">
        <v>-2570036</v>
      </c>
      <c r="Q1316">
        <v>-643770</v>
      </c>
      <c r="R1316">
        <v>14813</v>
      </c>
      <c r="S1316">
        <v>4319</v>
      </c>
      <c r="T1316">
        <v>-106920</v>
      </c>
      <c r="U1316">
        <v>843680</v>
      </c>
      <c r="V1316">
        <v>50918</v>
      </c>
    </row>
    <row r="1317" spans="1:22" x14ac:dyDescent="0.3">
      <c r="A1317" t="str">
        <f t="shared" si="40"/>
        <v>CORRRealizado</v>
      </c>
      <c r="B1317" t="str">
        <f t="shared" si="41"/>
        <v>CORRRealizadoSet-2022</v>
      </c>
      <c r="C1317" t="s">
        <v>221</v>
      </c>
      <c r="D1317" t="s">
        <v>222</v>
      </c>
      <c r="E1317" t="s">
        <v>168</v>
      </c>
      <c r="F1317" t="s">
        <v>740</v>
      </c>
      <c r="G1317" t="s">
        <v>741</v>
      </c>
      <c r="H1317" t="s">
        <v>742</v>
      </c>
      <c r="I1317" t="s">
        <v>744</v>
      </c>
      <c r="J1317" t="s">
        <v>743</v>
      </c>
      <c r="K1317" s="1">
        <v>44834</v>
      </c>
      <c r="L1317">
        <v>-541</v>
      </c>
      <c r="M1317">
        <v>15710</v>
      </c>
      <c r="N1317">
        <v>399</v>
      </c>
      <c r="O1317">
        <v>375</v>
      </c>
      <c r="P1317">
        <v>-15710</v>
      </c>
      <c r="Q1317">
        <v>-208</v>
      </c>
      <c r="R1317">
        <v>29</v>
      </c>
      <c r="S1317">
        <v>158</v>
      </c>
      <c r="T1317">
        <v>0</v>
      </c>
      <c r="U1317">
        <v>-739</v>
      </c>
      <c r="V1317">
        <v>-3</v>
      </c>
    </row>
    <row r="1318" spans="1:22" x14ac:dyDescent="0.3">
      <c r="A1318" t="str">
        <f t="shared" si="40"/>
        <v>CRDERealizado</v>
      </c>
      <c r="B1318" t="str">
        <f t="shared" si="41"/>
        <v>CRDERealizadoSet-2022</v>
      </c>
      <c r="C1318" t="s">
        <v>217</v>
      </c>
      <c r="D1318" t="s">
        <v>218</v>
      </c>
      <c r="E1318" t="s">
        <v>168</v>
      </c>
      <c r="F1318" t="s">
        <v>740</v>
      </c>
      <c r="G1318" t="s">
        <v>741</v>
      </c>
      <c r="H1318" t="s">
        <v>742</v>
      </c>
      <c r="I1318" t="s">
        <v>700</v>
      </c>
      <c r="J1318" t="s">
        <v>743</v>
      </c>
      <c r="K1318" s="1">
        <v>44834</v>
      </c>
      <c r="L1318">
        <v>-2468</v>
      </c>
      <c r="M1318">
        <v>104115</v>
      </c>
      <c r="N1318">
        <v>11308</v>
      </c>
      <c r="O1318">
        <v>2571</v>
      </c>
      <c r="P1318">
        <v>-104115</v>
      </c>
      <c r="Q1318">
        <v>-5535</v>
      </c>
      <c r="R1318">
        <v>0</v>
      </c>
      <c r="S1318">
        <v>228</v>
      </c>
      <c r="T1318">
        <v>0</v>
      </c>
      <c r="U1318">
        <v>94414</v>
      </c>
      <c r="V1318">
        <v>-2651</v>
      </c>
    </row>
    <row r="1319" spans="1:22" x14ac:dyDescent="0.3">
      <c r="A1319" t="str">
        <f t="shared" si="40"/>
        <v>CURYRealizado</v>
      </c>
      <c r="B1319" t="str">
        <f t="shared" si="41"/>
        <v>CURYRealizadoSet-2022</v>
      </c>
      <c r="C1319" t="s">
        <v>169</v>
      </c>
      <c r="D1319" t="s">
        <v>170</v>
      </c>
      <c r="E1319" t="s">
        <v>168</v>
      </c>
      <c r="F1319" t="s">
        <v>740</v>
      </c>
      <c r="G1319" t="s">
        <v>741</v>
      </c>
      <c r="H1319" t="s">
        <v>742</v>
      </c>
      <c r="I1319" t="s">
        <v>701</v>
      </c>
      <c r="J1319" t="s">
        <v>743</v>
      </c>
      <c r="K1319" s="1">
        <v>44834</v>
      </c>
      <c r="L1319">
        <v>89872</v>
      </c>
      <c r="M1319">
        <v>1342487</v>
      </c>
      <c r="N1319">
        <v>197981</v>
      </c>
      <c r="O1319">
        <v>80346</v>
      </c>
      <c r="P1319">
        <v>-1342487</v>
      </c>
      <c r="Q1319">
        <v>-66102</v>
      </c>
      <c r="R1319">
        <v>14299</v>
      </c>
      <c r="S1319">
        <v>272</v>
      </c>
      <c r="T1319">
        <v>441858</v>
      </c>
      <c r="U1319">
        <v>738300</v>
      </c>
      <c r="V1319">
        <v>6244</v>
      </c>
    </row>
    <row r="1320" spans="1:22" x14ac:dyDescent="0.3">
      <c r="A1320" t="str">
        <f t="shared" si="40"/>
        <v>CYRERealizado</v>
      </c>
      <c r="B1320" t="str">
        <f t="shared" si="41"/>
        <v>CYRERealizadoSet-2022</v>
      </c>
      <c r="C1320" t="s">
        <v>171</v>
      </c>
      <c r="D1320" t="s">
        <v>172</v>
      </c>
      <c r="E1320" t="s">
        <v>168</v>
      </c>
      <c r="F1320" t="s">
        <v>740</v>
      </c>
      <c r="G1320" t="s">
        <v>741</v>
      </c>
      <c r="H1320" t="s">
        <v>742</v>
      </c>
      <c r="I1320" t="s">
        <v>700</v>
      </c>
      <c r="J1320" t="s">
        <v>743</v>
      </c>
      <c r="K1320" s="1">
        <v>44834</v>
      </c>
      <c r="L1320">
        <v>288629</v>
      </c>
      <c r="M1320">
        <v>10271072</v>
      </c>
      <c r="N1320">
        <v>1508757</v>
      </c>
      <c r="O1320">
        <v>7473</v>
      </c>
      <c r="P1320">
        <v>-10271072</v>
      </c>
      <c r="Q1320">
        <v>-1405255</v>
      </c>
      <c r="R1320">
        <v>88483</v>
      </c>
      <c r="S1320">
        <v>1334</v>
      </c>
      <c r="T1320">
        <v>2812179</v>
      </c>
      <c r="U1320">
        <v>6732790</v>
      </c>
      <c r="V1320">
        <v>1957</v>
      </c>
    </row>
    <row r="1321" spans="1:22" x14ac:dyDescent="0.3">
      <c r="A1321" t="str">
        <f t="shared" si="40"/>
        <v>DXCORealizado</v>
      </c>
      <c r="B1321" t="str">
        <f t="shared" si="41"/>
        <v>DXCORealizadoSet-2022</v>
      </c>
      <c r="C1321" t="s">
        <v>173</v>
      </c>
      <c r="D1321" t="s">
        <v>174</v>
      </c>
      <c r="E1321" t="s">
        <v>168</v>
      </c>
      <c r="F1321" t="s">
        <v>740</v>
      </c>
      <c r="G1321" t="s">
        <v>741</v>
      </c>
      <c r="H1321" t="s">
        <v>742</v>
      </c>
      <c r="I1321" t="s">
        <v>701</v>
      </c>
      <c r="J1321" t="s">
        <v>745</v>
      </c>
      <c r="K1321" s="1">
        <v>44834</v>
      </c>
      <c r="L1321">
        <v>154067</v>
      </c>
      <c r="M1321">
        <v>12479962</v>
      </c>
      <c r="N1321">
        <v>3778897</v>
      </c>
      <c r="O1321">
        <v>1244861</v>
      </c>
      <c r="P1321">
        <v>-12479962</v>
      </c>
      <c r="Q1321">
        <v>-2461858</v>
      </c>
      <c r="R1321">
        <v>180695</v>
      </c>
      <c r="S1321">
        <v>42998</v>
      </c>
      <c r="T1321">
        <v>2579908</v>
      </c>
      <c r="U1321">
        <v>5906806</v>
      </c>
      <c r="V1321">
        <v>1551414</v>
      </c>
    </row>
    <row r="1322" spans="1:22" x14ac:dyDescent="0.3">
      <c r="A1322" t="str">
        <f t="shared" si="40"/>
        <v>DIRRRealizado</v>
      </c>
      <c r="B1322" t="str">
        <f t="shared" si="41"/>
        <v>DIRRRealizadoSet-2022</v>
      </c>
      <c r="C1322" t="s">
        <v>175</v>
      </c>
      <c r="D1322" t="s">
        <v>176</v>
      </c>
      <c r="E1322" t="s">
        <v>168</v>
      </c>
      <c r="F1322" t="s">
        <v>740</v>
      </c>
      <c r="G1322" t="s">
        <v>741</v>
      </c>
      <c r="H1322" t="s">
        <v>742</v>
      </c>
      <c r="I1322" t="s">
        <v>700</v>
      </c>
      <c r="J1322" t="s">
        <v>746</v>
      </c>
      <c r="K1322" s="1">
        <v>44834</v>
      </c>
      <c r="L1322">
        <v>63264</v>
      </c>
      <c r="M1322">
        <v>2970429</v>
      </c>
      <c r="N1322">
        <v>1166066</v>
      </c>
      <c r="O1322">
        <v>16114</v>
      </c>
      <c r="P1322">
        <v>-2970429</v>
      </c>
      <c r="Q1322">
        <v>-503864</v>
      </c>
      <c r="R1322">
        <v>21224</v>
      </c>
      <c r="S1322">
        <v>1707</v>
      </c>
      <c r="T1322">
        <v>404153</v>
      </c>
      <c r="U1322">
        <v>1358123</v>
      </c>
      <c r="V1322">
        <v>2753</v>
      </c>
    </row>
    <row r="1323" spans="1:22" x14ac:dyDescent="0.3">
      <c r="A1323" t="str">
        <f t="shared" si="40"/>
        <v>ETERRealizado</v>
      </c>
      <c r="B1323" t="str">
        <f t="shared" si="41"/>
        <v>ETERRealizadoSet-2022</v>
      </c>
      <c r="C1323" t="s">
        <v>177</v>
      </c>
      <c r="D1323" t="s">
        <v>178</v>
      </c>
      <c r="E1323" t="s">
        <v>168</v>
      </c>
      <c r="F1323" t="s">
        <v>740</v>
      </c>
      <c r="G1323" t="s">
        <v>741</v>
      </c>
      <c r="H1323" t="s">
        <v>742</v>
      </c>
      <c r="I1323" t="s">
        <v>701</v>
      </c>
      <c r="J1323" t="s">
        <v>746</v>
      </c>
      <c r="K1323" s="1">
        <v>44834</v>
      </c>
      <c r="L1323">
        <v>41024</v>
      </c>
      <c r="M1323">
        <v>1000140</v>
      </c>
      <c r="N1323">
        <v>376848</v>
      </c>
      <c r="O1323">
        <v>70320</v>
      </c>
      <c r="P1323">
        <v>-1000140</v>
      </c>
      <c r="Q1323">
        <v>-172807</v>
      </c>
      <c r="R1323">
        <v>23924</v>
      </c>
      <c r="S1323">
        <v>18064</v>
      </c>
      <c r="T1323">
        <v>76005</v>
      </c>
      <c r="U1323">
        <v>659782</v>
      </c>
      <c r="V1323">
        <v>186868</v>
      </c>
    </row>
    <row r="1324" spans="1:22" x14ac:dyDescent="0.3">
      <c r="A1324" t="str">
        <f t="shared" si="40"/>
        <v>EUCARealizado</v>
      </c>
      <c r="B1324" t="str">
        <f t="shared" si="41"/>
        <v>EUCARealizadoSet-2022</v>
      </c>
      <c r="C1324" t="s">
        <v>179</v>
      </c>
      <c r="D1324" t="s">
        <v>180</v>
      </c>
      <c r="E1324" t="s">
        <v>168</v>
      </c>
      <c r="F1324" t="s">
        <v>740</v>
      </c>
      <c r="G1324" t="s">
        <v>741</v>
      </c>
      <c r="H1324" t="s">
        <v>742</v>
      </c>
      <c r="I1324" t="s">
        <v>700</v>
      </c>
      <c r="J1324" t="s">
        <v>743</v>
      </c>
      <c r="K1324" s="1">
        <v>44834</v>
      </c>
      <c r="L1324">
        <v>45047</v>
      </c>
      <c r="M1324">
        <v>2612120</v>
      </c>
      <c r="N1324">
        <v>305903</v>
      </c>
      <c r="O1324">
        <v>246604</v>
      </c>
      <c r="P1324">
        <v>-2612120</v>
      </c>
      <c r="Q1324">
        <v>-379965</v>
      </c>
      <c r="R1324">
        <v>125</v>
      </c>
      <c r="S1324">
        <v>26554</v>
      </c>
      <c r="T1324">
        <v>930674</v>
      </c>
      <c r="U1324">
        <v>2062362</v>
      </c>
      <c r="V1324">
        <v>89122</v>
      </c>
    </row>
    <row r="1325" spans="1:22" x14ac:dyDescent="0.3">
      <c r="A1325" t="str">
        <f t="shared" si="40"/>
        <v>EVENRealizado</v>
      </c>
      <c r="B1325" t="str">
        <f t="shared" si="41"/>
        <v>EVENRealizadoSet-2022</v>
      </c>
      <c r="C1325" t="s">
        <v>209</v>
      </c>
      <c r="D1325" t="s">
        <v>210</v>
      </c>
      <c r="E1325" t="s">
        <v>168</v>
      </c>
      <c r="F1325" t="s">
        <v>740</v>
      </c>
      <c r="G1325" t="s">
        <v>741</v>
      </c>
      <c r="H1325" t="s">
        <v>742</v>
      </c>
      <c r="I1325" t="s">
        <v>700</v>
      </c>
      <c r="J1325" t="s">
        <v>743</v>
      </c>
      <c r="K1325" s="1">
        <v>44834</v>
      </c>
      <c r="L1325">
        <v>31071</v>
      </c>
      <c r="M1325">
        <v>2206150</v>
      </c>
      <c r="N1325">
        <v>272737</v>
      </c>
      <c r="O1325">
        <v>17326</v>
      </c>
      <c r="P1325">
        <v>-2206150</v>
      </c>
      <c r="Q1325">
        <v>-155984</v>
      </c>
      <c r="R1325">
        <v>0</v>
      </c>
      <c r="S1325">
        <v>0</v>
      </c>
      <c r="T1325">
        <v>0</v>
      </c>
      <c r="U1325">
        <v>1936161</v>
      </c>
      <c r="V1325">
        <v>7940</v>
      </c>
    </row>
    <row r="1326" spans="1:22" x14ac:dyDescent="0.3">
      <c r="A1326" t="str">
        <f t="shared" si="40"/>
        <v>GFSARealizado</v>
      </c>
      <c r="B1326" t="str">
        <f t="shared" si="41"/>
        <v>GFSARealizadoSet-2022</v>
      </c>
      <c r="C1326" t="s">
        <v>219</v>
      </c>
      <c r="D1326" t="s">
        <v>220</v>
      </c>
      <c r="E1326" t="s">
        <v>168</v>
      </c>
      <c r="F1326" t="s">
        <v>740</v>
      </c>
      <c r="G1326" t="s">
        <v>741</v>
      </c>
      <c r="H1326" t="s">
        <v>742</v>
      </c>
      <c r="I1326" t="s">
        <v>700</v>
      </c>
      <c r="J1326" t="s">
        <v>743</v>
      </c>
      <c r="K1326" s="1">
        <v>44834</v>
      </c>
      <c r="L1326">
        <v>-49364</v>
      </c>
      <c r="M1326">
        <v>3613578</v>
      </c>
      <c r="N1326">
        <v>976331</v>
      </c>
      <c r="O1326">
        <v>390221</v>
      </c>
      <c r="P1326">
        <v>-3613578</v>
      </c>
      <c r="Q1326">
        <v>-1260545</v>
      </c>
      <c r="R1326">
        <v>2633</v>
      </c>
      <c r="S1326">
        <v>35849</v>
      </c>
      <c r="T1326">
        <v>0</v>
      </c>
      <c r="U1326">
        <v>1741484</v>
      </c>
      <c r="V1326">
        <v>-2644</v>
      </c>
    </row>
    <row r="1327" spans="1:22" x14ac:dyDescent="0.3">
      <c r="A1327" t="str">
        <f t="shared" si="40"/>
        <v>HBRERealizado</v>
      </c>
      <c r="B1327" t="str">
        <f t="shared" si="41"/>
        <v>HBRERealizadoSet-2022</v>
      </c>
      <c r="C1327" t="s">
        <v>181</v>
      </c>
      <c r="D1327" t="s">
        <v>182</v>
      </c>
      <c r="E1327" t="s">
        <v>168</v>
      </c>
      <c r="F1327" t="s">
        <v>740</v>
      </c>
      <c r="G1327" t="s">
        <v>741</v>
      </c>
      <c r="H1327" t="s">
        <v>742</v>
      </c>
      <c r="I1327" t="s">
        <v>700</v>
      </c>
      <c r="J1327" t="s">
        <v>743</v>
      </c>
      <c r="K1327" s="1">
        <v>44834</v>
      </c>
      <c r="L1327">
        <v>3856</v>
      </c>
      <c r="M1327">
        <v>2340593</v>
      </c>
      <c r="N1327">
        <v>251245</v>
      </c>
      <c r="O1327">
        <v>1179</v>
      </c>
      <c r="P1327">
        <v>-2340593</v>
      </c>
      <c r="Q1327">
        <v>-114313</v>
      </c>
      <c r="R1327">
        <v>4605</v>
      </c>
      <c r="S1327">
        <v>0</v>
      </c>
      <c r="T1327">
        <v>485380</v>
      </c>
      <c r="U1327">
        <v>1885328</v>
      </c>
      <c r="V1327">
        <v>1032</v>
      </c>
    </row>
    <row r="1328" spans="1:22" x14ac:dyDescent="0.3">
      <c r="A1328" t="str">
        <f t="shared" si="40"/>
        <v>HBORRealizado</v>
      </c>
      <c r="B1328" t="str">
        <f t="shared" si="41"/>
        <v>HBORRealizadoSet-2022</v>
      </c>
      <c r="C1328" t="s">
        <v>183</v>
      </c>
      <c r="D1328" t="s">
        <v>184</v>
      </c>
      <c r="E1328" t="s">
        <v>168</v>
      </c>
      <c r="F1328" t="s">
        <v>740</v>
      </c>
      <c r="G1328" t="s">
        <v>741</v>
      </c>
      <c r="H1328" t="s">
        <v>742</v>
      </c>
      <c r="I1328" t="s">
        <v>701</v>
      </c>
      <c r="J1328" t="s">
        <v>746</v>
      </c>
      <c r="K1328" s="1">
        <v>44834</v>
      </c>
      <c r="L1328">
        <v>10117</v>
      </c>
      <c r="M1328">
        <v>3502909</v>
      </c>
      <c r="N1328">
        <v>113184</v>
      </c>
      <c r="O1328">
        <v>77790</v>
      </c>
      <c r="P1328">
        <v>-3502909</v>
      </c>
      <c r="Q1328">
        <v>-1555223</v>
      </c>
      <c r="R1328">
        <v>9220</v>
      </c>
      <c r="S1328">
        <v>963</v>
      </c>
      <c r="T1328">
        <v>97209</v>
      </c>
      <c r="U1328">
        <v>1361989</v>
      </c>
      <c r="V1328">
        <v>2554</v>
      </c>
    </row>
    <row r="1329" spans="1:22" x14ac:dyDescent="0.3">
      <c r="A1329" t="str">
        <f t="shared" si="40"/>
        <v>INNTRealizado</v>
      </c>
      <c r="B1329" t="str">
        <f t="shared" si="41"/>
        <v>INNTRealizadoSet-2022</v>
      </c>
      <c r="C1329" t="s">
        <v>211</v>
      </c>
      <c r="D1329" t="s">
        <v>212</v>
      </c>
      <c r="E1329" t="s">
        <v>168</v>
      </c>
      <c r="F1329" t="s">
        <v>740</v>
      </c>
      <c r="G1329" t="s">
        <v>741</v>
      </c>
      <c r="H1329" t="s">
        <v>742</v>
      </c>
      <c r="I1329" t="s">
        <v>701</v>
      </c>
      <c r="J1329" t="s">
        <v>743</v>
      </c>
      <c r="K1329" s="1">
        <v>44834</v>
      </c>
      <c r="L1329">
        <v>7622</v>
      </c>
      <c r="M1329">
        <v>567900</v>
      </c>
      <c r="N1329">
        <v>59129</v>
      </c>
      <c r="O1329">
        <v>29089</v>
      </c>
      <c r="P1329">
        <v>-567900</v>
      </c>
      <c r="Q1329">
        <v>-78154</v>
      </c>
      <c r="R1329">
        <v>110</v>
      </c>
      <c r="S1329">
        <v>3265</v>
      </c>
      <c r="T1329">
        <v>0</v>
      </c>
      <c r="U1329">
        <v>127468</v>
      </c>
      <c r="V1329">
        <v>1398</v>
      </c>
    </row>
    <row r="1330" spans="1:22" x14ac:dyDescent="0.3">
      <c r="A1330" t="str">
        <f t="shared" si="40"/>
        <v>JFENRealizado</v>
      </c>
      <c r="B1330" t="str">
        <f t="shared" si="41"/>
        <v>JFENRealizadoSet-2022</v>
      </c>
      <c r="C1330" t="s">
        <v>223</v>
      </c>
      <c r="D1330" t="s">
        <v>224</v>
      </c>
      <c r="E1330" t="s">
        <v>168</v>
      </c>
      <c r="F1330" t="s">
        <v>740</v>
      </c>
      <c r="G1330" t="s">
        <v>741</v>
      </c>
      <c r="H1330" t="s">
        <v>742</v>
      </c>
      <c r="I1330" t="s">
        <v>744</v>
      </c>
      <c r="J1330" t="s">
        <v>743</v>
      </c>
      <c r="K1330" s="1">
        <v>44834</v>
      </c>
      <c r="L1330">
        <v>-25742</v>
      </c>
      <c r="M1330">
        <v>994534</v>
      </c>
      <c r="N1330">
        <v>74145</v>
      </c>
      <c r="O1330">
        <v>23971</v>
      </c>
      <c r="P1330">
        <v>-994534</v>
      </c>
      <c r="Q1330">
        <v>-644127</v>
      </c>
      <c r="R1330">
        <v>804</v>
      </c>
      <c r="S1330">
        <v>13702</v>
      </c>
      <c r="T1330">
        <v>0</v>
      </c>
      <c r="U1330">
        <v>-639921</v>
      </c>
      <c r="V1330">
        <v>1290</v>
      </c>
    </row>
    <row r="1331" spans="1:22" x14ac:dyDescent="0.3">
      <c r="A1331" t="str">
        <f t="shared" si="40"/>
        <v>LAVVRealizado</v>
      </c>
      <c r="B1331" t="str">
        <f t="shared" si="41"/>
        <v>LAVVRealizadoSet-2022</v>
      </c>
      <c r="C1331" t="s">
        <v>185</v>
      </c>
      <c r="D1331" t="s">
        <v>186</v>
      </c>
      <c r="E1331" t="s">
        <v>168</v>
      </c>
      <c r="F1331" t="s">
        <v>740</v>
      </c>
      <c r="G1331" t="s">
        <v>741</v>
      </c>
      <c r="H1331" t="s">
        <v>742</v>
      </c>
      <c r="I1331" t="s">
        <v>701</v>
      </c>
      <c r="J1331" t="s">
        <v>743</v>
      </c>
      <c r="K1331" s="1">
        <v>44834</v>
      </c>
      <c r="L1331">
        <v>27619</v>
      </c>
      <c r="M1331">
        <v>1159873</v>
      </c>
      <c r="N1331">
        <v>208616</v>
      </c>
      <c r="O1331">
        <v>0</v>
      </c>
      <c r="P1331">
        <v>-1159873</v>
      </c>
      <c r="Q1331">
        <v>-8439</v>
      </c>
      <c r="R1331">
        <v>5513</v>
      </c>
      <c r="S1331">
        <v>1347</v>
      </c>
      <c r="T1331">
        <v>47754</v>
      </c>
      <c r="U1331">
        <v>1143126</v>
      </c>
      <c r="V1331">
        <v>1767</v>
      </c>
    </row>
    <row r="1332" spans="1:22" x14ac:dyDescent="0.3">
      <c r="A1332" t="str">
        <f t="shared" si="40"/>
        <v>LOGGRealizado</v>
      </c>
      <c r="B1332" t="str">
        <f t="shared" si="41"/>
        <v>LOGGRealizadoSet-2022</v>
      </c>
      <c r="C1332" t="s">
        <v>187</v>
      </c>
      <c r="D1332" t="s">
        <v>188</v>
      </c>
      <c r="E1332" t="s">
        <v>168</v>
      </c>
      <c r="F1332" t="s">
        <v>740</v>
      </c>
      <c r="G1332" t="s">
        <v>741</v>
      </c>
      <c r="H1332" t="s">
        <v>742</v>
      </c>
      <c r="I1332" t="s">
        <v>700</v>
      </c>
      <c r="J1332" t="s">
        <v>743</v>
      </c>
      <c r="K1332" s="1">
        <v>44834</v>
      </c>
      <c r="L1332">
        <v>110578</v>
      </c>
      <c r="M1332">
        <v>5664543</v>
      </c>
      <c r="N1332">
        <v>461291</v>
      </c>
      <c r="O1332">
        <v>47057</v>
      </c>
      <c r="P1332">
        <v>-5664543</v>
      </c>
      <c r="Q1332">
        <v>-330319</v>
      </c>
      <c r="R1332">
        <v>10357</v>
      </c>
      <c r="S1332">
        <v>10009</v>
      </c>
      <c r="T1332">
        <v>550072</v>
      </c>
      <c r="U1332">
        <v>3636247</v>
      </c>
      <c r="V1332">
        <v>18802</v>
      </c>
    </row>
    <row r="1333" spans="1:22" x14ac:dyDescent="0.3">
      <c r="A1333" t="str">
        <f t="shared" si="40"/>
        <v>MTRERealizado</v>
      </c>
      <c r="B1333" t="str">
        <f t="shared" si="41"/>
        <v>MTRERealizadoSet-2022</v>
      </c>
      <c r="C1333" t="s">
        <v>189</v>
      </c>
      <c r="D1333" t="s">
        <v>190</v>
      </c>
      <c r="E1333" t="s">
        <v>168</v>
      </c>
      <c r="F1333" t="s">
        <v>740</v>
      </c>
      <c r="G1333" t="s">
        <v>741</v>
      </c>
      <c r="H1333" t="s">
        <v>742</v>
      </c>
      <c r="I1333" t="s">
        <v>701</v>
      </c>
      <c r="J1333" t="s">
        <v>743</v>
      </c>
      <c r="K1333" s="1">
        <v>44834</v>
      </c>
      <c r="L1333">
        <v>13087</v>
      </c>
      <c r="M1333">
        <v>1356164</v>
      </c>
      <c r="N1333">
        <v>218228</v>
      </c>
      <c r="O1333">
        <v>0</v>
      </c>
      <c r="P1333">
        <v>-1356164</v>
      </c>
      <c r="Q1333">
        <v>-70262</v>
      </c>
      <c r="R1333">
        <v>8481</v>
      </c>
      <c r="S1333">
        <v>0</v>
      </c>
      <c r="T1333">
        <v>18934</v>
      </c>
      <c r="U1333">
        <v>995189</v>
      </c>
      <c r="V1333">
        <v>5477</v>
      </c>
    </row>
    <row r="1334" spans="1:22" x14ac:dyDescent="0.3">
      <c r="A1334" t="str">
        <f t="shared" si="40"/>
        <v>MDNERealizado</v>
      </c>
      <c r="B1334" t="str">
        <f t="shared" si="41"/>
        <v>MDNERealizadoSet-2022</v>
      </c>
      <c r="C1334" t="s">
        <v>213</v>
      </c>
      <c r="D1334" t="s">
        <v>214</v>
      </c>
      <c r="E1334" t="s">
        <v>168</v>
      </c>
      <c r="F1334" t="s">
        <v>740</v>
      </c>
      <c r="G1334" t="s">
        <v>741</v>
      </c>
      <c r="H1334" t="s">
        <v>742</v>
      </c>
      <c r="I1334" t="s">
        <v>701</v>
      </c>
      <c r="J1334" t="s">
        <v>743</v>
      </c>
      <c r="K1334" s="1">
        <v>44834</v>
      </c>
      <c r="L1334">
        <v>40946</v>
      </c>
      <c r="M1334">
        <v>1809171</v>
      </c>
      <c r="N1334">
        <v>201651</v>
      </c>
      <c r="O1334">
        <v>69115</v>
      </c>
      <c r="P1334">
        <v>-1809171</v>
      </c>
      <c r="Q1334">
        <v>-163840</v>
      </c>
      <c r="R1334">
        <v>14695</v>
      </c>
      <c r="S1334">
        <v>3420</v>
      </c>
      <c r="T1334">
        <v>0</v>
      </c>
      <c r="U1334">
        <v>1171406</v>
      </c>
      <c r="V1334">
        <v>8261</v>
      </c>
    </row>
    <row r="1335" spans="1:22" x14ac:dyDescent="0.3">
      <c r="A1335" t="str">
        <f t="shared" si="40"/>
        <v>MRVERealizado</v>
      </c>
      <c r="B1335" t="str">
        <f t="shared" si="41"/>
        <v>MRVERealizadoSet-2022</v>
      </c>
      <c r="C1335" t="s">
        <v>191</v>
      </c>
      <c r="D1335" t="s">
        <v>192</v>
      </c>
      <c r="E1335" t="s">
        <v>168</v>
      </c>
      <c r="F1335" t="s">
        <v>740</v>
      </c>
      <c r="G1335" t="s">
        <v>741</v>
      </c>
      <c r="H1335" t="s">
        <v>742</v>
      </c>
      <c r="I1335" t="s">
        <v>701</v>
      </c>
      <c r="J1335" t="s">
        <v>745</v>
      </c>
      <c r="K1335" s="1">
        <v>44834</v>
      </c>
      <c r="L1335">
        <v>1587</v>
      </c>
      <c r="M1335">
        <v>15196329</v>
      </c>
      <c r="N1335">
        <v>5418266</v>
      </c>
      <c r="O1335">
        <v>2066415</v>
      </c>
      <c r="P1335">
        <v>-15196329</v>
      </c>
      <c r="Q1335">
        <v>-2926414</v>
      </c>
      <c r="R1335">
        <v>96311</v>
      </c>
      <c r="S1335">
        <v>73647</v>
      </c>
      <c r="T1335">
        <v>1336607</v>
      </c>
      <c r="U1335">
        <v>6209617</v>
      </c>
      <c r="V1335">
        <v>749599</v>
      </c>
    </row>
    <row r="1336" spans="1:22" x14ac:dyDescent="0.3">
      <c r="A1336" t="str">
        <f t="shared" si="40"/>
        <v>PTBLRealizado</v>
      </c>
      <c r="B1336" t="str">
        <f t="shared" si="41"/>
        <v>PTBLRealizadoSet-2022</v>
      </c>
      <c r="C1336" t="s">
        <v>193</v>
      </c>
      <c r="D1336" t="s">
        <v>194</v>
      </c>
      <c r="E1336" t="s">
        <v>168</v>
      </c>
      <c r="F1336" t="s">
        <v>740</v>
      </c>
      <c r="G1336" t="s">
        <v>741</v>
      </c>
      <c r="H1336" t="s">
        <v>742</v>
      </c>
      <c r="I1336" t="s">
        <v>701</v>
      </c>
      <c r="J1336" t="s">
        <v>746</v>
      </c>
      <c r="K1336" s="1">
        <v>44834</v>
      </c>
      <c r="L1336">
        <v>52498</v>
      </c>
      <c r="M1336">
        <v>2007242</v>
      </c>
      <c r="N1336">
        <v>798989</v>
      </c>
      <c r="O1336">
        <v>344711</v>
      </c>
      <c r="P1336">
        <v>-2007242</v>
      </c>
      <c r="Q1336">
        <v>-713136</v>
      </c>
      <c r="R1336">
        <v>70748</v>
      </c>
      <c r="S1336">
        <v>21679</v>
      </c>
      <c r="T1336">
        <v>165366</v>
      </c>
      <c r="U1336">
        <v>456086</v>
      </c>
      <c r="V1336">
        <v>477806</v>
      </c>
    </row>
    <row r="1337" spans="1:22" x14ac:dyDescent="0.3">
      <c r="A1337" t="str">
        <f t="shared" si="40"/>
        <v>PLPLRealizado</v>
      </c>
      <c r="B1337" t="str">
        <f t="shared" si="41"/>
        <v>PLPLRealizadoSet-2022</v>
      </c>
      <c r="C1337" t="s">
        <v>195</v>
      </c>
      <c r="D1337" t="s">
        <v>196</v>
      </c>
      <c r="E1337" t="s">
        <v>168</v>
      </c>
      <c r="F1337" t="s">
        <v>740</v>
      </c>
      <c r="G1337" t="s">
        <v>741</v>
      </c>
      <c r="H1337" t="s">
        <v>742</v>
      </c>
      <c r="I1337" t="s">
        <v>701</v>
      </c>
      <c r="J1337" t="s">
        <v>743</v>
      </c>
      <c r="K1337" s="1">
        <v>44834</v>
      </c>
      <c r="L1337">
        <v>34534</v>
      </c>
      <c r="M1337">
        <v>827644</v>
      </c>
      <c r="N1337">
        <v>79470</v>
      </c>
      <c r="O1337">
        <v>347</v>
      </c>
      <c r="P1337">
        <v>-827644</v>
      </c>
      <c r="Q1337">
        <v>-363700</v>
      </c>
      <c r="R1337">
        <v>13539</v>
      </c>
      <c r="S1337">
        <v>509</v>
      </c>
      <c r="T1337">
        <v>321756</v>
      </c>
      <c r="U1337">
        <v>383684</v>
      </c>
      <c r="V1337">
        <v>36536</v>
      </c>
    </row>
    <row r="1338" spans="1:22" x14ac:dyDescent="0.3">
      <c r="A1338" t="str">
        <f t="shared" si="40"/>
        <v>PRNRRealizado</v>
      </c>
      <c r="B1338" t="str">
        <f t="shared" si="41"/>
        <v>PRNRRealizadoSet-2022</v>
      </c>
      <c r="C1338" t="s">
        <v>197</v>
      </c>
      <c r="D1338" t="s">
        <v>198</v>
      </c>
      <c r="E1338" t="s">
        <v>168</v>
      </c>
      <c r="F1338" t="s">
        <v>740</v>
      </c>
      <c r="G1338" t="s">
        <v>741</v>
      </c>
      <c r="H1338" t="s">
        <v>742</v>
      </c>
      <c r="I1338" t="s">
        <v>701</v>
      </c>
      <c r="J1338" t="s">
        <v>743</v>
      </c>
      <c r="K1338" s="1">
        <v>44834</v>
      </c>
      <c r="L1338">
        <v>20816</v>
      </c>
      <c r="M1338">
        <v>455674</v>
      </c>
      <c r="N1338">
        <v>186132</v>
      </c>
      <c r="O1338">
        <v>86454</v>
      </c>
      <c r="P1338">
        <v>-455674</v>
      </c>
      <c r="Q1338">
        <v>-113178</v>
      </c>
      <c r="R1338">
        <v>39073</v>
      </c>
      <c r="S1338">
        <v>3160</v>
      </c>
      <c r="T1338">
        <v>7452</v>
      </c>
      <c r="U1338">
        <v>257316</v>
      </c>
      <c r="V1338">
        <v>95766</v>
      </c>
    </row>
    <row r="1339" spans="1:22" x14ac:dyDescent="0.3">
      <c r="A1339" t="str">
        <f t="shared" si="40"/>
        <v>RDNIRealizado</v>
      </c>
      <c r="B1339" t="str">
        <f t="shared" si="41"/>
        <v>RDNIRealizadoSet-2022</v>
      </c>
      <c r="C1339" t="s">
        <v>199</v>
      </c>
      <c r="D1339" t="s">
        <v>200</v>
      </c>
      <c r="E1339" t="s">
        <v>168</v>
      </c>
      <c r="F1339" t="s">
        <v>740</v>
      </c>
      <c r="G1339" t="s">
        <v>741</v>
      </c>
      <c r="H1339" t="s">
        <v>742</v>
      </c>
      <c r="I1339" t="s">
        <v>701</v>
      </c>
      <c r="J1339" t="s">
        <v>743</v>
      </c>
      <c r="K1339" s="1">
        <v>44834</v>
      </c>
      <c r="L1339">
        <v>7151</v>
      </c>
      <c r="M1339">
        <v>1394000</v>
      </c>
      <c r="N1339">
        <v>60809</v>
      </c>
      <c r="O1339">
        <v>147391</v>
      </c>
      <c r="P1339">
        <v>-1394000</v>
      </c>
      <c r="Q1339">
        <v>-142827</v>
      </c>
      <c r="R1339">
        <v>7264</v>
      </c>
      <c r="S1339">
        <v>703</v>
      </c>
      <c r="T1339">
        <v>127146</v>
      </c>
      <c r="U1339">
        <v>638829</v>
      </c>
      <c r="V1339">
        <v>97</v>
      </c>
    </row>
    <row r="1340" spans="1:22" x14ac:dyDescent="0.3">
      <c r="A1340" t="str">
        <f t="shared" si="40"/>
        <v>RSIDRealizado</v>
      </c>
      <c r="B1340" t="str">
        <f t="shared" si="41"/>
        <v>RSIDRealizadoSet-2022</v>
      </c>
      <c r="C1340" t="s">
        <v>225</v>
      </c>
      <c r="D1340" t="s">
        <v>226</v>
      </c>
      <c r="E1340" t="s">
        <v>168</v>
      </c>
      <c r="F1340" t="s">
        <v>740</v>
      </c>
      <c r="G1340" t="s">
        <v>741</v>
      </c>
      <c r="H1340" t="s">
        <v>742</v>
      </c>
      <c r="I1340" t="s">
        <v>744</v>
      </c>
      <c r="J1340" t="s">
        <v>743</v>
      </c>
      <c r="K1340" s="1">
        <v>44834</v>
      </c>
      <c r="L1340">
        <v>-28091</v>
      </c>
      <c r="M1340">
        <v>3569682</v>
      </c>
      <c r="N1340">
        <v>128506</v>
      </c>
      <c r="O1340">
        <v>71137</v>
      </c>
      <c r="P1340">
        <v>-3569682</v>
      </c>
      <c r="Q1340">
        <v>-2199893</v>
      </c>
      <c r="R1340">
        <v>872</v>
      </c>
      <c r="S1340">
        <v>0</v>
      </c>
      <c r="T1340">
        <v>0</v>
      </c>
      <c r="U1340">
        <v>-913959</v>
      </c>
      <c r="V1340">
        <v>4406</v>
      </c>
    </row>
    <row r="1341" spans="1:22" x14ac:dyDescent="0.3">
      <c r="A1341" t="str">
        <f t="shared" si="40"/>
        <v>SONDRealizado</v>
      </c>
      <c r="B1341" t="str">
        <f t="shared" si="41"/>
        <v>SONDRealizadoSet-2022</v>
      </c>
      <c r="C1341" t="s">
        <v>201</v>
      </c>
      <c r="D1341" t="s">
        <v>202</v>
      </c>
      <c r="E1341" t="s">
        <v>168</v>
      </c>
      <c r="F1341" t="s">
        <v>740</v>
      </c>
      <c r="G1341" t="s">
        <v>741</v>
      </c>
      <c r="H1341" t="s">
        <v>742</v>
      </c>
      <c r="I1341" t="s">
        <v>701</v>
      </c>
      <c r="J1341" t="s">
        <v>743</v>
      </c>
      <c r="K1341" s="1">
        <v>44834</v>
      </c>
      <c r="L1341">
        <v>2941</v>
      </c>
      <c r="M1341">
        <v>90602</v>
      </c>
      <c r="N1341">
        <v>44591</v>
      </c>
      <c r="O1341">
        <v>24212</v>
      </c>
      <c r="P1341">
        <v>-90602</v>
      </c>
      <c r="Q1341">
        <v>-23309</v>
      </c>
      <c r="R1341">
        <v>8410</v>
      </c>
      <c r="S1341">
        <v>6091</v>
      </c>
      <c r="T1341">
        <v>8792</v>
      </c>
      <c r="U1341">
        <v>57907</v>
      </c>
      <c r="V1341">
        <v>37651</v>
      </c>
    </row>
    <row r="1342" spans="1:22" x14ac:dyDescent="0.3">
      <c r="A1342" t="str">
        <f t="shared" si="40"/>
        <v>TCSARealizado</v>
      </c>
      <c r="B1342" t="str">
        <f t="shared" si="41"/>
        <v>TCSARealizadoSet-2022</v>
      </c>
      <c r="C1342" t="s">
        <v>215</v>
      </c>
      <c r="D1342" t="s">
        <v>216</v>
      </c>
      <c r="E1342" t="s">
        <v>168</v>
      </c>
      <c r="F1342" t="s">
        <v>740</v>
      </c>
      <c r="G1342" t="s">
        <v>741</v>
      </c>
      <c r="H1342" t="s">
        <v>742</v>
      </c>
      <c r="I1342" t="s">
        <v>701</v>
      </c>
      <c r="J1342" t="s">
        <v>743</v>
      </c>
      <c r="K1342" s="1">
        <v>44834</v>
      </c>
      <c r="L1342">
        <v>1656</v>
      </c>
      <c r="M1342">
        <v>1421384</v>
      </c>
      <c r="N1342">
        <v>112308</v>
      </c>
      <c r="O1342">
        <v>0</v>
      </c>
      <c r="P1342">
        <v>-1421384</v>
      </c>
      <c r="Q1342">
        <v>-315207</v>
      </c>
      <c r="R1342">
        <v>9502</v>
      </c>
      <c r="S1342">
        <v>884</v>
      </c>
      <c r="T1342">
        <v>0</v>
      </c>
      <c r="U1342">
        <v>575508</v>
      </c>
      <c r="V1342">
        <v>7090</v>
      </c>
    </row>
    <row r="1343" spans="1:22" x14ac:dyDescent="0.3">
      <c r="A1343" t="str">
        <f t="shared" si="40"/>
        <v>UCASRealizado</v>
      </c>
      <c r="B1343" t="str">
        <f t="shared" si="41"/>
        <v>UCASRealizadoSet-2022</v>
      </c>
      <c r="C1343" t="s">
        <v>203</v>
      </c>
      <c r="D1343" t="s">
        <v>204</v>
      </c>
      <c r="E1343" t="s">
        <v>168</v>
      </c>
      <c r="F1343" t="s">
        <v>740</v>
      </c>
      <c r="G1343" t="s">
        <v>741</v>
      </c>
      <c r="H1343" t="s">
        <v>742</v>
      </c>
      <c r="I1343" t="s">
        <v>701</v>
      </c>
      <c r="J1343" t="s">
        <v>743</v>
      </c>
      <c r="K1343" s="1">
        <v>44834</v>
      </c>
      <c r="L1343">
        <v>7360</v>
      </c>
      <c r="M1343">
        <v>293762</v>
      </c>
      <c r="N1343">
        <v>122523</v>
      </c>
      <c r="O1343">
        <v>45552</v>
      </c>
      <c r="P1343">
        <v>-293762</v>
      </c>
      <c r="Q1343">
        <v>-83801</v>
      </c>
      <c r="R1343">
        <v>8399</v>
      </c>
      <c r="S1343">
        <v>5106</v>
      </c>
      <c r="T1343">
        <v>20449</v>
      </c>
      <c r="U1343">
        <v>196055</v>
      </c>
      <c r="V1343">
        <v>63276</v>
      </c>
    </row>
    <row r="1344" spans="1:22" x14ac:dyDescent="0.3">
      <c r="A1344" t="str">
        <f t="shared" si="40"/>
        <v>VIVRRealizado</v>
      </c>
      <c r="B1344" t="str">
        <f t="shared" si="41"/>
        <v>VIVRRealizadoSet-2022</v>
      </c>
      <c r="C1344" t="s">
        <v>227</v>
      </c>
      <c r="D1344" t="s">
        <v>228</v>
      </c>
      <c r="E1344" t="s">
        <v>168</v>
      </c>
      <c r="F1344" t="s">
        <v>740</v>
      </c>
      <c r="G1344" t="s">
        <v>741</v>
      </c>
      <c r="H1344" t="s">
        <v>742</v>
      </c>
      <c r="I1344" t="s">
        <v>701</v>
      </c>
      <c r="J1344" t="s">
        <v>743</v>
      </c>
      <c r="K1344" s="1">
        <v>44834</v>
      </c>
      <c r="L1344">
        <v>1249</v>
      </c>
      <c r="M1344">
        <v>81516</v>
      </c>
      <c r="N1344">
        <v>9184</v>
      </c>
      <c r="O1344">
        <v>6092</v>
      </c>
      <c r="P1344">
        <v>-81516</v>
      </c>
      <c r="Q1344">
        <v>-244119</v>
      </c>
      <c r="R1344">
        <v>7546</v>
      </c>
      <c r="S1344">
        <v>542</v>
      </c>
      <c r="T1344">
        <v>0</v>
      </c>
      <c r="U1344">
        <v>-174609</v>
      </c>
      <c r="V1344">
        <v>11181</v>
      </c>
    </row>
    <row r="1345" spans="1:22" x14ac:dyDescent="0.3">
      <c r="A1345" t="str">
        <f t="shared" si="40"/>
        <v>AFLTRealizado</v>
      </c>
      <c r="B1345" t="str">
        <f t="shared" si="41"/>
        <v>AFLTRealizadoSet-2022</v>
      </c>
      <c r="C1345" t="s">
        <v>411</v>
      </c>
      <c r="D1345" t="s">
        <v>412</v>
      </c>
      <c r="E1345" t="s">
        <v>413</v>
      </c>
      <c r="F1345" t="s">
        <v>740</v>
      </c>
      <c r="G1345" t="s">
        <v>741</v>
      </c>
      <c r="H1345" t="s">
        <v>742</v>
      </c>
      <c r="I1345" t="s">
        <v>701</v>
      </c>
      <c r="J1345" t="s">
        <v>745</v>
      </c>
      <c r="K1345" s="1">
        <v>44834</v>
      </c>
      <c r="L1345">
        <v>10001</v>
      </c>
      <c r="M1345">
        <v>314644</v>
      </c>
      <c r="N1345">
        <v>79408</v>
      </c>
      <c r="O1345">
        <v>6717</v>
      </c>
      <c r="P1345">
        <v>-314644</v>
      </c>
      <c r="Q1345">
        <v>-23357</v>
      </c>
      <c r="R1345">
        <v>762</v>
      </c>
      <c r="S1345">
        <v>1629</v>
      </c>
      <c r="T1345">
        <v>199530</v>
      </c>
      <c r="U1345">
        <v>271493</v>
      </c>
      <c r="V1345">
        <v>18466</v>
      </c>
    </row>
    <row r="1346" spans="1:22" x14ac:dyDescent="0.3">
      <c r="A1346" t="str">
        <f t="shared" ref="A1346:A1409" si="42">_xlfn.CONCAT(D1346,F1346)</f>
        <v>CBEERealizado</v>
      </c>
      <c r="B1346" t="str">
        <f t="shared" ref="B1346:B1409" si="43">_xlfn.CONCAT(D1346,F1346,PROPER(TEXT(K1346,"mmm-aaaa")))</f>
        <v>CBEERealizadoSet-2022</v>
      </c>
      <c r="C1346" t="s">
        <v>414</v>
      </c>
      <c r="D1346" t="s">
        <v>415</v>
      </c>
      <c r="E1346" t="s">
        <v>413</v>
      </c>
      <c r="F1346" t="s">
        <v>740</v>
      </c>
      <c r="G1346" t="s">
        <v>741</v>
      </c>
      <c r="H1346" t="s">
        <v>742</v>
      </c>
      <c r="I1346" t="s">
        <v>700</v>
      </c>
      <c r="J1346" t="s">
        <v>743</v>
      </c>
      <c r="K1346" s="1">
        <v>44834</v>
      </c>
      <c r="L1346">
        <v>-159268</v>
      </c>
      <c r="M1346">
        <v>16736800</v>
      </c>
      <c r="N1346">
        <v>3324407</v>
      </c>
      <c r="O1346">
        <v>2060208</v>
      </c>
      <c r="P1346">
        <v>-16736800</v>
      </c>
      <c r="Q1346">
        <v>-5719804</v>
      </c>
      <c r="R1346">
        <v>66466</v>
      </c>
      <c r="S1346">
        <v>96569</v>
      </c>
      <c r="T1346">
        <v>1218709</v>
      </c>
      <c r="U1346">
        <v>4749900</v>
      </c>
      <c r="V1346">
        <v>1795737</v>
      </c>
    </row>
    <row r="1347" spans="1:22" x14ac:dyDescent="0.3">
      <c r="A1347" t="str">
        <f t="shared" si="42"/>
        <v>CLSCRealizado</v>
      </c>
      <c r="B1347" t="str">
        <f t="shared" si="43"/>
        <v>CLSCRealizadoSet-2022</v>
      </c>
      <c r="C1347" t="s">
        <v>416</v>
      </c>
      <c r="D1347" t="s">
        <v>417</v>
      </c>
      <c r="E1347" t="s">
        <v>413</v>
      </c>
      <c r="F1347" t="s">
        <v>740</v>
      </c>
      <c r="G1347" t="s">
        <v>741</v>
      </c>
      <c r="H1347" t="s">
        <v>742</v>
      </c>
      <c r="I1347" t="s">
        <v>701</v>
      </c>
      <c r="J1347" t="s">
        <v>745</v>
      </c>
      <c r="K1347" s="1">
        <v>44834</v>
      </c>
      <c r="L1347">
        <v>76165</v>
      </c>
      <c r="M1347">
        <v>3146392</v>
      </c>
      <c r="N1347">
        <v>279108</v>
      </c>
      <c r="O1347">
        <v>0</v>
      </c>
      <c r="P1347">
        <v>-3146392</v>
      </c>
      <c r="Q1347">
        <v>-189774</v>
      </c>
      <c r="R1347">
        <v>1755</v>
      </c>
      <c r="S1347">
        <v>8943</v>
      </c>
      <c r="T1347">
        <v>1191329</v>
      </c>
      <c r="U1347">
        <v>2933341</v>
      </c>
      <c r="V1347">
        <v>79189</v>
      </c>
    </row>
    <row r="1348" spans="1:22" x14ac:dyDescent="0.3">
      <c r="A1348" t="str">
        <f t="shared" si="42"/>
        <v>CESPRealizado</v>
      </c>
      <c r="B1348" t="str">
        <f t="shared" si="43"/>
        <v>CESPRealizadoSet-2022</v>
      </c>
      <c r="C1348" t="s">
        <v>418</v>
      </c>
      <c r="D1348" t="s">
        <v>419</v>
      </c>
      <c r="E1348" t="s">
        <v>413</v>
      </c>
      <c r="F1348" t="s">
        <v>740</v>
      </c>
      <c r="G1348" t="s">
        <v>741</v>
      </c>
      <c r="H1348" t="s">
        <v>742</v>
      </c>
      <c r="I1348" t="s">
        <v>701</v>
      </c>
      <c r="J1348" t="s">
        <v>745</v>
      </c>
      <c r="K1348" s="1">
        <v>44834</v>
      </c>
      <c r="L1348">
        <v>70192</v>
      </c>
      <c r="M1348">
        <v>13570304</v>
      </c>
      <c r="N1348">
        <v>865896</v>
      </c>
      <c r="O1348">
        <v>204952</v>
      </c>
      <c r="P1348">
        <v>-13570304</v>
      </c>
      <c r="Q1348">
        <v>-721371</v>
      </c>
      <c r="R1348">
        <v>0</v>
      </c>
      <c r="S1348">
        <v>15246</v>
      </c>
      <c r="T1348">
        <v>1953332</v>
      </c>
      <c r="U1348">
        <v>7633164</v>
      </c>
      <c r="V1348">
        <v>424630</v>
      </c>
    </row>
    <row r="1349" spans="1:22" x14ac:dyDescent="0.3">
      <c r="A1349" t="str">
        <f t="shared" si="42"/>
        <v>CEEBRealizado</v>
      </c>
      <c r="B1349" t="str">
        <f t="shared" si="43"/>
        <v>CEEBRealizadoSet-2022</v>
      </c>
      <c r="C1349" t="s">
        <v>420</v>
      </c>
      <c r="D1349" t="s">
        <v>421</v>
      </c>
      <c r="E1349" t="s">
        <v>413</v>
      </c>
      <c r="F1349" t="s">
        <v>740</v>
      </c>
      <c r="G1349" t="s">
        <v>741</v>
      </c>
      <c r="H1349" t="s">
        <v>742</v>
      </c>
      <c r="I1349" t="s">
        <v>700</v>
      </c>
      <c r="J1349" t="s">
        <v>743</v>
      </c>
      <c r="K1349" s="1">
        <v>44834</v>
      </c>
      <c r="L1349">
        <v>195000</v>
      </c>
      <c r="M1349">
        <v>26015000</v>
      </c>
      <c r="N1349">
        <v>6040000</v>
      </c>
      <c r="O1349">
        <v>2780000</v>
      </c>
      <c r="P1349">
        <v>-26015000</v>
      </c>
      <c r="Q1349">
        <v>-5173000</v>
      </c>
      <c r="R1349">
        <v>182000</v>
      </c>
      <c r="S1349">
        <v>22000</v>
      </c>
      <c r="T1349">
        <v>2427000</v>
      </c>
      <c r="U1349">
        <v>5601000</v>
      </c>
      <c r="V1349">
        <v>3324000</v>
      </c>
    </row>
    <row r="1350" spans="1:22" x14ac:dyDescent="0.3">
      <c r="A1350" t="str">
        <f t="shared" si="42"/>
        <v>CEBRRealizado</v>
      </c>
      <c r="B1350" t="str">
        <f t="shared" si="43"/>
        <v>CEBRRealizadoSet-2022</v>
      </c>
      <c r="C1350" t="s">
        <v>422</v>
      </c>
      <c r="D1350" t="s">
        <v>423</v>
      </c>
      <c r="E1350" t="s">
        <v>413</v>
      </c>
      <c r="F1350" t="s">
        <v>740</v>
      </c>
      <c r="G1350" t="s">
        <v>741</v>
      </c>
      <c r="H1350" t="s">
        <v>742</v>
      </c>
      <c r="I1350" t="s">
        <v>701</v>
      </c>
      <c r="J1350" t="s">
        <v>745</v>
      </c>
      <c r="K1350" s="1">
        <v>44834</v>
      </c>
      <c r="L1350">
        <v>35601</v>
      </c>
      <c r="M1350">
        <v>1001220</v>
      </c>
      <c r="N1350">
        <v>328789</v>
      </c>
      <c r="O1350">
        <v>18855</v>
      </c>
      <c r="P1350">
        <v>-1001220</v>
      </c>
      <c r="Q1350">
        <v>-26573</v>
      </c>
      <c r="R1350">
        <v>573</v>
      </c>
      <c r="S1350">
        <v>3711</v>
      </c>
      <c r="T1350">
        <v>235449</v>
      </c>
      <c r="U1350">
        <v>962556</v>
      </c>
      <c r="V1350">
        <v>15267</v>
      </c>
    </row>
    <row r="1351" spans="1:22" x14ac:dyDescent="0.3">
      <c r="A1351" t="str">
        <f t="shared" si="42"/>
        <v>CMIGRealizado</v>
      </c>
      <c r="B1351" t="str">
        <f t="shared" si="43"/>
        <v>CMIGRealizadoSet-2022</v>
      </c>
      <c r="C1351" t="s">
        <v>424</v>
      </c>
      <c r="D1351" t="s">
        <v>425</v>
      </c>
      <c r="E1351" t="s">
        <v>413</v>
      </c>
      <c r="F1351" t="s">
        <v>740</v>
      </c>
      <c r="G1351" t="s">
        <v>741</v>
      </c>
      <c r="H1351" t="s">
        <v>742</v>
      </c>
      <c r="I1351" t="s">
        <v>700</v>
      </c>
      <c r="J1351" t="s">
        <v>743</v>
      </c>
      <c r="K1351" s="1">
        <v>44834</v>
      </c>
      <c r="L1351">
        <v>1181868</v>
      </c>
      <c r="M1351">
        <v>24476557</v>
      </c>
      <c r="N1351">
        <v>2896105</v>
      </c>
      <c r="O1351">
        <v>2462607</v>
      </c>
      <c r="P1351">
        <v>-24476557</v>
      </c>
      <c r="Q1351">
        <v>-2389694</v>
      </c>
      <c r="R1351">
        <v>12287</v>
      </c>
      <c r="S1351">
        <v>196122</v>
      </c>
      <c r="T1351">
        <v>8408051</v>
      </c>
      <c r="U1351">
        <v>21073852</v>
      </c>
      <c r="V1351">
        <v>682060</v>
      </c>
    </row>
    <row r="1352" spans="1:22" x14ac:dyDescent="0.3">
      <c r="A1352" t="str">
        <f t="shared" si="42"/>
        <v>CEPERealizado</v>
      </c>
      <c r="B1352" t="str">
        <f t="shared" si="43"/>
        <v>CEPERealizadoSet-2022</v>
      </c>
      <c r="C1352" t="s">
        <v>426</v>
      </c>
      <c r="D1352" t="s">
        <v>427</v>
      </c>
      <c r="E1352" t="s">
        <v>413</v>
      </c>
      <c r="F1352" t="s">
        <v>740</v>
      </c>
      <c r="G1352" t="s">
        <v>741</v>
      </c>
      <c r="H1352" t="s">
        <v>742</v>
      </c>
      <c r="I1352" t="s">
        <v>700</v>
      </c>
      <c r="J1352" t="s">
        <v>743</v>
      </c>
      <c r="K1352" s="1">
        <v>44834</v>
      </c>
      <c r="L1352">
        <v>-37000</v>
      </c>
      <c r="M1352">
        <v>13434000</v>
      </c>
      <c r="N1352">
        <v>4005000</v>
      </c>
      <c r="O1352">
        <v>1697000</v>
      </c>
      <c r="P1352">
        <v>-13434000</v>
      </c>
      <c r="Q1352">
        <v>-2388000</v>
      </c>
      <c r="R1352">
        <v>115000</v>
      </c>
      <c r="S1352">
        <v>0</v>
      </c>
      <c r="T1352">
        <v>421000</v>
      </c>
      <c r="U1352">
        <v>1420000</v>
      </c>
      <c r="V1352">
        <v>1873000</v>
      </c>
    </row>
    <row r="1353" spans="1:22" x14ac:dyDescent="0.3">
      <c r="A1353" t="str">
        <f t="shared" si="42"/>
        <v>COCERealizado</v>
      </c>
      <c r="B1353" t="str">
        <f t="shared" si="43"/>
        <v>COCERealizadoSet-2022</v>
      </c>
      <c r="C1353" t="s">
        <v>428</v>
      </c>
      <c r="D1353" t="s">
        <v>429</v>
      </c>
      <c r="E1353" t="s">
        <v>413</v>
      </c>
      <c r="F1353" t="s">
        <v>740</v>
      </c>
      <c r="G1353" t="s">
        <v>741</v>
      </c>
      <c r="H1353" t="s">
        <v>742</v>
      </c>
      <c r="I1353" t="s">
        <v>700</v>
      </c>
      <c r="J1353" t="s">
        <v>743</v>
      </c>
      <c r="K1353" s="1">
        <v>44834</v>
      </c>
      <c r="L1353">
        <v>80358</v>
      </c>
      <c r="M1353">
        <v>12456935</v>
      </c>
      <c r="N1353">
        <v>3283555</v>
      </c>
      <c r="O1353">
        <v>1825301</v>
      </c>
      <c r="P1353">
        <v>-12456935</v>
      </c>
      <c r="Q1353">
        <v>-4065042</v>
      </c>
      <c r="R1353">
        <v>49496</v>
      </c>
      <c r="S1353">
        <v>210052</v>
      </c>
      <c r="T1353">
        <v>1912036</v>
      </c>
      <c r="U1353">
        <v>3710517</v>
      </c>
      <c r="V1353">
        <v>2202772</v>
      </c>
    </row>
    <row r="1354" spans="1:22" x14ac:dyDescent="0.3">
      <c r="A1354" t="str">
        <f t="shared" si="42"/>
        <v>CSRNRealizado</v>
      </c>
      <c r="B1354" t="str">
        <f t="shared" si="43"/>
        <v>CSRNRealizadoSet-2022</v>
      </c>
      <c r="C1354" t="s">
        <v>430</v>
      </c>
      <c r="D1354" t="s">
        <v>431</v>
      </c>
      <c r="E1354" t="s">
        <v>413</v>
      </c>
      <c r="F1354" t="s">
        <v>740</v>
      </c>
      <c r="G1354" t="s">
        <v>741</v>
      </c>
      <c r="H1354" t="s">
        <v>742</v>
      </c>
      <c r="I1354" t="s">
        <v>701</v>
      </c>
      <c r="J1354" t="s">
        <v>745</v>
      </c>
      <c r="K1354" s="1">
        <v>44834</v>
      </c>
      <c r="L1354">
        <v>101000</v>
      </c>
      <c r="M1354">
        <v>5648000</v>
      </c>
      <c r="N1354">
        <v>1657000</v>
      </c>
      <c r="O1354">
        <v>582000</v>
      </c>
      <c r="P1354">
        <v>-5648000</v>
      </c>
      <c r="Q1354">
        <v>-1478000</v>
      </c>
      <c r="R1354">
        <v>35000</v>
      </c>
      <c r="S1354">
        <v>12000</v>
      </c>
      <c r="T1354">
        <v>443000</v>
      </c>
      <c r="U1354">
        <v>1274000</v>
      </c>
      <c r="V1354">
        <v>825000</v>
      </c>
    </row>
    <row r="1355" spans="1:22" x14ac:dyDescent="0.3">
      <c r="A1355" t="str">
        <f t="shared" si="42"/>
        <v>CEEDRealizado</v>
      </c>
      <c r="B1355" t="str">
        <f t="shared" si="43"/>
        <v>CEEDRealizadoSet-2022</v>
      </c>
      <c r="C1355" t="s">
        <v>462</v>
      </c>
      <c r="D1355" t="s">
        <v>463</v>
      </c>
      <c r="E1355" t="s">
        <v>413</v>
      </c>
      <c r="F1355" t="s">
        <v>740</v>
      </c>
      <c r="G1355" t="s">
        <v>741</v>
      </c>
      <c r="H1355" t="s">
        <v>742</v>
      </c>
      <c r="I1355" t="s">
        <v>744</v>
      </c>
      <c r="J1355" t="s">
        <v>743</v>
      </c>
      <c r="K1355" s="1">
        <v>44834</v>
      </c>
      <c r="L1355">
        <v>-8727</v>
      </c>
      <c r="M1355">
        <v>6223304</v>
      </c>
      <c r="N1355">
        <v>2057528</v>
      </c>
      <c r="O1355">
        <v>1286102</v>
      </c>
      <c r="P1355">
        <v>-6223304</v>
      </c>
      <c r="Q1355">
        <v>-2055144</v>
      </c>
      <c r="R1355">
        <v>103222</v>
      </c>
      <c r="S1355">
        <v>276871</v>
      </c>
      <c r="T1355">
        <v>0</v>
      </c>
      <c r="U1355">
        <v>-2772017</v>
      </c>
      <c r="V1355">
        <v>1223883</v>
      </c>
    </row>
    <row r="1356" spans="1:22" x14ac:dyDescent="0.3">
      <c r="A1356" t="str">
        <f t="shared" si="42"/>
        <v>EEELRealizado</v>
      </c>
      <c r="B1356" t="str">
        <f t="shared" si="43"/>
        <v>EEELRealizadoSet-2022</v>
      </c>
      <c r="C1356" t="s">
        <v>432</v>
      </c>
      <c r="D1356" t="s">
        <v>433</v>
      </c>
      <c r="E1356" t="s">
        <v>413</v>
      </c>
      <c r="F1356" t="s">
        <v>740</v>
      </c>
      <c r="G1356" t="s">
        <v>741</v>
      </c>
      <c r="H1356" t="s">
        <v>742</v>
      </c>
      <c r="I1356" t="s">
        <v>701</v>
      </c>
      <c r="J1356" t="s">
        <v>745</v>
      </c>
      <c r="K1356" s="1">
        <v>44834</v>
      </c>
      <c r="L1356">
        <v>167689</v>
      </c>
      <c r="M1356">
        <v>4055744</v>
      </c>
      <c r="N1356">
        <v>1089128</v>
      </c>
      <c r="O1356">
        <v>632588</v>
      </c>
      <c r="P1356">
        <v>-4055744</v>
      </c>
      <c r="Q1356">
        <v>-380203</v>
      </c>
      <c r="R1356">
        <v>21932</v>
      </c>
      <c r="S1356">
        <v>39974</v>
      </c>
      <c r="T1356">
        <v>421458</v>
      </c>
      <c r="U1356">
        <v>1301403</v>
      </c>
      <c r="V1356">
        <v>379283</v>
      </c>
    </row>
    <row r="1357" spans="1:22" x14ac:dyDescent="0.3">
      <c r="A1357" t="str">
        <f t="shared" si="42"/>
        <v>CPLERealizado</v>
      </c>
      <c r="B1357" t="str">
        <f t="shared" si="43"/>
        <v>CPLERealizadoSet-2022</v>
      </c>
      <c r="C1357" t="s">
        <v>460</v>
      </c>
      <c r="D1357" t="s">
        <v>461</v>
      </c>
      <c r="E1357" t="s">
        <v>413</v>
      </c>
      <c r="F1357" t="s">
        <v>740</v>
      </c>
      <c r="G1357" t="s">
        <v>741</v>
      </c>
      <c r="H1357" t="s">
        <v>742</v>
      </c>
      <c r="I1357" t="s">
        <v>700</v>
      </c>
      <c r="J1357" t="s">
        <v>743</v>
      </c>
      <c r="K1357" s="1">
        <v>44834</v>
      </c>
      <c r="L1357">
        <v>362912</v>
      </c>
      <c r="M1357">
        <v>21442819</v>
      </c>
      <c r="N1357">
        <v>549774</v>
      </c>
      <c r="O1357">
        <v>414574</v>
      </c>
      <c r="P1357">
        <v>-21442819</v>
      </c>
      <c r="Q1357">
        <v>-36097</v>
      </c>
      <c r="R1357">
        <v>8152</v>
      </c>
      <c r="S1357">
        <v>8228</v>
      </c>
      <c r="T1357">
        <v>9242179</v>
      </c>
      <c r="U1357">
        <v>20969719</v>
      </c>
      <c r="V1357">
        <v>0</v>
      </c>
    </row>
    <row r="1358" spans="1:22" x14ac:dyDescent="0.3">
      <c r="A1358" t="str">
        <f t="shared" si="42"/>
        <v>TRPLRealizado</v>
      </c>
      <c r="B1358" t="str">
        <f t="shared" si="43"/>
        <v>TRPLRealizadoSet-2022</v>
      </c>
      <c r="C1358" t="s">
        <v>434</v>
      </c>
      <c r="D1358" t="s">
        <v>435</v>
      </c>
      <c r="E1358" t="s">
        <v>413</v>
      </c>
      <c r="F1358" t="s">
        <v>740</v>
      </c>
      <c r="G1358" t="s">
        <v>741</v>
      </c>
      <c r="H1358" t="s">
        <v>742</v>
      </c>
      <c r="I1358" t="s">
        <v>700</v>
      </c>
      <c r="J1358" t="s">
        <v>743</v>
      </c>
      <c r="K1358" s="1">
        <v>44834</v>
      </c>
      <c r="L1358">
        <v>476937</v>
      </c>
      <c r="M1358">
        <v>30947804</v>
      </c>
      <c r="N1358">
        <v>3706937</v>
      </c>
      <c r="O1358">
        <v>17942663</v>
      </c>
      <c r="P1358">
        <v>-30947804</v>
      </c>
      <c r="Q1358">
        <v>-779793</v>
      </c>
      <c r="R1358">
        <v>0</v>
      </c>
      <c r="S1358">
        <v>246551</v>
      </c>
      <c r="T1358">
        <v>11045897</v>
      </c>
      <c r="U1358">
        <v>16073673</v>
      </c>
      <c r="V1358">
        <v>860524</v>
      </c>
    </row>
    <row r="1359" spans="1:22" x14ac:dyDescent="0.3">
      <c r="A1359" t="str">
        <f t="shared" si="42"/>
        <v>ENBRRealizado</v>
      </c>
      <c r="B1359" t="str">
        <f t="shared" si="43"/>
        <v>ENBRRealizadoSet-2022</v>
      </c>
      <c r="C1359" t="s">
        <v>436</v>
      </c>
      <c r="D1359" t="s">
        <v>437</v>
      </c>
      <c r="E1359" t="s">
        <v>413</v>
      </c>
      <c r="F1359" t="s">
        <v>740</v>
      </c>
      <c r="G1359" t="s">
        <v>741</v>
      </c>
      <c r="H1359" t="s">
        <v>742</v>
      </c>
      <c r="I1359" t="s">
        <v>700</v>
      </c>
      <c r="J1359" t="s">
        <v>743</v>
      </c>
      <c r="K1359" s="1">
        <v>44834</v>
      </c>
      <c r="L1359">
        <v>514435</v>
      </c>
      <c r="M1359">
        <v>12212604</v>
      </c>
      <c r="N1359">
        <v>1219563</v>
      </c>
      <c r="O1359">
        <v>341774</v>
      </c>
      <c r="P1359">
        <v>-12212604</v>
      </c>
      <c r="Q1359">
        <v>-148463</v>
      </c>
      <c r="R1359">
        <v>0</v>
      </c>
      <c r="S1359">
        <v>28262</v>
      </c>
      <c r="T1359">
        <v>5583748</v>
      </c>
      <c r="U1359">
        <v>11781028</v>
      </c>
      <c r="V1359">
        <v>742</v>
      </c>
    </row>
    <row r="1360" spans="1:22" x14ac:dyDescent="0.3">
      <c r="A1360" t="str">
        <f t="shared" si="42"/>
        <v>EKTRRealizado</v>
      </c>
      <c r="B1360" t="str">
        <f t="shared" si="43"/>
        <v>EKTRRealizadoSet-2022</v>
      </c>
      <c r="C1360" t="s">
        <v>438</v>
      </c>
      <c r="D1360" t="s">
        <v>439</v>
      </c>
      <c r="E1360" t="s">
        <v>413</v>
      </c>
      <c r="F1360" t="s">
        <v>740</v>
      </c>
      <c r="G1360" t="s">
        <v>741</v>
      </c>
      <c r="H1360" t="s">
        <v>742</v>
      </c>
      <c r="I1360" t="s">
        <v>701</v>
      </c>
      <c r="J1360" t="s">
        <v>743</v>
      </c>
      <c r="K1360" s="1">
        <v>44834</v>
      </c>
      <c r="L1360">
        <v>155000</v>
      </c>
      <c r="M1360">
        <v>10348000</v>
      </c>
      <c r="N1360">
        <v>3415000</v>
      </c>
      <c r="O1360">
        <v>1770000</v>
      </c>
      <c r="P1360">
        <v>-10348000</v>
      </c>
      <c r="Q1360">
        <v>-2310000</v>
      </c>
      <c r="R1360">
        <v>93000</v>
      </c>
      <c r="S1360">
        <v>52000</v>
      </c>
      <c r="T1360">
        <v>942000</v>
      </c>
      <c r="U1360">
        <v>3041000</v>
      </c>
      <c r="V1360">
        <v>2004000</v>
      </c>
    </row>
    <row r="1361" spans="1:22" x14ac:dyDescent="0.3">
      <c r="A1361" t="str">
        <f t="shared" si="42"/>
        <v>EMAERealizado</v>
      </c>
      <c r="B1361" t="str">
        <f t="shared" si="43"/>
        <v>EMAERealizadoSet-2022</v>
      </c>
      <c r="C1361" t="s">
        <v>440</v>
      </c>
      <c r="D1361" t="s">
        <v>441</v>
      </c>
      <c r="E1361" t="s">
        <v>413</v>
      </c>
      <c r="F1361" t="s">
        <v>740</v>
      </c>
      <c r="G1361" t="s">
        <v>741</v>
      </c>
      <c r="H1361" t="s">
        <v>742</v>
      </c>
      <c r="I1361" t="s">
        <v>701</v>
      </c>
      <c r="J1361" t="s">
        <v>745</v>
      </c>
      <c r="K1361" s="1">
        <v>44834</v>
      </c>
      <c r="L1361">
        <v>18089</v>
      </c>
      <c r="M1361">
        <v>1887892</v>
      </c>
      <c r="N1361">
        <v>596348</v>
      </c>
      <c r="O1361">
        <v>53065</v>
      </c>
      <c r="P1361">
        <v>-1887892</v>
      </c>
      <c r="Q1361">
        <v>-111554</v>
      </c>
      <c r="R1361">
        <v>0</v>
      </c>
      <c r="S1361">
        <v>11006</v>
      </c>
      <c r="T1361">
        <v>319867</v>
      </c>
      <c r="U1361">
        <v>927120</v>
      </c>
      <c r="V1361">
        <v>123555</v>
      </c>
    </row>
    <row r="1362" spans="1:22" x14ac:dyDescent="0.3">
      <c r="A1362" t="str">
        <f t="shared" si="42"/>
        <v>ENMTRealizado</v>
      </c>
      <c r="B1362" t="str">
        <f t="shared" si="43"/>
        <v>ENMTRealizadoSet-2022</v>
      </c>
      <c r="C1362" t="s">
        <v>442</v>
      </c>
      <c r="D1362" t="s">
        <v>443</v>
      </c>
      <c r="E1362" t="s">
        <v>413</v>
      </c>
      <c r="F1362" t="s">
        <v>740</v>
      </c>
      <c r="G1362" t="s">
        <v>741</v>
      </c>
      <c r="H1362" t="s">
        <v>742</v>
      </c>
      <c r="I1362" t="s">
        <v>700</v>
      </c>
      <c r="J1362" t="s">
        <v>743</v>
      </c>
      <c r="K1362" s="1">
        <v>44834</v>
      </c>
      <c r="L1362">
        <v>223845</v>
      </c>
      <c r="M1362">
        <v>11717557</v>
      </c>
      <c r="N1362">
        <v>3262959</v>
      </c>
      <c r="O1362">
        <v>2342432</v>
      </c>
      <c r="P1362">
        <v>-11717557</v>
      </c>
      <c r="Q1362">
        <v>-2674226</v>
      </c>
      <c r="R1362">
        <v>0</v>
      </c>
      <c r="S1362">
        <v>0</v>
      </c>
      <c r="T1362">
        <v>990260</v>
      </c>
      <c r="U1362">
        <v>3395865</v>
      </c>
      <c r="V1362">
        <v>1742679</v>
      </c>
    </row>
    <row r="1363" spans="1:22" x14ac:dyDescent="0.3">
      <c r="A1363" t="str">
        <f t="shared" si="42"/>
        <v>ENEVRealizado</v>
      </c>
      <c r="B1363" t="str">
        <f t="shared" si="43"/>
        <v>ENEVRealizadoSet-2022</v>
      </c>
      <c r="C1363" t="s">
        <v>444</v>
      </c>
      <c r="D1363" t="s">
        <v>445</v>
      </c>
      <c r="E1363" t="s">
        <v>413</v>
      </c>
      <c r="F1363" t="s">
        <v>740</v>
      </c>
      <c r="G1363" t="s">
        <v>741</v>
      </c>
      <c r="H1363" t="s">
        <v>742</v>
      </c>
      <c r="I1363" t="s">
        <v>701</v>
      </c>
      <c r="J1363" t="s">
        <v>746</v>
      </c>
      <c r="K1363" s="1">
        <v>44834</v>
      </c>
      <c r="L1363">
        <v>237779</v>
      </c>
      <c r="M1363">
        <v>25357271</v>
      </c>
      <c r="N1363">
        <v>7892950</v>
      </c>
      <c r="O1363">
        <v>11783</v>
      </c>
      <c r="P1363">
        <v>-25357271</v>
      </c>
      <c r="Q1363">
        <v>-2257110</v>
      </c>
      <c r="R1363">
        <v>25444</v>
      </c>
      <c r="S1363">
        <v>56714</v>
      </c>
      <c r="T1363">
        <v>610573</v>
      </c>
      <c r="U1363">
        <v>13871682</v>
      </c>
      <c r="V1363">
        <v>249305</v>
      </c>
    </row>
    <row r="1364" spans="1:22" x14ac:dyDescent="0.3">
      <c r="A1364" t="str">
        <f t="shared" si="42"/>
        <v>EGIERealizado</v>
      </c>
      <c r="B1364" t="str">
        <f t="shared" si="43"/>
        <v>EGIERealizadoSet-2022</v>
      </c>
      <c r="C1364" t="s">
        <v>446</v>
      </c>
      <c r="D1364" t="s">
        <v>447</v>
      </c>
      <c r="E1364" t="s">
        <v>413</v>
      </c>
      <c r="F1364" t="s">
        <v>740</v>
      </c>
      <c r="G1364" t="s">
        <v>741</v>
      </c>
      <c r="H1364" t="s">
        <v>742</v>
      </c>
      <c r="I1364" t="s">
        <v>701</v>
      </c>
      <c r="J1364" t="s">
        <v>743</v>
      </c>
      <c r="K1364" s="1">
        <v>44834</v>
      </c>
      <c r="L1364">
        <v>733869</v>
      </c>
      <c r="M1364">
        <v>22961339</v>
      </c>
      <c r="N1364">
        <v>2611123</v>
      </c>
      <c r="O1364">
        <v>601993</v>
      </c>
      <c r="P1364">
        <v>-22961339</v>
      </c>
      <c r="Q1364">
        <v>-3272641</v>
      </c>
      <c r="R1364">
        <v>126445</v>
      </c>
      <c r="S1364">
        <v>3850</v>
      </c>
      <c r="T1364">
        <v>2398204</v>
      </c>
      <c r="U1364">
        <v>8044927</v>
      </c>
      <c r="V1364">
        <v>1151138</v>
      </c>
    </row>
    <row r="1365" spans="1:22" x14ac:dyDescent="0.3">
      <c r="A1365" t="str">
        <f t="shared" si="42"/>
        <v>EQTLRealizado</v>
      </c>
      <c r="B1365" t="str">
        <f t="shared" si="43"/>
        <v>EQTLRealizadoSet-2022</v>
      </c>
      <c r="C1365" t="s">
        <v>448</v>
      </c>
      <c r="D1365" t="s">
        <v>449</v>
      </c>
      <c r="E1365" t="s">
        <v>413</v>
      </c>
      <c r="F1365" t="s">
        <v>740</v>
      </c>
      <c r="G1365" t="s">
        <v>741</v>
      </c>
      <c r="H1365" t="s">
        <v>742</v>
      </c>
      <c r="I1365" t="s">
        <v>700</v>
      </c>
      <c r="J1365" t="s">
        <v>743</v>
      </c>
      <c r="K1365" s="1">
        <v>44834</v>
      </c>
      <c r="L1365">
        <v>504261</v>
      </c>
      <c r="M1365">
        <v>22046886</v>
      </c>
      <c r="N1365">
        <v>1163874</v>
      </c>
      <c r="O1365">
        <v>341888</v>
      </c>
      <c r="P1365">
        <v>-22046886</v>
      </c>
      <c r="Q1365">
        <v>-864783</v>
      </c>
      <c r="R1365">
        <v>880</v>
      </c>
      <c r="S1365">
        <v>890</v>
      </c>
      <c r="T1365">
        <v>7370153</v>
      </c>
      <c r="U1365">
        <v>16283130</v>
      </c>
      <c r="V1365">
        <v>617152</v>
      </c>
    </row>
    <row r="1366" spans="1:22" x14ac:dyDescent="0.3">
      <c r="A1366" t="str">
        <f t="shared" si="42"/>
        <v>EQPARealizado</v>
      </c>
      <c r="B1366" t="str">
        <f t="shared" si="43"/>
        <v>EQPARealizadoSet-2022</v>
      </c>
      <c r="C1366" t="s">
        <v>450</v>
      </c>
      <c r="D1366" t="s">
        <v>451</v>
      </c>
      <c r="E1366" t="s">
        <v>413</v>
      </c>
      <c r="F1366" t="s">
        <v>740</v>
      </c>
      <c r="G1366" t="s">
        <v>741</v>
      </c>
      <c r="H1366" t="s">
        <v>742</v>
      </c>
      <c r="I1366" t="s">
        <v>700</v>
      </c>
      <c r="J1366" t="s">
        <v>743</v>
      </c>
      <c r="K1366" s="1">
        <v>44834</v>
      </c>
      <c r="L1366">
        <v>368115</v>
      </c>
      <c r="M1366">
        <v>12708405</v>
      </c>
      <c r="N1366">
        <v>4691950</v>
      </c>
      <c r="O1366">
        <v>2069159</v>
      </c>
      <c r="P1366">
        <v>-12708405</v>
      </c>
      <c r="Q1366">
        <v>-3008198</v>
      </c>
      <c r="R1366">
        <v>22514</v>
      </c>
      <c r="S1366">
        <v>656508</v>
      </c>
      <c r="T1366">
        <v>1565853</v>
      </c>
      <c r="U1366">
        <v>4349989</v>
      </c>
      <c r="V1366">
        <v>2060665</v>
      </c>
    </row>
    <row r="1367" spans="1:22" x14ac:dyDescent="0.3">
      <c r="A1367" t="str">
        <f t="shared" si="42"/>
        <v>REDERealizado</v>
      </c>
      <c r="B1367" t="str">
        <f t="shared" si="43"/>
        <v>REDERealizadoSet-2022</v>
      </c>
      <c r="C1367" t="s">
        <v>452</v>
      </c>
      <c r="D1367" t="s">
        <v>453</v>
      </c>
      <c r="E1367" t="s">
        <v>413</v>
      </c>
      <c r="F1367" t="s">
        <v>740</v>
      </c>
      <c r="G1367" t="s">
        <v>741</v>
      </c>
      <c r="H1367" t="s">
        <v>742</v>
      </c>
      <c r="I1367" t="s">
        <v>701</v>
      </c>
      <c r="J1367" t="s">
        <v>745</v>
      </c>
      <c r="K1367" s="1">
        <v>44834</v>
      </c>
      <c r="L1367">
        <v>311053</v>
      </c>
      <c r="M1367">
        <v>5296378</v>
      </c>
      <c r="N1367">
        <v>360175</v>
      </c>
      <c r="O1367">
        <v>0</v>
      </c>
      <c r="P1367">
        <v>-5296378</v>
      </c>
      <c r="Q1367">
        <v>-5835</v>
      </c>
      <c r="R1367">
        <v>0</v>
      </c>
      <c r="S1367">
        <v>0</v>
      </c>
      <c r="T1367">
        <v>204673</v>
      </c>
      <c r="U1367">
        <v>4202198</v>
      </c>
      <c r="V1367">
        <v>316700</v>
      </c>
    </row>
    <row r="1368" spans="1:22" x14ac:dyDescent="0.3">
      <c r="A1368" t="str">
        <f t="shared" si="42"/>
        <v>RNEWRealizado</v>
      </c>
      <c r="B1368" t="str">
        <f t="shared" si="43"/>
        <v>RNEWRealizadoSet-2022</v>
      </c>
      <c r="C1368" t="s">
        <v>458</v>
      </c>
      <c r="D1368" t="s">
        <v>459</v>
      </c>
      <c r="E1368" t="s">
        <v>413</v>
      </c>
      <c r="F1368" t="s">
        <v>740</v>
      </c>
      <c r="G1368" t="s">
        <v>741</v>
      </c>
      <c r="H1368" t="s">
        <v>742</v>
      </c>
      <c r="I1368" t="s">
        <v>700</v>
      </c>
      <c r="J1368" t="s">
        <v>743</v>
      </c>
      <c r="K1368" s="1">
        <v>44834</v>
      </c>
      <c r="L1368">
        <v>-17260</v>
      </c>
      <c r="M1368">
        <v>907889</v>
      </c>
      <c r="N1368">
        <v>234798</v>
      </c>
      <c r="O1368">
        <v>0</v>
      </c>
      <c r="P1368">
        <v>-907889</v>
      </c>
      <c r="Q1368">
        <v>-171392</v>
      </c>
      <c r="R1368">
        <v>6919</v>
      </c>
      <c r="S1368">
        <v>4554</v>
      </c>
      <c r="T1368">
        <v>0</v>
      </c>
      <c r="U1368">
        <v>160679</v>
      </c>
      <c r="V1368">
        <v>7331</v>
      </c>
    </row>
    <row r="1369" spans="1:22" x14ac:dyDescent="0.3">
      <c r="A1369" t="str">
        <f t="shared" si="42"/>
        <v>GEPARealizado</v>
      </c>
      <c r="B1369" t="str">
        <f t="shared" si="43"/>
        <v>GEPARealizadoSet-2022</v>
      </c>
      <c r="C1369" t="s">
        <v>454</v>
      </c>
      <c r="D1369" t="s">
        <v>455</v>
      </c>
      <c r="E1369" t="s">
        <v>413</v>
      </c>
      <c r="F1369" t="s">
        <v>740</v>
      </c>
      <c r="G1369" t="s">
        <v>741</v>
      </c>
      <c r="H1369" t="s">
        <v>742</v>
      </c>
      <c r="I1369" t="s">
        <v>701</v>
      </c>
      <c r="J1369" t="s">
        <v>745</v>
      </c>
      <c r="K1369" s="1">
        <v>44834</v>
      </c>
      <c r="L1369">
        <v>56571</v>
      </c>
      <c r="M1369">
        <v>3755356</v>
      </c>
      <c r="N1369">
        <v>335299</v>
      </c>
      <c r="O1369">
        <v>167117</v>
      </c>
      <c r="P1369">
        <v>-3755356</v>
      </c>
      <c r="Q1369">
        <v>-821021</v>
      </c>
      <c r="R1369">
        <v>9031</v>
      </c>
      <c r="S1369">
        <v>56015</v>
      </c>
      <c r="T1369">
        <v>638925</v>
      </c>
      <c r="U1369">
        <v>2063527</v>
      </c>
      <c r="V1369">
        <v>352396</v>
      </c>
    </row>
    <row r="1370" spans="1:22" x14ac:dyDescent="0.3">
      <c r="A1370" t="str">
        <f t="shared" si="42"/>
        <v>STKFRealizado</v>
      </c>
      <c r="B1370" t="str">
        <f t="shared" si="43"/>
        <v>STKFRealizadoSet-2022</v>
      </c>
      <c r="C1370" t="s">
        <v>456</v>
      </c>
      <c r="D1370" t="s">
        <v>457</v>
      </c>
      <c r="E1370" t="s">
        <v>413</v>
      </c>
      <c r="F1370" t="s">
        <v>740</v>
      </c>
      <c r="G1370" t="s">
        <v>741</v>
      </c>
      <c r="H1370" t="s">
        <v>742</v>
      </c>
      <c r="I1370" t="s">
        <v>701</v>
      </c>
      <c r="J1370" t="s">
        <v>745</v>
      </c>
      <c r="K1370" s="1">
        <v>44834</v>
      </c>
      <c r="L1370">
        <v>74061</v>
      </c>
      <c r="M1370">
        <v>3766241</v>
      </c>
      <c r="N1370">
        <v>599267</v>
      </c>
      <c r="O1370">
        <v>41618</v>
      </c>
      <c r="P1370">
        <v>-3766241</v>
      </c>
      <c r="Q1370">
        <v>-299418</v>
      </c>
      <c r="R1370">
        <v>13097</v>
      </c>
      <c r="S1370">
        <v>3279</v>
      </c>
      <c r="T1370">
        <v>344482</v>
      </c>
      <c r="U1370">
        <v>3108716</v>
      </c>
      <c r="V1370">
        <v>72196</v>
      </c>
    </row>
    <row r="1371" spans="1:22" x14ac:dyDescent="0.3">
      <c r="A1371" t="str">
        <f t="shared" si="42"/>
        <v>BMGBRealizado</v>
      </c>
      <c r="B1371" t="str">
        <f t="shared" si="43"/>
        <v>BMGBRealizadoSet-2022</v>
      </c>
      <c r="C1371" t="s">
        <v>43</v>
      </c>
      <c r="D1371" t="s">
        <v>44</v>
      </c>
      <c r="E1371" t="s">
        <v>40</v>
      </c>
      <c r="F1371" t="s">
        <v>740</v>
      </c>
      <c r="G1371" t="s">
        <v>741</v>
      </c>
      <c r="H1371" t="s">
        <v>742</v>
      </c>
      <c r="I1371" t="s">
        <v>744</v>
      </c>
      <c r="J1371" t="s">
        <v>743</v>
      </c>
      <c r="K1371" s="1">
        <v>44834</v>
      </c>
      <c r="L1371">
        <v>53445</v>
      </c>
      <c r="M1371">
        <v>45790518</v>
      </c>
      <c r="N1371">
        <v>20528246</v>
      </c>
      <c r="O1371">
        <v>0</v>
      </c>
      <c r="P1371">
        <v>-45790518</v>
      </c>
      <c r="Q1371">
        <v>-19863540</v>
      </c>
      <c r="R1371">
        <v>0</v>
      </c>
      <c r="S1371">
        <v>0</v>
      </c>
      <c r="T1371">
        <v>426960</v>
      </c>
      <c r="U1371">
        <v>3839062</v>
      </c>
      <c r="V1371">
        <v>-386663</v>
      </c>
    </row>
    <row r="1372" spans="1:22" x14ac:dyDescent="0.3">
      <c r="A1372" t="str">
        <f t="shared" si="42"/>
        <v>BEESRealizado</v>
      </c>
      <c r="B1372" t="str">
        <f t="shared" si="43"/>
        <v>BEESRealizadoSet-2022</v>
      </c>
      <c r="C1372" t="s">
        <v>55</v>
      </c>
      <c r="D1372" t="s">
        <v>56</v>
      </c>
      <c r="E1372" t="s">
        <v>40</v>
      </c>
      <c r="F1372" t="s">
        <v>740</v>
      </c>
      <c r="G1372" t="s">
        <v>741</v>
      </c>
      <c r="H1372" t="s">
        <v>742</v>
      </c>
      <c r="I1372" t="s">
        <v>744</v>
      </c>
      <c r="J1372" t="s">
        <v>743</v>
      </c>
      <c r="K1372" s="1">
        <v>44834</v>
      </c>
      <c r="L1372">
        <v>0</v>
      </c>
      <c r="M1372">
        <v>38869646</v>
      </c>
      <c r="N1372">
        <v>0</v>
      </c>
      <c r="O1372">
        <v>0</v>
      </c>
      <c r="P1372">
        <v>-38869646</v>
      </c>
      <c r="Q1372">
        <v>0</v>
      </c>
      <c r="R1372">
        <v>0</v>
      </c>
      <c r="S1372">
        <v>0</v>
      </c>
      <c r="T1372">
        <v>350300</v>
      </c>
      <c r="U1372">
        <v>2009403</v>
      </c>
      <c r="V1372">
        <v>82513</v>
      </c>
    </row>
    <row r="1373" spans="1:22" x14ac:dyDescent="0.3">
      <c r="A1373" t="str">
        <f t="shared" si="42"/>
        <v>ABCBRealizado</v>
      </c>
      <c r="B1373" t="str">
        <f t="shared" si="43"/>
        <v>ABCBRealizadoSet-2022</v>
      </c>
      <c r="C1373" t="s">
        <v>57</v>
      </c>
      <c r="D1373" t="s">
        <v>58</v>
      </c>
      <c r="E1373" t="s">
        <v>40</v>
      </c>
      <c r="F1373" t="s">
        <v>740</v>
      </c>
      <c r="G1373" t="s">
        <v>741</v>
      </c>
      <c r="H1373" t="s">
        <v>742</v>
      </c>
      <c r="I1373" t="s">
        <v>744</v>
      </c>
      <c r="J1373" t="s">
        <v>743</v>
      </c>
      <c r="K1373" s="1">
        <v>44834</v>
      </c>
      <c r="L1373">
        <v>0</v>
      </c>
      <c r="M1373">
        <v>52140478</v>
      </c>
      <c r="N1373">
        <v>0</v>
      </c>
      <c r="O1373">
        <v>0</v>
      </c>
      <c r="P1373">
        <v>-52140478</v>
      </c>
      <c r="Q1373">
        <v>0</v>
      </c>
      <c r="R1373">
        <v>0</v>
      </c>
      <c r="S1373">
        <v>0</v>
      </c>
      <c r="T1373">
        <v>445763</v>
      </c>
      <c r="U1373">
        <v>5070725</v>
      </c>
      <c r="V1373">
        <v>118020</v>
      </c>
    </row>
    <row r="1374" spans="1:22" x14ac:dyDescent="0.3">
      <c r="A1374" t="str">
        <f t="shared" si="42"/>
        <v>BRIVRealizado</v>
      </c>
      <c r="B1374" t="str">
        <f t="shared" si="43"/>
        <v>BRIVRealizadoSet-2022</v>
      </c>
      <c r="C1374" t="s">
        <v>59</v>
      </c>
      <c r="D1374" t="s">
        <v>60</v>
      </c>
      <c r="E1374" t="s">
        <v>40</v>
      </c>
      <c r="F1374" t="s">
        <v>740</v>
      </c>
      <c r="G1374" t="s">
        <v>741</v>
      </c>
      <c r="H1374" t="s">
        <v>742</v>
      </c>
      <c r="I1374" t="s">
        <v>744</v>
      </c>
      <c r="J1374" t="s">
        <v>743</v>
      </c>
      <c r="K1374" s="1">
        <v>44834</v>
      </c>
      <c r="L1374">
        <v>0</v>
      </c>
      <c r="M1374">
        <v>26564786</v>
      </c>
      <c r="N1374">
        <v>0</v>
      </c>
      <c r="O1374">
        <v>0</v>
      </c>
      <c r="P1374">
        <v>-26564786</v>
      </c>
      <c r="Q1374">
        <v>0</v>
      </c>
      <c r="R1374">
        <v>0</v>
      </c>
      <c r="S1374">
        <v>0</v>
      </c>
      <c r="T1374">
        <v>848205</v>
      </c>
      <c r="U1374">
        <v>1676116</v>
      </c>
      <c r="V1374">
        <v>20247</v>
      </c>
    </row>
    <row r="1375" spans="1:22" x14ac:dyDescent="0.3">
      <c r="A1375" t="str">
        <f t="shared" si="42"/>
        <v>BAZARealizado</v>
      </c>
      <c r="B1375" t="str">
        <f t="shared" si="43"/>
        <v>BAZARealizadoSet-2022</v>
      </c>
      <c r="C1375" t="s">
        <v>61</v>
      </c>
      <c r="D1375" t="s">
        <v>62</v>
      </c>
      <c r="E1375" t="s">
        <v>40</v>
      </c>
      <c r="F1375" t="s">
        <v>740</v>
      </c>
      <c r="G1375" t="s">
        <v>741</v>
      </c>
      <c r="H1375" t="s">
        <v>742</v>
      </c>
      <c r="I1375" t="s">
        <v>744</v>
      </c>
      <c r="J1375" t="s">
        <v>743</v>
      </c>
      <c r="K1375" s="1">
        <v>44834</v>
      </c>
      <c r="L1375">
        <v>0</v>
      </c>
      <c r="M1375">
        <v>33975030</v>
      </c>
      <c r="N1375">
        <v>0</v>
      </c>
      <c r="O1375">
        <v>0</v>
      </c>
      <c r="P1375">
        <v>-33975030</v>
      </c>
      <c r="Q1375">
        <v>0</v>
      </c>
      <c r="R1375">
        <v>0</v>
      </c>
      <c r="S1375">
        <v>0</v>
      </c>
      <c r="T1375">
        <v>1314588</v>
      </c>
      <c r="U1375">
        <v>4881812</v>
      </c>
      <c r="V1375">
        <v>251455</v>
      </c>
    </row>
    <row r="1376" spans="1:22" x14ac:dyDescent="0.3">
      <c r="A1376" t="str">
        <f t="shared" si="42"/>
        <v>BBDCRealizado</v>
      </c>
      <c r="B1376" t="str">
        <f t="shared" si="43"/>
        <v>BBDCRealizadoSet-2022</v>
      </c>
      <c r="C1376" t="s">
        <v>63</v>
      </c>
      <c r="D1376" t="s">
        <v>64</v>
      </c>
      <c r="E1376" t="s">
        <v>40</v>
      </c>
      <c r="F1376" t="s">
        <v>740</v>
      </c>
      <c r="G1376" t="s">
        <v>741</v>
      </c>
      <c r="H1376" t="s">
        <v>742</v>
      </c>
      <c r="I1376" t="s">
        <v>701</v>
      </c>
      <c r="J1376" t="s">
        <v>743</v>
      </c>
      <c r="K1376" s="1">
        <v>44834</v>
      </c>
      <c r="L1376">
        <v>0</v>
      </c>
      <c r="M1376">
        <v>1571322962</v>
      </c>
      <c r="N1376">
        <v>0</v>
      </c>
      <c r="O1376">
        <v>0</v>
      </c>
      <c r="P1376">
        <v>-1571322962</v>
      </c>
      <c r="Q1376">
        <v>0</v>
      </c>
      <c r="R1376">
        <v>0</v>
      </c>
      <c r="S1376">
        <v>0</v>
      </c>
      <c r="T1376">
        <v>74888763</v>
      </c>
      <c r="U1376">
        <v>156884124</v>
      </c>
      <c r="V1376">
        <v>5379715</v>
      </c>
    </row>
    <row r="1377" spans="1:22" x14ac:dyDescent="0.3">
      <c r="A1377" t="str">
        <f t="shared" si="42"/>
        <v>BBASRealizado</v>
      </c>
      <c r="B1377" t="str">
        <f t="shared" si="43"/>
        <v>BBASRealizadoSet-2022</v>
      </c>
      <c r="C1377" t="s">
        <v>65</v>
      </c>
      <c r="D1377" t="s">
        <v>66</v>
      </c>
      <c r="E1377" t="s">
        <v>40</v>
      </c>
      <c r="F1377" t="s">
        <v>740</v>
      </c>
      <c r="G1377" t="s">
        <v>741</v>
      </c>
      <c r="H1377" t="s">
        <v>742</v>
      </c>
      <c r="I1377" t="s">
        <v>701</v>
      </c>
      <c r="J1377" t="s">
        <v>743</v>
      </c>
      <c r="K1377" s="1">
        <v>44834</v>
      </c>
      <c r="L1377">
        <v>0</v>
      </c>
      <c r="M1377">
        <v>2187760894</v>
      </c>
      <c r="N1377">
        <v>0</v>
      </c>
      <c r="O1377">
        <v>0</v>
      </c>
      <c r="P1377">
        <v>-2187760894</v>
      </c>
      <c r="Q1377">
        <v>0</v>
      </c>
      <c r="R1377">
        <v>0</v>
      </c>
      <c r="S1377">
        <v>0</v>
      </c>
      <c r="T1377">
        <v>56891824</v>
      </c>
      <c r="U1377">
        <v>147128770</v>
      </c>
      <c r="V1377">
        <v>5366354</v>
      </c>
    </row>
    <row r="1378" spans="1:22" x14ac:dyDescent="0.3">
      <c r="A1378" t="str">
        <f t="shared" si="42"/>
        <v>BPACRealizado</v>
      </c>
      <c r="B1378" t="str">
        <f t="shared" si="43"/>
        <v>BPACRealizadoSet-2022</v>
      </c>
      <c r="C1378" t="s">
        <v>38</v>
      </c>
      <c r="D1378" t="s">
        <v>39</v>
      </c>
      <c r="E1378" t="s">
        <v>40</v>
      </c>
      <c r="F1378" t="s">
        <v>740</v>
      </c>
      <c r="G1378" t="s">
        <v>741</v>
      </c>
      <c r="H1378" t="s">
        <v>742</v>
      </c>
      <c r="I1378" t="s">
        <v>700</v>
      </c>
      <c r="J1378" t="s">
        <v>745</v>
      </c>
      <c r="K1378" s="1">
        <v>44834</v>
      </c>
      <c r="L1378">
        <v>2187661</v>
      </c>
      <c r="M1378">
        <v>368817598</v>
      </c>
      <c r="N1378">
        <v>339788148</v>
      </c>
      <c r="O1378">
        <v>0</v>
      </c>
      <c r="P1378">
        <v>-368817598</v>
      </c>
      <c r="Q1378">
        <v>-326555645</v>
      </c>
      <c r="R1378">
        <v>0</v>
      </c>
      <c r="S1378">
        <v>0</v>
      </c>
      <c r="T1378">
        <v>19590061</v>
      </c>
      <c r="U1378">
        <v>42261953</v>
      </c>
      <c r="V1378">
        <v>342134</v>
      </c>
    </row>
    <row r="1379" spans="1:22" x14ac:dyDescent="0.3">
      <c r="A1379" t="str">
        <f t="shared" si="42"/>
        <v>BGIPRealizado</v>
      </c>
      <c r="B1379" t="str">
        <f t="shared" si="43"/>
        <v>BGIPRealizadoSet-2022</v>
      </c>
      <c r="C1379" t="s">
        <v>45</v>
      </c>
      <c r="D1379" t="s">
        <v>46</v>
      </c>
      <c r="E1379" t="s">
        <v>40</v>
      </c>
      <c r="F1379" t="s">
        <v>740</v>
      </c>
      <c r="G1379" t="s">
        <v>741</v>
      </c>
      <c r="H1379" t="s">
        <v>742</v>
      </c>
      <c r="I1379" t="s">
        <v>744</v>
      </c>
      <c r="J1379" t="s">
        <v>743</v>
      </c>
      <c r="K1379" s="1">
        <v>44834</v>
      </c>
      <c r="L1379">
        <v>3047</v>
      </c>
      <c r="M1379">
        <v>8055549</v>
      </c>
      <c r="N1379">
        <v>4389913</v>
      </c>
      <c r="O1379">
        <v>0</v>
      </c>
      <c r="P1379">
        <v>-8055549</v>
      </c>
      <c r="Q1379">
        <v>-5117111</v>
      </c>
      <c r="R1379">
        <v>0</v>
      </c>
      <c r="S1379">
        <v>0</v>
      </c>
      <c r="T1379">
        <v>43871</v>
      </c>
      <c r="U1379">
        <v>582335</v>
      </c>
      <c r="V1379">
        <v>-84768</v>
      </c>
    </row>
    <row r="1380" spans="1:22" x14ac:dyDescent="0.3">
      <c r="A1380" t="str">
        <f t="shared" si="42"/>
        <v>BPARRealizado</v>
      </c>
      <c r="B1380" t="str">
        <f t="shared" si="43"/>
        <v>BPARRealizadoSet-2022</v>
      </c>
      <c r="C1380" t="s">
        <v>67</v>
      </c>
      <c r="D1380" t="s">
        <v>68</v>
      </c>
      <c r="E1380" t="s">
        <v>40</v>
      </c>
      <c r="F1380" t="s">
        <v>740</v>
      </c>
      <c r="G1380" t="s">
        <v>741</v>
      </c>
      <c r="H1380" t="s">
        <v>742</v>
      </c>
      <c r="I1380" t="s">
        <v>744</v>
      </c>
      <c r="J1380" t="s">
        <v>743</v>
      </c>
      <c r="K1380" s="1">
        <v>44834</v>
      </c>
      <c r="L1380">
        <v>0</v>
      </c>
      <c r="M1380">
        <v>15280953</v>
      </c>
      <c r="N1380">
        <v>0</v>
      </c>
      <c r="O1380">
        <v>0</v>
      </c>
      <c r="P1380">
        <v>-15280953</v>
      </c>
      <c r="Q1380">
        <v>0</v>
      </c>
      <c r="R1380">
        <v>0</v>
      </c>
      <c r="S1380">
        <v>0</v>
      </c>
      <c r="T1380">
        <v>149597</v>
      </c>
      <c r="U1380">
        <v>1699347</v>
      </c>
      <c r="V1380">
        <v>48116</v>
      </c>
    </row>
    <row r="1381" spans="1:22" x14ac:dyDescent="0.3">
      <c r="A1381" t="str">
        <f t="shared" si="42"/>
        <v>BRSRRealizado</v>
      </c>
      <c r="B1381" t="str">
        <f t="shared" si="43"/>
        <v>BRSRRealizadoSet-2022</v>
      </c>
      <c r="C1381" t="s">
        <v>69</v>
      </c>
      <c r="D1381" t="s">
        <v>70</v>
      </c>
      <c r="E1381" t="s">
        <v>40</v>
      </c>
      <c r="F1381" t="s">
        <v>740</v>
      </c>
      <c r="G1381" t="s">
        <v>741</v>
      </c>
      <c r="H1381" t="s">
        <v>742</v>
      </c>
      <c r="I1381" t="s">
        <v>744</v>
      </c>
      <c r="J1381" t="s">
        <v>743</v>
      </c>
      <c r="K1381" s="1">
        <v>44834</v>
      </c>
      <c r="L1381">
        <v>0</v>
      </c>
      <c r="M1381">
        <v>112857119</v>
      </c>
      <c r="N1381">
        <v>0</v>
      </c>
      <c r="O1381">
        <v>0</v>
      </c>
      <c r="P1381">
        <v>-112857119</v>
      </c>
      <c r="Q1381">
        <v>0</v>
      </c>
      <c r="R1381">
        <v>0</v>
      </c>
      <c r="S1381">
        <v>0</v>
      </c>
      <c r="T1381">
        <v>4064466</v>
      </c>
      <c r="U1381">
        <v>9004729</v>
      </c>
      <c r="V1381">
        <v>235576</v>
      </c>
    </row>
    <row r="1382" spans="1:22" x14ac:dyDescent="0.3">
      <c r="A1382" t="str">
        <f t="shared" si="42"/>
        <v>BMINRealizado</v>
      </c>
      <c r="B1382" t="str">
        <f t="shared" si="43"/>
        <v>BMINRealizadoSet-2022</v>
      </c>
      <c r="C1382" t="s">
        <v>71</v>
      </c>
      <c r="D1382" t="s">
        <v>72</v>
      </c>
      <c r="E1382" t="s">
        <v>40</v>
      </c>
      <c r="F1382" t="s">
        <v>740</v>
      </c>
      <c r="G1382" t="s">
        <v>741</v>
      </c>
      <c r="H1382" t="s">
        <v>742</v>
      </c>
      <c r="I1382" t="s">
        <v>744</v>
      </c>
      <c r="J1382" t="s">
        <v>743</v>
      </c>
      <c r="K1382" s="1">
        <v>44834</v>
      </c>
      <c r="L1382">
        <v>0</v>
      </c>
      <c r="M1382">
        <v>272689</v>
      </c>
      <c r="N1382">
        <v>0</v>
      </c>
      <c r="O1382">
        <v>0</v>
      </c>
      <c r="P1382">
        <v>-272689</v>
      </c>
      <c r="Q1382">
        <v>0</v>
      </c>
      <c r="R1382">
        <v>0</v>
      </c>
      <c r="S1382">
        <v>0</v>
      </c>
      <c r="T1382">
        <v>33168</v>
      </c>
      <c r="U1382">
        <v>134104</v>
      </c>
      <c r="V1382">
        <v>475</v>
      </c>
    </row>
    <row r="1383" spans="1:22" x14ac:dyDescent="0.3">
      <c r="A1383" t="str">
        <f t="shared" si="42"/>
        <v>BMEBRealizado</v>
      </c>
      <c r="B1383" t="str">
        <f t="shared" si="43"/>
        <v>BMEBRealizadoSet-2022</v>
      </c>
      <c r="C1383" t="s">
        <v>73</v>
      </c>
      <c r="D1383" t="s">
        <v>74</v>
      </c>
      <c r="E1383" t="s">
        <v>40</v>
      </c>
      <c r="F1383" t="s">
        <v>740</v>
      </c>
      <c r="G1383" t="s">
        <v>741</v>
      </c>
      <c r="H1383" t="s">
        <v>742</v>
      </c>
      <c r="I1383" t="s">
        <v>744</v>
      </c>
      <c r="J1383" t="s">
        <v>743</v>
      </c>
      <c r="K1383" s="1">
        <v>44834</v>
      </c>
      <c r="L1383">
        <v>0</v>
      </c>
      <c r="M1383">
        <v>14400075</v>
      </c>
      <c r="N1383">
        <v>0</v>
      </c>
      <c r="O1383">
        <v>0</v>
      </c>
      <c r="P1383">
        <v>-14400075</v>
      </c>
      <c r="Q1383">
        <v>0</v>
      </c>
      <c r="R1383">
        <v>0</v>
      </c>
      <c r="S1383">
        <v>0</v>
      </c>
      <c r="T1383">
        <v>478002</v>
      </c>
      <c r="U1383">
        <v>1227452</v>
      </c>
      <c r="V1383">
        <v>76313</v>
      </c>
    </row>
    <row r="1384" spans="1:22" x14ac:dyDescent="0.3">
      <c r="A1384" t="str">
        <f t="shared" si="42"/>
        <v>BNBRRealizado</v>
      </c>
      <c r="B1384" t="str">
        <f t="shared" si="43"/>
        <v>BNBRRealizadoSet-2022</v>
      </c>
      <c r="C1384" t="s">
        <v>75</v>
      </c>
      <c r="D1384" t="s">
        <v>76</v>
      </c>
      <c r="E1384" t="s">
        <v>40</v>
      </c>
      <c r="F1384" t="s">
        <v>740</v>
      </c>
      <c r="G1384" t="s">
        <v>741</v>
      </c>
      <c r="H1384" t="s">
        <v>742</v>
      </c>
      <c r="I1384" t="s">
        <v>744</v>
      </c>
      <c r="J1384" t="s">
        <v>743</v>
      </c>
      <c r="K1384" s="1">
        <v>44834</v>
      </c>
      <c r="L1384">
        <v>0</v>
      </c>
      <c r="M1384">
        <v>63769068</v>
      </c>
      <c r="N1384">
        <v>0</v>
      </c>
      <c r="O1384">
        <v>0</v>
      </c>
      <c r="P1384">
        <v>-63769068</v>
      </c>
      <c r="Q1384">
        <v>0</v>
      </c>
      <c r="R1384">
        <v>0</v>
      </c>
      <c r="S1384">
        <v>0</v>
      </c>
      <c r="T1384">
        <v>1697008</v>
      </c>
      <c r="U1384">
        <v>8589190</v>
      </c>
      <c r="V1384">
        <v>775326</v>
      </c>
    </row>
    <row r="1385" spans="1:22" x14ac:dyDescent="0.3">
      <c r="A1385" t="str">
        <f t="shared" si="42"/>
        <v>BPANRealizado</v>
      </c>
      <c r="B1385" t="str">
        <f t="shared" si="43"/>
        <v>BPANRealizadoSet-2022</v>
      </c>
      <c r="C1385" t="s">
        <v>47</v>
      </c>
      <c r="D1385" t="s">
        <v>48</v>
      </c>
      <c r="E1385" t="s">
        <v>40</v>
      </c>
      <c r="F1385" t="s">
        <v>740</v>
      </c>
      <c r="G1385" t="s">
        <v>741</v>
      </c>
      <c r="H1385" t="s">
        <v>742</v>
      </c>
      <c r="I1385" t="s">
        <v>744</v>
      </c>
      <c r="J1385" t="s">
        <v>743</v>
      </c>
      <c r="K1385" s="1">
        <v>44834</v>
      </c>
      <c r="L1385">
        <v>171370</v>
      </c>
      <c r="M1385">
        <v>55785140</v>
      </c>
      <c r="N1385">
        <v>31158542</v>
      </c>
      <c r="O1385">
        <v>0</v>
      </c>
      <c r="P1385">
        <v>-55785140</v>
      </c>
      <c r="Q1385">
        <v>-28011789</v>
      </c>
      <c r="R1385">
        <v>0</v>
      </c>
      <c r="S1385">
        <v>0</v>
      </c>
      <c r="T1385">
        <v>1347622</v>
      </c>
      <c r="U1385">
        <v>7791628</v>
      </c>
      <c r="V1385">
        <v>-1704193</v>
      </c>
    </row>
    <row r="1386" spans="1:22" x14ac:dyDescent="0.3">
      <c r="A1386" t="str">
        <f t="shared" si="42"/>
        <v>PINERealizado</v>
      </c>
      <c r="B1386" t="str">
        <f t="shared" si="43"/>
        <v>PINERealizadoSet-2022</v>
      </c>
      <c r="C1386" t="s">
        <v>49</v>
      </c>
      <c r="D1386" t="s">
        <v>50</v>
      </c>
      <c r="E1386" t="s">
        <v>40</v>
      </c>
      <c r="F1386" t="s">
        <v>740</v>
      </c>
      <c r="G1386" t="s">
        <v>741</v>
      </c>
      <c r="H1386" t="s">
        <v>742</v>
      </c>
      <c r="I1386" t="s">
        <v>744</v>
      </c>
      <c r="J1386" t="s">
        <v>743</v>
      </c>
      <c r="K1386" s="1">
        <v>44834</v>
      </c>
      <c r="L1386">
        <v>12213</v>
      </c>
      <c r="M1386">
        <v>15112910</v>
      </c>
      <c r="N1386">
        <v>3516835</v>
      </c>
      <c r="O1386">
        <v>0</v>
      </c>
      <c r="P1386">
        <v>-15112910</v>
      </c>
      <c r="Q1386">
        <v>-6165074</v>
      </c>
      <c r="R1386">
        <v>0</v>
      </c>
      <c r="S1386">
        <v>0</v>
      </c>
      <c r="T1386">
        <v>0</v>
      </c>
      <c r="U1386">
        <v>857607</v>
      </c>
      <c r="V1386">
        <v>-30556</v>
      </c>
    </row>
    <row r="1387" spans="1:22" x14ac:dyDescent="0.3">
      <c r="A1387" t="str">
        <f t="shared" si="42"/>
        <v>SANBRealizado</v>
      </c>
      <c r="B1387" t="str">
        <f t="shared" si="43"/>
        <v>SANBRealizadoSet-2022</v>
      </c>
      <c r="C1387" t="s">
        <v>51</v>
      </c>
      <c r="D1387" t="s">
        <v>52</v>
      </c>
      <c r="E1387" t="s">
        <v>40</v>
      </c>
      <c r="F1387" t="s">
        <v>740</v>
      </c>
      <c r="G1387" t="s">
        <v>741</v>
      </c>
      <c r="H1387" t="s">
        <v>742</v>
      </c>
      <c r="I1387" t="s">
        <v>700</v>
      </c>
      <c r="J1387" t="s">
        <v>743</v>
      </c>
      <c r="K1387" s="1">
        <v>44834</v>
      </c>
      <c r="L1387">
        <v>3033161</v>
      </c>
      <c r="M1387">
        <v>1021825556</v>
      </c>
      <c r="N1387">
        <v>576825931</v>
      </c>
      <c r="O1387">
        <v>0</v>
      </c>
      <c r="P1387">
        <v>-1021825556</v>
      </c>
      <c r="Q1387">
        <v>-627385020</v>
      </c>
      <c r="R1387">
        <v>0</v>
      </c>
      <c r="S1387">
        <v>0</v>
      </c>
      <c r="T1387">
        <v>29936263</v>
      </c>
      <c r="U1387">
        <v>82397289</v>
      </c>
      <c r="V1387">
        <v>-365726</v>
      </c>
    </row>
    <row r="1388" spans="1:22" x14ac:dyDescent="0.3">
      <c r="A1388" t="str">
        <f t="shared" si="42"/>
        <v>BSLIRealizado</v>
      </c>
      <c r="B1388" t="str">
        <f t="shared" si="43"/>
        <v>BSLIRealizadoSet-2022</v>
      </c>
      <c r="C1388" t="s">
        <v>77</v>
      </c>
      <c r="D1388" t="s">
        <v>78</v>
      </c>
      <c r="E1388" t="s">
        <v>40</v>
      </c>
      <c r="F1388" t="s">
        <v>740</v>
      </c>
      <c r="G1388" t="s">
        <v>741</v>
      </c>
      <c r="H1388" t="s">
        <v>742</v>
      </c>
      <c r="I1388" t="s">
        <v>744</v>
      </c>
      <c r="J1388" t="s">
        <v>743</v>
      </c>
      <c r="K1388" s="1">
        <v>44834</v>
      </c>
      <c r="L1388">
        <v>0</v>
      </c>
      <c r="M1388">
        <v>38922484</v>
      </c>
      <c r="N1388">
        <v>0</v>
      </c>
      <c r="O1388">
        <v>0</v>
      </c>
      <c r="P1388">
        <v>-38922484</v>
      </c>
      <c r="Q1388">
        <v>0</v>
      </c>
      <c r="R1388">
        <v>0</v>
      </c>
      <c r="S1388">
        <v>0</v>
      </c>
      <c r="T1388">
        <v>1056424</v>
      </c>
      <c r="U1388">
        <v>2131886</v>
      </c>
      <c r="V1388">
        <v>74593</v>
      </c>
    </row>
    <row r="1389" spans="1:22" x14ac:dyDescent="0.3">
      <c r="A1389" t="str">
        <f t="shared" si="42"/>
        <v>MERCRealizado</v>
      </c>
      <c r="B1389" t="str">
        <f t="shared" si="43"/>
        <v>MERCRealizadoSet-2022</v>
      </c>
      <c r="C1389" t="s">
        <v>81</v>
      </c>
      <c r="D1389" t="s">
        <v>82</v>
      </c>
      <c r="E1389" t="s">
        <v>40</v>
      </c>
      <c r="F1389" t="s">
        <v>740</v>
      </c>
      <c r="G1389" t="s">
        <v>741</v>
      </c>
      <c r="H1389" t="s">
        <v>742</v>
      </c>
      <c r="I1389" t="s">
        <v>744</v>
      </c>
      <c r="J1389" t="s">
        <v>743</v>
      </c>
      <c r="K1389" s="1">
        <v>44834</v>
      </c>
      <c r="L1389">
        <v>0</v>
      </c>
      <c r="M1389">
        <v>312367</v>
      </c>
      <c r="N1389">
        <v>0</v>
      </c>
      <c r="O1389">
        <v>0</v>
      </c>
      <c r="P1389">
        <v>-312367</v>
      </c>
      <c r="Q1389">
        <v>0</v>
      </c>
      <c r="R1389">
        <v>0</v>
      </c>
      <c r="S1389">
        <v>0</v>
      </c>
      <c r="T1389">
        <v>115804</v>
      </c>
      <c r="U1389">
        <v>251336</v>
      </c>
      <c r="V1389">
        <v>0</v>
      </c>
    </row>
    <row r="1390" spans="1:22" x14ac:dyDescent="0.3">
      <c r="A1390" t="str">
        <f t="shared" si="42"/>
        <v>FNCNRealizado</v>
      </c>
      <c r="B1390" t="str">
        <f t="shared" si="43"/>
        <v>FNCNRealizadoSet-2022</v>
      </c>
      <c r="C1390" t="s">
        <v>53</v>
      </c>
      <c r="D1390" t="s">
        <v>54</v>
      </c>
      <c r="E1390" t="s">
        <v>40</v>
      </c>
      <c r="F1390" t="s">
        <v>740</v>
      </c>
      <c r="G1390" t="s">
        <v>741</v>
      </c>
      <c r="H1390" t="s">
        <v>742</v>
      </c>
      <c r="I1390" t="s">
        <v>744</v>
      </c>
      <c r="J1390" t="s">
        <v>743</v>
      </c>
      <c r="K1390" s="1">
        <v>44834</v>
      </c>
      <c r="L1390">
        <v>4740</v>
      </c>
      <c r="M1390">
        <v>15539</v>
      </c>
      <c r="N1390">
        <v>7956</v>
      </c>
      <c r="O1390">
        <v>0</v>
      </c>
      <c r="P1390">
        <v>-15539</v>
      </c>
      <c r="Q1390">
        <v>-1601</v>
      </c>
      <c r="R1390">
        <v>0</v>
      </c>
      <c r="S1390">
        <v>0</v>
      </c>
      <c r="T1390">
        <v>-45</v>
      </c>
      <c r="U1390">
        <v>13938</v>
      </c>
      <c r="V1390">
        <v>-1041</v>
      </c>
    </row>
    <row r="1391" spans="1:22" x14ac:dyDescent="0.3">
      <c r="A1391" t="str">
        <f t="shared" si="42"/>
        <v>CRIVRealizado</v>
      </c>
      <c r="B1391" t="str">
        <f t="shared" si="43"/>
        <v>CRIVRealizadoSet-2022</v>
      </c>
      <c r="C1391" t="s">
        <v>79</v>
      </c>
      <c r="D1391" t="s">
        <v>80</v>
      </c>
      <c r="E1391" t="s">
        <v>40</v>
      </c>
      <c r="F1391" t="s">
        <v>740</v>
      </c>
      <c r="G1391" t="s">
        <v>741</v>
      </c>
      <c r="H1391" t="s">
        <v>742</v>
      </c>
      <c r="I1391" t="s">
        <v>744</v>
      </c>
      <c r="J1391" t="s">
        <v>743</v>
      </c>
      <c r="K1391" s="1">
        <v>44834</v>
      </c>
      <c r="L1391">
        <v>0</v>
      </c>
      <c r="M1391">
        <v>9529014</v>
      </c>
      <c r="N1391">
        <v>0</v>
      </c>
      <c r="O1391">
        <v>0</v>
      </c>
      <c r="P1391">
        <v>-9529014</v>
      </c>
      <c r="Q1391">
        <v>0</v>
      </c>
      <c r="R1391">
        <v>0</v>
      </c>
      <c r="S1391">
        <v>0</v>
      </c>
      <c r="T1391">
        <v>534458</v>
      </c>
      <c r="U1391">
        <v>1057518</v>
      </c>
      <c r="V1391">
        <v>17528</v>
      </c>
    </row>
    <row r="1392" spans="1:22" x14ac:dyDescent="0.3">
      <c r="A1392" t="str">
        <f t="shared" si="42"/>
        <v>FIGERealizado</v>
      </c>
      <c r="B1392" t="str">
        <f t="shared" si="43"/>
        <v>FIGERealizadoSet-2022</v>
      </c>
      <c r="C1392" t="s">
        <v>83</v>
      </c>
      <c r="D1392" t="s">
        <v>84</v>
      </c>
      <c r="E1392" t="s">
        <v>40</v>
      </c>
      <c r="F1392" t="s">
        <v>740</v>
      </c>
      <c r="G1392" t="s">
        <v>741</v>
      </c>
      <c r="H1392" t="s">
        <v>742</v>
      </c>
      <c r="I1392" t="s">
        <v>744</v>
      </c>
      <c r="J1392" t="s">
        <v>743</v>
      </c>
      <c r="K1392" s="1">
        <v>44834</v>
      </c>
      <c r="L1392">
        <v>0</v>
      </c>
      <c r="M1392">
        <v>150530</v>
      </c>
      <c r="N1392">
        <v>0</v>
      </c>
      <c r="O1392">
        <v>0</v>
      </c>
      <c r="P1392">
        <v>-150530</v>
      </c>
      <c r="Q1392">
        <v>0</v>
      </c>
      <c r="R1392">
        <v>0</v>
      </c>
      <c r="S1392">
        <v>0</v>
      </c>
      <c r="T1392">
        <v>25366</v>
      </c>
      <c r="U1392">
        <v>148692</v>
      </c>
      <c r="V1392">
        <v>0</v>
      </c>
    </row>
    <row r="1393" spans="1:22" x14ac:dyDescent="0.3">
      <c r="A1393" t="str">
        <f t="shared" si="42"/>
        <v>ITUBRealizado</v>
      </c>
      <c r="B1393" t="str">
        <f t="shared" si="43"/>
        <v>ITUBRealizadoSet-2022</v>
      </c>
      <c r="C1393" t="s">
        <v>41</v>
      </c>
      <c r="D1393" t="s">
        <v>42</v>
      </c>
      <c r="E1393" t="s">
        <v>40</v>
      </c>
      <c r="F1393" t="s">
        <v>740</v>
      </c>
      <c r="G1393" t="s">
        <v>741</v>
      </c>
      <c r="H1393" t="s">
        <v>742</v>
      </c>
      <c r="I1393" t="s">
        <v>700</v>
      </c>
      <c r="J1393" t="s">
        <v>745</v>
      </c>
      <c r="K1393" s="1">
        <v>44834</v>
      </c>
      <c r="L1393">
        <v>8136000</v>
      </c>
      <c r="M1393">
        <v>217787000</v>
      </c>
      <c r="N1393">
        <v>29797000</v>
      </c>
      <c r="O1393">
        <v>0</v>
      </c>
      <c r="P1393">
        <v>-217787000</v>
      </c>
      <c r="Q1393">
        <v>-18186000</v>
      </c>
      <c r="R1393">
        <v>0</v>
      </c>
      <c r="S1393">
        <v>0</v>
      </c>
      <c r="T1393">
        <v>71298000</v>
      </c>
      <c r="U1393">
        <v>158498000</v>
      </c>
      <c r="V1393">
        <v>8358000</v>
      </c>
    </row>
    <row r="1394" spans="1:22" x14ac:dyDescent="0.3">
      <c r="A1394" t="str">
        <f t="shared" si="42"/>
        <v>AMERRealizado</v>
      </c>
      <c r="B1394" t="str">
        <f t="shared" si="43"/>
        <v>AMERRealizadoSet-2022</v>
      </c>
      <c r="C1394" t="s">
        <v>103</v>
      </c>
      <c r="D1394" t="s">
        <v>104</v>
      </c>
      <c r="E1394" t="s">
        <v>102</v>
      </c>
      <c r="F1394" t="s">
        <v>740</v>
      </c>
      <c r="G1394" t="s">
        <v>741</v>
      </c>
      <c r="H1394" t="s">
        <v>742</v>
      </c>
      <c r="I1394" t="s">
        <v>700</v>
      </c>
      <c r="J1394" t="s">
        <v>746</v>
      </c>
      <c r="K1394" s="1">
        <v>44834</v>
      </c>
      <c r="L1394">
        <v>-211551</v>
      </c>
      <c r="M1394">
        <v>44959154</v>
      </c>
      <c r="N1394">
        <v>20109144</v>
      </c>
      <c r="O1394">
        <v>4813078</v>
      </c>
      <c r="P1394">
        <v>-44959154</v>
      </c>
      <c r="Q1394">
        <v>-10687814</v>
      </c>
      <c r="R1394">
        <v>262911</v>
      </c>
      <c r="S1394">
        <v>168339</v>
      </c>
      <c r="T1394">
        <v>625070</v>
      </c>
      <c r="U1394">
        <v>14705555</v>
      </c>
      <c r="V1394">
        <v>4730024</v>
      </c>
    </row>
    <row r="1395" spans="1:22" x14ac:dyDescent="0.3">
      <c r="A1395" t="str">
        <f t="shared" si="42"/>
        <v>PCARRealizado</v>
      </c>
      <c r="B1395" t="str">
        <f t="shared" si="43"/>
        <v>PCARRealizadoSet-2022</v>
      </c>
      <c r="C1395" t="s">
        <v>113</v>
      </c>
      <c r="D1395" t="s">
        <v>114</v>
      </c>
      <c r="E1395" t="s">
        <v>102</v>
      </c>
      <c r="F1395" t="s">
        <v>740</v>
      </c>
      <c r="G1395" t="s">
        <v>741</v>
      </c>
      <c r="H1395" t="s">
        <v>742</v>
      </c>
      <c r="I1395" t="s">
        <v>700</v>
      </c>
      <c r="J1395" t="s">
        <v>746</v>
      </c>
      <c r="K1395" s="1">
        <v>44834</v>
      </c>
      <c r="L1395">
        <v>-296000</v>
      </c>
      <c r="M1395">
        <v>29850000</v>
      </c>
      <c r="N1395">
        <v>7371000</v>
      </c>
      <c r="O1395">
        <v>1345000</v>
      </c>
      <c r="P1395">
        <v>-29850000</v>
      </c>
      <c r="Q1395">
        <v>-5208000</v>
      </c>
      <c r="R1395">
        <v>344000</v>
      </c>
      <c r="S1395">
        <v>303000</v>
      </c>
      <c r="T1395">
        <v>7724000</v>
      </c>
      <c r="U1395">
        <v>13539000</v>
      </c>
      <c r="V1395">
        <v>4272000</v>
      </c>
    </row>
    <row r="1396" spans="1:22" x14ac:dyDescent="0.3">
      <c r="A1396" t="str">
        <f t="shared" si="42"/>
        <v>DMVFRealizado</v>
      </c>
      <c r="B1396" t="str">
        <f t="shared" si="43"/>
        <v>DMVFRealizadoSet-2022</v>
      </c>
      <c r="C1396" t="s">
        <v>135</v>
      </c>
      <c r="D1396" t="s">
        <v>136</v>
      </c>
      <c r="E1396" t="s">
        <v>102</v>
      </c>
      <c r="F1396" t="s">
        <v>740</v>
      </c>
      <c r="G1396" t="s">
        <v>741</v>
      </c>
      <c r="H1396" t="s">
        <v>742</v>
      </c>
      <c r="I1396" t="s">
        <v>700</v>
      </c>
      <c r="J1396" t="s">
        <v>745</v>
      </c>
      <c r="K1396" s="1">
        <v>44834</v>
      </c>
      <c r="L1396">
        <v>3337</v>
      </c>
      <c r="M1396">
        <v>847551</v>
      </c>
      <c r="N1396">
        <v>16907</v>
      </c>
      <c r="O1396">
        <v>3107</v>
      </c>
      <c r="P1396">
        <v>-847551</v>
      </c>
      <c r="Q1396">
        <v>-997</v>
      </c>
      <c r="R1396">
        <v>0</v>
      </c>
      <c r="S1396">
        <v>317</v>
      </c>
      <c r="T1396">
        <v>0</v>
      </c>
      <c r="U1396">
        <v>846554</v>
      </c>
      <c r="V1396">
        <v>3037</v>
      </c>
    </row>
    <row r="1397" spans="1:22" x14ac:dyDescent="0.3">
      <c r="A1397" t="str">
        <f t="shared" si="42"/>
        <v>PNVLRealizado</v>
      </c>
      <c r="B1397" t="str">
        <f t="shared" si="43"/>
        <v>PNVLRealizadoSet-2022</v>
      </c>
      <c r="C1397" t="s">
        <v>127</v>
      </c>
      <c r="D1397" t="s">
        <v>128</v>
      </c>
      <c r="E1397" t="s">
        <v>102</v>
      </c>
      <c r="F1397" t="s">
        <v>740</v>
      </c>
      <c r="G1397" t="s">
        <v>741</v>
      </c>
      <c r="H1397" t="s">
        <v>742</v>
      </c>
      <c r="I1397" t="s">
        <v>701</v>
      </c>
      <c r="J1397" t="s">
        <v>745</v>
      </c>
      <c r="K1397" s="1">
        <v>44834</v>
      </c>
      <c r="L1397">
        <v>18244</v>
      </c>
      <c r="M1397">
        <v>2564323</v>
      </c>
      <c r="N1397">
        <v>1366575</v>
      </c>
      <c r="O1397">
        <v>421325</v>
      </c>
      <c r="P1397">
        <v>-2564323</v>
      </c>
      <c r="Q1397">
        <v>-805964</v>
      </c>
      <c r="R1397">
        <v>79340</v>
      </c>
      <c r="S1397">
        <v>37171</v>
      </c>
      <c r="T1397">
        <v>137662</v>
      </c>
      <c r="U1397">
        <v>1090998</v>
      </c>
      <c r="V1397">
        <v>1015535</v>
      </c>
    </row>
    <row r="1398" spans="1:22" x14ac:dyDescent="0.3">
      <c r="A1398" t="str">
        <f t="shared" si="42"/>
        <v>ENJURealizado</v>
      </c>
      <c r="B1398" t="str">
        <f t="shared" si="43"/>
        <v>ENJURealizadoSet-2022</v>
      </c>
      <c r="C1398" t="s">
        <v>139</v>
      </c>
      <c r="D1398" t="s">
        <v>140</v>
      </c>
      <c r="E1398" t="s">
        <v>102</v>
      </c>
      <c r="F1398" t="s">
        <v>740</v>
      </c>
      <c r="G1398" t="s">
        <v>741</v>
      </c>
      <c r="H1398" t="s">
        <v>742</v>
      </c>
      <c r="I1398" t="s">
        <v>700</v>
      </c>
      <c r="J1398" t="s">
        <v>746</v>
      </c>
      <c r="K1398" s="1">
        <v>44834</v>
      </c>
      <c r="L1398">
        <v>-10180</v>
      </c>
      <c r="M1398">
        <v>436437</v>
      </c>
      <c r="N1398">
        <v>367676</v>
      </c>
      <c r="O1398">
        <v>22399</v>
      </c>
      <c r="P1398">
        <v>-436437</v>
      </c>
      <c r="Q1398">
        <v>-45709</v>
      </c>
      <c r="R1398">
        <v>15946</v>
      </c>
      <c r="S1398">
        <v>427</v>
      </c>
      <c r="T1398">
        <v>0</v>
      </c>
      <c r="U1398">
        <v>383688</v>
      </c>
      <c r="V1398">
        <v>36687</v>
      </c>
    </row>
    <row r="1399" spans="1:22" x14ac:dyDescent="0.3">
      <c r="A1399" t="str">
        <f t="shared" si="42"/>
        <v>GSHPRealizado</v>
      </c>
      <c r="B1399" t="str">
        <f t="shared" si="43"/>
        <v>GSHPRealizadoSet-2022</v>
      </c>
      <c r="C1399" t="s">
        <v>147</v>
      </c>
      <c r="D1399" t="s">
        <v>148</v>
      </c>
      <c r="E1399" t="s">
        <v>102</v>
      </c>
      <c r="F1399" t="s">
        <v>740</v>
      </c>
      <c r="G1399" t="s">
        <v>741</v>
      </c>
      <c r="H1399" t="s">
        <v>742</v>
      </c>
      <c r="I1399" t="s">
        <v>744</v>
      </c>
      <c r="J1399" t="s">
        <v>743</v>
      </c>
      <c r="K1399" s="1">
        <v>44834</v>
      </c>
      <c r="L1399">
        <v>-85523</v>
      </c>
      <c r="M1399">
        <v>25035</v>
      </c>
      <c r="N1399">
        <v>3971</v>
      </c>
      <c r="O1399">
        <v>19428</v>
      </c>
      <c r="P1399">
        <v>-25035</v>
      </c>
      <c r="Q1399">
        <v>-41159</v>
      </c>
      <c r="R1399">
        <v>2096</v>
      </c>
      <c r="S1399">
        <v>25804</v>
      </c>
      <c r="T1399">
        <v>0</v>
      </c>
      <c r="U1399">
        <v>-823709</v>
      </c>
      <c r="V1399">
        <v>-85475</v>
      </c>
    </row>
    <row r="1400" spans="1:22" x14ac:dyDescent="0.3">
      <c r="A1400" t="str">
        <f t="shared" si="42"/>
        <v>CGRARealizado</v>
      </c>
      <c r="B1400" t="str">
        <f t="shared" si="43"/>
        <v>CGRARealizadoSet-2022</v>
      </c>
      <c r="C1400" t="s">
        <v>133</v>
      </c>
      <c r="D1400" t="s">
        <v>134</v>
      </c>
      <c r="E1400" t="s">
        <v>102</v>
      </c>
      <c r="F1400" t="s">
        <v>740</v>
      </c>
      <c r="G1400" t="s">
        <v>741</v>
      </c>
      <c r="H1400" t="s">
        <v>742</v>
      </c>
      <c r="I1400" t="s">
        <v>701</v>
      </c>
      <c r="J1400" t="s">
        <v>745</v>
      </c>
      <c r="K1400" s="1">
        <v>44834</v>
      </c>
      <c r="L1400">
        <v>22137</v>
      </c>
      <c r="M1400">
        <v>1120446</v>
      </c>
      <c r="N1400">
        <v>464065</v>
      </c>
      <c r="O1400">
        <v>192533</v>
      </c>
      <c r="P1400">
        <v>-1120446</v>
      </c>
      <c r="Q1400">
        <v>-196110</v>
      </c>
      <c r="R1400">
        <v>26121</v>
      </c>
      <c r="S1400">
        <v>6264</v>
      </c>
      <c r="T1400">
        <v>281581</v>
      </c>
      <c r="U1400">
        <v>809426</v>
      </c>
      <c r="V1400">
        <v>133025</v>
      </c>
    </row>
    <row r="1401" spans="1:22" x14ac:dyDescent="0.3">
      <c r="A1401" t="str">
        <f t="shared" si="42"/>
        <v>SBFGRealizado</v>
      </c>
      <c r="B1401" t="str">
        <f t="shared" si="43"/>
        <v>SBFGRealizadoSet-2022</v>
      </c>
      <c r="C1401" t="s">
        <v>129</v>
      </c>
      <c r="D1401" t="s">
        <v>130</v>
      </c>
      <c r="E1401" t="s">
        <v>102</v>
      </c>
      <c r="F1401" t="s">
        <v>740</v>
      </c>
      <c r="G1401" t="s">
        <v>741</v>
      </c>
      <c r="H1401" t="s">
        <v>742</v>
      </c>
      <c r="I1401" t="s">
        <v>701</v>
      </c>
      <c r="J1401" t="s">
        <v>745</v>
      </c>
      <c r="K1401" s="1">
        <v>44834</v>
      </c>
      <c r="L1401">
        <v>14876</v>
      </c>
      <c r="M1401">
        <v>2518645</v>
      </c>
      <c r="N1401">
        <v>68612</v>
      </c>
      <c r="O1401">
        <v>30429</v>
      </c>
      <c r="P1401">
        <v>-2518645</v>
      </c>
      <c r="Q1401">
        <v>-44452</v>
      </c>
      <c r="R1401">
        <v>410</v>
      </c>
      <c r="S1401">
        <v>152</v>
      </c>
      <c r="T1401">
        <v>159770</v>
      </c>
      <c r="U1401">
        <v>2317739</v>
      </c>
      <c r="V1401">
        <v>14681</v>
      </c>
    </row>
    <row r="1402" spans="1:22" x14ac:dyDescent="0.3">
      <c r="A1402" t="str">
        <f t="shared" si="42"/>
        <v>INTBRealizado</v>
      </c>
      <c r="B1402" t="str">
        <f t="shared" si="43"/>
        <v>INTBRealizadoSet-2022</v>
      </c>
      <c r="C1402" t="s">
        <v>119</v>
      </c>
      <c r="D1402" t="s">
        <v>120</v>
      </c>
      <c r="E1402" t="s">
        <v>102</v>
      </c>
      <c r="F1402" t="s">
        <v>740</v>
      </c>
      <c r="G1402" t="s">
        <v>741</v>
      </c>
      <c r="H1402" t="s">
        <v>742</v>
      </c>
      <c r="I1402" t="s">
        <v>701</v>
      </c>
      <c r="J1402" t="s">
        <v>745</v>
      </c>
      <c r="K1402" s="1">
        <v>44834</v>
      </c>
      <c r="L1402">
        <v>123041</v>
      </c>
      <c r="M1402">
        <v>3930498</v>
      </c>
      <c r="N1402">
        <v>2745988</v>
      </c>
      <c r="O1402">
        <v>722612</v>
      </c>
      <c r="P1402">
        <v>-3930498</v>
      </c>
      <c r="Q1402">
        <v>-1140840</v>
      </c>
      <c r="R1402">
        <v>97611</v>
      </c>
      <c r="S1402">
        <v>22896</v>
      </c>
      <c r="T1402">
        <v>829455</v>
      </c>
      <c r="U1402">
        <v>2134790</v>
      </c>
      <c r="V1402">
        <v>984767</v>
      </c>
    </row>
    <row r="1403" spans="1:22" x14ac:dyDescent="0.3">
      <c r="A1403" t="str">
        <f t="shared" si="42"/>
        <v>LJQQRealizado</v>
      </c>
      <c r="B1403" t="str">
        <f t="shared" si="43"/>
        <v>LJQQRealizadoSet-2022</v>
      </c>
      <c r="C1403" t="s">
        <v>131</v>
      </c>
      <c r="D1403" t="s">
        <v>132</v>
      </c>
      <c r="E1403" t="s">
        <v>102</v>
      </c>
      <c r="F1403" t="s">
        <v>740</v>
      </c>
      <c r="G1403" t="s">
        <v>741</v>
      </c>
      <c r="H1403" t="s">
        <v>742</v>
      </c>
      <c r="I1403" t="s">
        <v>700</v>
      </c>
      <c r="J1403" t="s">
        <v>746</v>
      </c>
      <c r="K1403" s="1">
        <v>44834</v>
      </c>
      <c r="L1403">
        <v>-7640</v>
      </c>
      <c r="M1403">
        <v>1938115</v>
      </c>
      <c r="N1403">
        <v>767779</v>
      </c>
      <c r="O1403">
        <v>157419</v>
      </c>
      <c r="P1403">
        <v>-1938115</v>
      </c>
      <c r="Q1403">
        <v>-637103</v>
      </c>
      <c r="R1403">
        <v>77313</v>
      </c>
      <c r="S1403">
        <v>11236</v>
      </c>
      <c r="T1403">
        <v>100366</v>
      </c>
      <c r="U1403">
        <v>520369</v>
      </c>
      <c r="V1403">
        <v>454576</v>
      </c>
    </row>
    <row r="1404" spans="1:22" x14ac:dyDescent="0.3">
      <c r="A1404" t="str">
        <f t="shared" si="42"/>
        <v>LRENRealizado</v>
      </c>
      <c r="B1404" t="str">
        <f t="shared" si="43"/>
        <v>LRENRealizadoSet-2022</v>
      </c>
      <c r="C1404" t="s">
        <v>115</v>
      </c>
      <c r="D1404" t="s">
        <v>116</v>
      </c>
      <c r="E1404" t="s">
        <v>102</v>
      </c>
      <c r="F1404" t="s">
        <v>740</v>
      </c>
      <c r="G1404" t="s">
        <v>741</v>
      </c>
      <c r="H1404" t="s">
        <v>742</v>
      </c>
      <c r="I1404" t="s">
        <v>701</v>
      </c>
      <c r="J1404" t="s">
        <v>745</v>
      </c>
      <c r="K1404" s="1">
        <v>44834</v>
      </c>
      <c r="L1404">
        <v>257862</v>
      </c>
      <c r="M1404">
        <v>16674905</v>
      </c>
      <c r="N1404">
        <v>8427009</v>
      </c>
      <c r="O1404">
        <v>1732500</v>
      </c>
      <c r="P1404">
        <v>-16674905</v>
      </c>
      <c r="Q1404">
        <v>-3927835</v>
      </c>
      <c r="R1404">
        <v>341508</v>
      </c>
      <c r="S1404">
        <v>131961</v>
      </c>
      <c r="T1404">
        <v>739560</v>
      </c>
      <c r="U1404">
        <v>9790803</v>
      </c>
      <c r="V1404">
        <v>2337042</v>
      </c>
    </row>
    <row r="1405" spans="1:22" x14ac:dyDescent="0.3">
      <c r="A1405" t="str">
        <f t="shared" si="42"/>
        <v>MGLURealizado</v>
      </c>
      <c r="B1405" t="str">
        <f t="shared" si="43"/>
        <v>MGLURealizadoSet-2022</v>
      </c>
      <c r="C1405" t="s">
        <v>111</v>
      </c>
      <c r="D1405" t="s">
        <v>112</v>
      </c>
      <c r="E1405" t="s">
        <v>102</v>
      </c>
      <c r="F1405" t="s">
        <v>740</v>
      </c>
      <c r="G1405" t="s">
        <v>741</v>
      </c>
      <c r="H1405" t="s">
        <v>742</v>
      </c>
      <c r="I1405" t="s">
        <v>700</v>
      </c>
      <c r="J1405" t="s">
        <v>743</v>
      </c>
      <c r="K1405" s="1">
        <v>44834</v>
      </c>
      <c r="L1405">
        <v>-166760</v>
      </c>
      <c r="M1405">
        <v>32064163</v>
      </c>
      <c r="N1405">
        <v>16699839</v>
      </c>
      <c r="O1405">
        <v>3579184</v>
      </c>
      <c r="P1405">
        <v>-32064163</v>
      </c>
      <c r="Q1405">
        <v>-10181479</v>
      </c>
      <c r="R1405">
        <v>241816</v>
      </c>
      <c r="S1405">
        <v>103489</v>
      </c>
      <c r="T1405">
        <v>1935358</v>
      </c>
      <c r="U1405">
        <v>10805289</v>
      </c>
      <c r="V1405">
        <v>6967633</v>
      </c>
    </row>
    <row r="1406" spans="1:22" x14ac:dyDescent="0.3">
      <c r="A1406" t="str">
        <f t="shared" si="42"/>
        <v>AMARRealizado</v>
      </c>
      <c r="B1406" t="str">
        <f t="shared" si="43"/>
        <v>AMARRealizadoSet-2022</v>
      </c>
      <c r="C1406" t="s">
        <v>125</v>
      </c>
      <c r="D1406" t="s">
        <v>126</v>
      </c>
      <c r="E1406" t="s">
        <v>102</v>
      </c>
      <c r="F1406" t="s">
        <v>740</v>
      </c>
      <c r="G1406" t="s">
        <v>741</v>
      </c>
      <c r="H1406" t="s">
        <v>742</v>
      </c>
      <c r="I1406" t="s">
        <v>700</v>
      </c>
      <c r="J1406" t="s">
        <v>746</v>
      </c>
      <c r="K1406" s="1">
        <v>44834</v>
      </c>
      <c r="L1406">
        <v>-97462</v>
      </c>
      <c r="M1406">
        <v>2964036</v>
      </c>
      <c r="N1406">
        <v>887952</v>
      </c>
      <c r="O1406">
        <v>217059</v>
      </c>
      <c r="P1406">
        <v>-2964036</v>
      </c>
      <c r="Q1406">
        <v>-1074813</v>
      </c>
      <c r="R1406">
        <v>93236</v>
      </c>
      <c r="S1406">
        <v>31702</v>
      </c>
      <c r="T1406">
        <v>18710</v>
      </c>
      <c r="U1406">
        <v>973981</v>
      </c>
      <c r="V1406">
        <v>511999</v>
      </c>
    </row>
    <row r="1407" spans="1:22" x14ac:dyDescent="0.3">
      <c r="A1407" t="str">
        <f t="shared" si="42"/>
        <v>MBLYRealizado</v>
      </c>
      <c r="B1407" t="str">
        <f t="shared" si="43"/>
        <v>MBLYRealizadoSet-2022</v>
      </c>
      <c r="C1407" t="s">
        <v>137</v>
      </c>
      <c r="D1407" t="s">
        <v>138</v>
      </c>
      <c r="E1407" t="s">
        <v>102</v>
      </c>
      <c r="F1407" t="s">
        <v>740</v>
      </c>
      <c r="G1407" t="s">
        <v>741</v>
      </c>
      <c r="H1407" t="s">
        <v>742</v>
      </c>
      <c r="I1407" t="s">
        <v>700</v>
      </c>
      <c r="J1407" t="s">
        <v>743</v>
      </c>
      <c r="K1407" s="1">
        <v>44834</v>
      </c>
      <c r="L1407">
        <v>-19230</v>
      </c>
      <c r="M1407">
        <v>583955</v>
      </c>
      <c r="N1407">
        <v>60225</v>
      </c>
      <c r="O1407">
        <v>0</v>
      </c>
      <c r="P1407">
        <v>-583955</v>
      </c>
      <c r="Q1407">
        <v>-3265</v>
      </c>
      <c r="R1407">
        <v>1777</v>
      </c>
      <c r="S1407">
        <v>933</v>
      </c>
      <c r="T1407">
        <v>0</v>
      </c>
      <c r="U1407">
        <v>570425</v>
      </c>
      <c r="V1407">
        <v>-20325</v>
      </c>
    </row>
    <row r="1408" spans="1:22" x14ac:dyDescent="0.3">
      <c r="A1408" t="str">
        <f t="shared" si="42"/>
        <v>PETZRealizado</v>
      </c>
      <c r="B1408" t="str">
        <f t="shared" si="43"/>
        <v>PETZRealizadoSet-2022</v>
      </c>
      <c r="C1408" t="s">
        <v>121</v>
      </c>
      <c r="D1408" t="s">
        <v>122</v>
      </c>
      <c r="E1408" t="s">
        <v>102</v>
      </c>
      <c r="F1408" t="s">
        <v>740</v>
      </c>
      <c r="G1408" t="s">
        <v>741</v>
      </c>
      <c r="H1408" t="s">
        <v>742</v>
      </c>
      <c r="I1408" t="s">
        <v>701</v>
      </c>
      <c r="J1408" t="s">
        <v>745</v>
      </c>
      <c r="K1408" s="1">
        <v>44834</v>
      </c>
      <c r="L1408">
        <v>10576</v>
      </c>
      <c r="M1408">
        <v>3498472</v>
      </c>
      <c r="N1408">
        <v>1030930</v>
      </c>
      <c r="O1408">
        <v>289402</v>
      </c>
      <c r="P1408">
        <v>-3498472</v>
      </c>
      <c r="Q1408">
        <v>-625362</v>
      </c>
      <c r="R1408">
        <v>82722</v>
      </c>
      <c r="S1408">
        <v>35841</v>
      </c>
      <c r="T1408">
        <v>102005</v>
      </c>
      <c r="U1408">
        <v>1831135</v>
      </c>
      <c r="V1408">
        <v>683071</v>
      </c>
    </row>
    <row r="1409" spans="1:22" x14ac:dyDescent="0.3">
      <c r="A1409" t="str">
        <f t="shared" si="42"/>
        <v>PFRMRealizado</v>
      </c>
      <c r="B1409" t="str">
        <f t="shared" si="43"/>
        <v>PFRMRealizadoSet-2022</v>
      </c>
      <c r="C1409" t="s">
        <v>123</v>
      </c>
      <c r="D1409" t="s">
        <v>124</v>
      </c>
      <c r="E1409" t="s">
        <v>102</v>
      </c>
      <c r="F1409" t="s">
        <v>740</v>
      </c>
      <c r="G1409" t="s">
        <v>741</v>
      </c>
      <c r="H1409" t="s">
        <v>742</v>
      </c>
      <c r="I1409" t="s">
        <v>701</v>
      </c>
      <c r="J1409" t="s">
        <v>745</v>
      </c>
      <c r="K1409" s="1">
        <v>44834</v>
      </c>
      <c r="L1409">
        <v>16330</v>
      </c>
      <c r="M1409">
        <v>3444283</v>
      </c>
      <c r="N1409">
        <v>2600242</v>
      </c>
      <c r="O1409">
        <v>1083187</v>
      </c>
      <c r="P1409">
        <v>-3444283</v>
      </c>
      <c r="Q1409">
        <v>-1796783</v>
      </c>
      <c r="R1409">
        <v>0</v>
      </c>
      <c r="S1409">
        <v>72175</v>
      </c>
      <c r="T1409">
        <v>97350</v>
      </c>
      <c r="U1409">
        <v>1205210</v>
      </c>
      <c r="V1409">
        <v>1944541</v>
      </c>
    </row>
    <row r="1410" spans="1:22" x14ac:dyDescent="0.3">
      <c r="A1410" t="str">
        <f t="shared" ref="A1410:A1473" si="44">_xlfn.CONCAT(D1410,F1410)</f>
        <v>RADLRealizado</v>
      </c>
      <c r="B1410" t="str">
        <f t="shared" ref="B1410:B1473" si="45">_xlfn.CONCAT(D1410,F1410,PROPER(TEXT(K1410,"mmm-aaaa")))</f>
        <v>RADLRealizadoSet-2022</v>
      </c>
      <c r="C1410" t="s">
        <v>117</v>
      </c>
      <c r="D1410" t="s">
        <v>118</v>
      </c>
      <c r="E1410" t="s">
        <v>102</v>
      </c>
      <c r="F1410" t="s">
        <v>740</v>
      </c>
      <c r="G1410" t="s">
        <v>741</v>
      </c>
      <c r="H1410" t="s">
        <v>742</v>
      </c>
      <c r="I1410" t="s">
        <v>700</v>
      </c>
      <c r="J1410" t="s">
        <v>746</v>
      </c>
      <c r="K1410" s="1">
        <v>44834</v>
      </c>
      <c r="L1410">
        <v>215409</v>
      </c>
      <c r="M1410">
        <v>16078600</v>
      </c>
      <c r="N1410">
        <v>8670447</v>
      </c>
      <c r="O1410">
        <v>2324006</v>
      </c>
      <c r="P1410">
        <v>-16078600</v>
      </c>
      <c r="Q1410">
        <v>-5702022</v>
      </c>
      <c r="R1410">
        <v>596966</v>
      </c>
      <c r="S1410">
        <v>167808</v>
      </c>
      <c r="T1410">
        <v>2050853</v>
      </c>
      <c r="U1410">
        <v>5052794</v>
      </c>
      <c r="V1410">
        <v>7035404</v>
      </c>
    </row>
    <row r="1411" spans="1:22" x14ac:dyDescent="0.3">
      <c r="A1411" t="str">
        <f t="shared" si="44"/>
        <v>SLEDRealizado</v>
      </c>
      <c r="B1411" t="str">
        <f t="shared" si="45"/>
        <v>SLEDRealizadoSet-2022</v>
      </c>
      <c r="C1411" t="s">
        <v>145</v>
      </c>
      <c r="D1411" t="s">
        <v>146</v>
      </c>
      <c r="E1411" t="s">
        <v>102</v>
      </c>
      <c r="F1411" t="s">
        <v>740</v>
      </c>
      <c r="G1411" t="s">
        <v>741</v>
      </c>
      <c r="H1411" t="s">
        <v>742</v>
      </c>
      <c r="I1411" t="s">
        <v>701</v>
      </c>
      <c r="J1411" t="s">
        <v>743</v>
      </c>
      <c r="K1411" s="1">
        <v>44834</v>
      </c>
      <c r="L1411">
        <v>84337</v>
      </c>
      <c r="M1411">
        <v>73896</v>
      </c>
      <c r="N1411">
        <v>1461</v>
      </c>
      <c r="O1411">
        <v>232</v>
      </c>
      <c r="P1411">
        <v>-73896</v>
      </c>
      <c r="Q1411">
        <v>-25263</v>
      </c>
      <c r="R1411">
        <v>242</v>
      </c>
      <c r="S1411">
        <v>483</v>
      </c>
      <c r="T1411">
        <v>-233</v>
      </c>
      <c r="U1411">
        <v>-365842</v>
      </c>
      <c r="V1411">
        <v>83489</v>
      </c>
    </row>
    <row r="1412" spans="1:22" x14ac:dyDescent="0.3">
      <c r="A1412" t="str">
        <f t="shared" si="44"/>
        <v>ASAIRealizado</v>
      </c>
      <c r="B1412" t="str">
        <f t="shared" si="45"/>
        <v>ASAIRealizadoSet-2022</v>
      </c>
      <c r="C1412" t="s">
        <v>107</v>
      </c>
      <c r="D1412" t="s">
        <v>108</v>
      </c>
      <c r="E1412" t="s">
        <v>102</v>
      </c>
      <c r="F1412" t="s">
        <v>740</v>
      </c>
      <c r="G1412" t="s">
        <v>741</v>
      </c>
      <c r="H1412" t="s">
        <v>742</v>
      </c>
      <c r="I1412" t="s">
        <v>700</v>
      </c>
      <c r="J1412" t="s">
        <v>743</v>
      </c>
      <c r="K1412" s="1">
        <v>44834</v>
      </c>
      <c r="L1412">
        <v>281000</v>
      </c>
      <c r="M1412">
        <v>36422000</v>
      </c>
      <c r="N1412">
        <v>12264000</v>
      </c>
      <c r="O1412">
        <v>505000</v>
      </c>
      <c r="P1412">
        <v>-36422000</v>
      </c>
      <c r="Q1412">
        <v>-13493000</v>
      </c>
      <c r="R1412">
        <v>616000</v>
      </c>
      <c r="S1412">
        <v>222000</v>
      </c>
      <c r="T1412">
        <v>2311000</v>
      </c>
      <c r="U1412">
        <v>3595000</v>
      </c>
      <c r="V1412">
        <v>13832000</v>
      </c>
    </row>
    <row r="1413" spans="1:22" x14ac:dyDescent="0.3">
      <c r="A1413" t="str">
        <f t="shared" si="44"/>
        <v>TECNRealizado</v>
      </c>
      <c r="B1413" t="str">
        <f t="shared" si="45"/>
        <v>TECNRealizadoSet-2022</v>
      </c>
      <c r="C1413" t="s">
        <v>143</v>
      </c>
      <c r="D1413" t="s">
        <v>144</v>
      </c>
      <c r="E1413" t="s">
        <v>102</v>
      </c>
      <c r="F1413" t="s">
        <v>740</v>
      </c>
      <c r="G1413" t="s">
        <v>741</v>
      </c>
      <c r="H1413" t="s">
        <v>742</v>
      </c>
      <c r="I1413" t="s">
        <v>701</v>
      </c>
      <c r="J1413" t="s">
        <v>745</v>
      </c>
      <c r="K1413" s="1">
        <v>44834</v>
      </c>
      <c r="L1413">
        <v>8543</v>
      </c>
      <c r="M1413">
        <v>350622</v>
      </c>
      <c r="N1413">
        <v>49</v>
      </c>
      <c r="O1413">
        <v>0</v>
      </c>
      <c r="P1413">
        <v>-350622</v>
      </c>
      <c r="Q1413">
        <v>-7829</v>
      </c>
      <c r="R1413">
        <v>52</v>
      </c>
      <c r="S1413">
        <v>59</v>
      </c>
      <c r="T1413">
        <v>33107</v>
      </c>
      <c r="U1413">
        <v>342793</v>
      </c>
      <c r="V1413">
        <v>8545</v>
      </c>
    </row>
    <row r="1414" spans="1:22" x14ac:dyDescent="0.3">
      <c r="A1414" t="str">
        <f t="shared" si="44"/>
        <v>VIIARealizado</v>
      </c>
      <c r="B1414" t="str">
        <f t="shared" si="45"/>
        <v>VIIARealizadoSet-2022</v>
      </c>
      <c r="C1414" t="s">
        <v>109</v>
      </c>
      <c r="D1414" t="s">
        <v>110</v>
      </c>
      <c r="E1414" t="s">
        <v>102</v>
      </c>
      <c r="F1414" t="s">
        <v>740</v>
      </c>
      <c r="G1414" t="s">
        <v>741</v>
      </c>
      <c r="H1414" t="s">
        <v>742</v>
      </c>
      <c r="I1414" t="s">
        <v>700</v>
      </c>
      <c r="J1414" t="s">
        <v>743</v>
      </c>
      <c r="K1414" s="1">
        <v>44834</v>
      </c>
      <c r="L1414">
        <v>-203000</v>
      </c>
      <c r="M1414">
        <v>33783000</v>
      </c>
      <c r="N1414">
        <v>14973000</v>
      </c>
      <c r="O1414">
        <v>5465000</v>
      </c>
      <c r="P1414">
        <v>-33783000</v>
      </c>
      <c r="Q1414">
        <v>-18674000</v>
      </c>
      <c r="R1414">
        <v>417000</v>
      </c>
      <c r="S1414">
        <v>147000</v>
      </c>
      <c r="T1414">
        <v>0</v>
      </c>
      <c r="U1414">
        <v>5505000</v>
      </c>
      <c r="V1414">
        <v>6984000</v>
      </c>
    </row>
    <row r="1415" spans="1:22" x14ac:dyDescent="0.3">
      <c r="A1415" t="str">
        <f t="shared" si="44"/>
        <v>VBBRRealizado</v>
      </c>
      <c r="B1415" t="str">
        <f t="shared" si="45"/>
        <v>VBBRRealizadoSet-2022</v>
      </c>
      <c r="C1415" t="s">
        <v>105</v>
      </c>
      <c r="D1415" t="s">
        <v>106</v>
      </c>
      <c r="E1415" t="s">
        <v>102</v>
      </c>
      <c r="F1415" t="s">
        <v>740</v>
      </c>
      <c r="G1415" t="s">
        <v>741</v>
      </c>
      <c r="H1415" t="s">
        <v>742</v>
      </c>
      <c r="I1415" t="s">
        <v>700</v>
      </c>
      <c r="J1415" t="s">
        <v>743</v>
      </c>
      <c r="K1415" s="1">
        <v>44834</v>
      </c>
      <c r="L1415">
        <v>-61000</v>
      </c>
      <c r="M1415">
        <v>38557000</v>
      </c>
      <c r="N1415">
        <v>19820000</v>
      </c>
      <c r="O1415">
        <v>6389000</v>
      </c>
      <c r="P1415">
        <v>-38557000</v>
      </c>
      <c r="Q1415">
        <v>-8701000</v>
      </c>
      <c r="R1415">
        <v>234000</v>
      </c>
      <c r="S1415">
        <v>4000</v>
      </c>
      <c r="T1415">
        <v>6936000</v>
      </c>
      <c r="U1415">
        <v>12636000</v>
      </c>
      <c r="V1415">
        <v>50498000</v>
      </c>
    </row>
    <row r="1416" spans="1:22" x14ac:dyDescent="0.3">
      <c r="A1416" t="str">
        <f t="shared" si="44"/>
        <v>VIVARealizado</v>
      </c>
      <c r="B1416" t="str">
        <f t="shared" si="45"/>
        <v>VIVARealizadoSet-2022</v>
      </c>
      <c r="C1416" t="s">
        <v>100</v>
      </c>
      <c r="D1416" t="s">
        <v>101</v>
      </c>
      <c r="E1416" t="s">
        <v>102</v>
      </c>
      <c r="F1416" t="s">
        <v>740</v>
      </c>
      <c r="G1416" t="s">
        <v>741</v>
      </c>
      <c r="H1416" t="s">
        <v>742</v>
      </c>
      <c r="I1416" t="s">
        <v>700</v>
      </c>
      <c r="J1416" t="s">
        <v>743</v>
      </c>
      <c r="K1416" s="1">
        <v>44834</v>
      </c>
      <c r="L1416">
        <v>68127393</v>
      </c>
      <c r="M1416">
        <v>1585992306</v>
      </c>
      <c r="N1416">
        <v>2945771</v>
      </c>
      <c r="O1416">
        <v>0</v>
      </c>
      <c r="P1416">
        <v>-1585992306</v>
      </c>
      <c r="Q1416">
        <v>-1622647</v>
      </c>
      <c r="R1416">
        <v>238066</v>
      </c>
      <c r="S1416">
        <v>6761</v>
      </c>
      <c r="T1416">
        <v>325223849</v>
      </c>
      <c r="U1416">
        <v>1584369659</v>
      </c>
      <c r="V1416">
        <v>68044722</v>
      </c>
    </row>
    <row r="1417" spans="1:22" x14ac:dyDescent="0.3">
      <c r="A1417" t="str">
        <f t="shared" si="44"/>
        <v>WESTRealizado</v>
      </c>
      <c r="B1417" t="str">
        <f t="shared" si="45"/>
        <v>WESTRealizadoSet-2022</v>
      </c>
      <c r="C1417" t="s">
        <v>141</v>
      </c>
      <c r="D1417" t="s">
        <v>142</v>
      </c>
      <c r="E1417" t="s">
        <v>102</v>
      </c>
      <c r="F1417" t="s">
        <v>740</v>
      </c>
      <c r="G1417" t="s">
        <v>741</v>
      </c>
      <c r="H1417" t="s">
        <v>742</v>
      </c>
      <c r="I1417" t="s">
        <v>700</v>
      </c>
      <c r="J1417" t="s">
        <v>746</v>
      </c>
      <c r="K1417" s="1">
        <v>44834</v>
      </c>
      <c r="L1417">
        <v>-11045</v>
      </c>
      <c r="M1417">
        <v>425416</v>
      </c>
      <c r="N1417">
        <v>276525</v>
      </c>
      <c r="O1417">
        <v>62488</v>
      </c>
      <c r="P1417">
        <v>-425416</v>
      </c>
      <c r="Q1417">
        <v>-40822</v>
      </c>
      <c r="R1417">
        <v>11834</v>
      </c>
      <c r="S1417">
        <v>2581</v>
      </c>
      <c r="T1417">
        <v>0</v>
      </c>
      <c r="U1417">
        <v>351390</v>
      </c>
      <c r="V1417">
        <v>61718</v>
      </c>
    </row>
    <row r="1418" spans="1:22" x14ac:dyDescent="0.3">
      <c r="A1418" t="str">
        <f t="shared" si="44"/>
        <v>AERIRealizado</v>
      </c>
      <c r="B1418" t="str">
        <f t="shared" si="45"/>
        <v>AERIRealizadoSet-2022</v>
      </c>
      <c r="C1418" t="s">
        <v>487</v>
      </c>
      <c r="D1418" t="s">
        <v>488</v>
      </c>
      <c r="E1418" t="s">
        <v>489</v>
      </c>
      <c r="F1418" t="s">
        <v>740</v>
      </c>
      <c r="G1418" t="s">
        <v>741</v>
      </c>
      <c r="H1418" t="s">
        <v>742</v>
      </c>
      <c r="I1418" t="s">
        <v>744</v>
      </c>
      <c r="J1418" t="s">
        <v>746</v>
      </c>
      <c r="K1418" s="1">
        <v>44834</v>
      </c>
      <c r="L1418">
        <v>-25908</v>
      </c>
      <c r="M1418">
        <v>3468715</v>
      </c>
      <c r="N1418">
        <v>2284302</v>
      </c>
      <c r="O1418">
        <v>0</v>
      </c>
      <c r="P1418">
        <v>-3468715</v>
      </c>
      <c r="Q1418">
        <v>-1051071</v>
      </c>
      <c r="R1418">
        <v>0</v>
      </c>
      <c r="S1418">
        <v>0</v>
      </c>
      <c r="T1418">
        <v>124872</v>
      </c>
      <c r="U1418">
        <v>942087</v>
      </c>
      <c r="V1418">
        <v>603527</v>
      </c>
    </row>
    <row r="1419" spans="1:22" x14ac:dyDescent="0.3">
      <c r="A1419" t="str">
        <f t="shared" si="44"/>
        <v>BDLLRealizado</v>
      </c>
      <c r="B1419" t="str">
        <f t="shared" si="45"/>
        <v>BDLLRealizadoSet-2022</v>
      </c>
      <c r="C1419" t="s">
        <v>512</v>
      </c>
      <c r="D1419" t="s">
        <v>513</v>
      </c>
      <c r="E1419" t="s">
        <v>489</v>
      </c>
      <c r="F1419" t="s">
        <v>740</v>
      </c>
      <c r="G1419" t="s">
        <v>741</v>
      </c>
      <c r="H1419" t="s">
        <v>742</v>
      </c>
      <c r="I1419" t="s">
        <v>701</v>
      </c>
      <c r="J1419" t="s">
        <v>743</v>
      </c>
      <c r="K1419" s="1">
        <v>44834</v>
      </c>
      <c r="L1419">
        <v>16218</v>
      </c>
      <c r="M1419">
        <v>693129</v>
      </c>
      <c r="N1419">
        <v>301814</v>
      </c>
      <c r="O1419">
        <v>282222</v>
      </c>
      <c r="P1419">
        <v>-693129</v>
      </c>
      <c r="Q1419">
        <v>-371554</v>
      </c>
      <c r="R1419">
        <v>100631</v>
      </c>
      <c r="S1419">
        <v>32920</v>
      </c>
      <c r="T1419">
        <v>-402686</v>
      </c>
      <c r="U1419">
        <v>-181341</v>
      </c>
      <c r="V1419">
        <v>391</v>
      </c>
    </row>
    <row r="1420" spans="1:22" x14ac:dyDescent="0.3">
      <c r="A1420" t="str">
        <f t="shared" si="44"/>
        <v>EMBRRealizado</v>
      </c>
      <c r="B1420" t="str">
        <f t="shared" si="45"/>
        <v>EMBRRealizadoSet-2022</v>
      </c>
      <c r="C1420" t="s">
        <v>508</v>
      </c>
      <c r="D1420" t="s">
        <v>509</v>
      </c>
      <c r="E1420" t="s">
        <v>489</v>
      </c>
      <c r="F1420" t="s">
        <v>740</v>
      </c>
      <c r="G1420" t="s">
        <v>741</v>
      </c>
      <c r="H1420" t="s">
        <v>742</v>
      </c>
      <c r="I1420" t="s">
        <v>700</v>
      </c>
      <c r="J1420" t="s">
        <v>745</v>
      </c>
      <c r="K1420" s="1">
        <v>44834</v>
      </c>
      <c r="L1420">
        <v>-160362</v>
      </c>
      <c r="M1420">
        <v>48258955</v>
      </c>
      <c r="N1420">
        <v>16447811</v>
      </c>
      <c r="O1420">
        <v>2687978</v>
      </c>
      <c r="P1420">
        <v>-48258955</v>
      </c>
      <c r="Q1420">
        <v>-13888519</v>
      </c>
      <c r="R1420">
        <v>0</v>
      </c>
      <c r="S1420">
        <v>132973</v>
      </c>
      <c r="T1420">
        <v>0</v>
      </c>
      <c r="U1420">
        <v>13311722</v>
      </c>
      <c r="V1420">
        <v>2929987</v>
      </c>
    </row>
    <row r="1421" spans="1:22" x14ac:dyDescent="0.3">
      <c r="A1421" t="str">
        <f t="shared" si="44"/>
        <v>FRASRealizado</v>
      </c>
      <c r="B1421" t="str">
        <f t="shared" si="45"/>
        <v>FRASRealizadoSet-2022</v>
      </c>
      <c r="C1421" t="s">
        <v>490</v>
      </c>
      <c r="D1421" t="s">
        <v>491</v>
      </c>
      <c r="E1421" t="s">
        <v>489</v>
      </c>
      <c r="F1421" t="s">
        <v>740</v>
      </c>
      <c r="G1421" t="s">
        <v>741</v>
      </c>
      <c r="H1421" t="s">
        <v>742</v>
      </c>
      <c r="I1421" t="s">
        <v>701</v>
      </c>
      <c r="J1421" t="s">
        <v>746</v>
      </c>
      <c r="K1421" s="1">
        <v>44834</v>
      </c>
      <c r="L1421">
        <v>74619</v>
      </c>
      <c r="M1421">
        <v>3183894</v>
      </c>
      <c r="N1421">
        <v>1475315</v>
      </c>
      <c r="O1421">
        <v>345988</v>
      </c>
      <c r="P1421">
        <v>-3183894</v>
      </c>
      <c r="Q1421">
        <v>-408672</v>
      </c>
      <c r="R1421">
        <v>65090</v>
      </c>
      <c r="S1421">
        <v>29782</v>
      </c>
      <c r="T1421">
        <v>598346</v>
      </c>
      <c r="U1421">
        <v>1798952</v>
      </c>
      <c r="V1421">
        <v>349527</v>
      </c>
    </row>
    <row r="1422" spans="1:22" x14ac:dyDescent="0.3">
      <c r="A1422" t="str">
        <f t="shared" si="44"/>
        <v>IGBRRealizado</v>
      </c>
      <c r="B1422" t="str">
        <f t="shared" si="45"/>
        <v>IGBRRealizadoSet-2022</v>
      </c>
      <c r="C1422" t="s">
        <v>514</v>
      </c>
      <c r="D1422" t="s">
        <v>515</v>
      </c>
      <c r="E1422" t="s">
        <v>489</v>
      </c>
      <c r="F1422" t="s">
        <v>740</v>
      </c>
      <c r="G1422" t="s">
        <v>741</v>
      </c>
      <c r="H1422" t="s">
        <v>742</v>
      </c>
      <c r="I1422" t="s">
        <v>701</v>
      </c>
      <c r="J1422" t="s">
        <v>743</v>
      </c>
      <c r="K1422" s="1">
        <v>44834</v>
      </c>
      <c r="L1422">
        <v>415120</v>
      </c>
      <c r="M1422">
        <v>265166</v>
      </c>
      <c r="N1422">
        <v>109878</v>
      </c>
      <c r="O1422">
        <v>109167</v>
      </c>
      <c r="P1422">
        <v>-265166</v>
      </c>
      <c r="Q1422">
        <v>-319975</v>
      </c>
      <c r="R1422">
        <v>20301</v>
      </c>
      <c r="S1422">
        <v>294868</v>
      </c>
      <c r="T1422">
        <v>0</v>
      </c>
      <c r="U1422">
        <v>-650957</v>
      </c>
      <c r="V1422">
        <v>2089</v>
      </c>
    </row>
    <row r="1423" spans="1:22" x14ac:dyDescent="0.3">
      <c r="A1423" t="str">
        <f t="shared" si="44"/>
        <v>ROMIRealizado</v>
      </c>
      <c r="B1423" t="str">
        <f t="shared" si="45"/>
        <v>ROMIRealizadoSet-2022</v>
      </c>
      <c r="C1423" t="s">
        <v>492</v>
      </c>
      <c r="D1423" t="s">
        <v>493</v>
      </c>
      <c r="E1423" t="s">
        <v>489</v>
      </c>
      <c r="F1423" t="s">
        <v>740</v>
      </c>
      <c r="G1423" t="s">
        <v>741</v>
      </c>
      <c r="H1423" t="s">
        <v>742</v>
      </c>
      <c r="I1423" t="s">
        <v>701</v>
      </c>
      <c r="J1423" t="s">
        <v>746</v>
      </c>
      <c r="K1423" s="1">
        <v>44834</v>
      </c>
      <c r="L1423">
        <v>64792</v>
      </c>
      <c r="M1423">
        <v>1931937</v>
      </c>
      <c r="N1423">
        <v>1032468</v>
      </c>
      <c r="O1423">
        <v>583542</v>
      </c>
      <c r="P1423">
        <v>-1931937</v>
      </c>
      <c r="Q1423">
        <v>-543264</v>
      </c>
      <c r="R1423">
        <v>48220</v>
      </c>
      <c r="S1423">
        <v>25011</v>
      </c>
      <c r="T1423">
        <v>178117</v>
      </c>
      <c r="U1423">
        <v>1016966</v>
      </c>
      <c r="V1423">
        <v>372550</v>
      </c>
    </row>
    <row r="1424" spans="1:22" x14ac:dyDescent="0.3">
      <c r="A1424" t="str">
        <f t="shared" si="44"/>
        <v>INEPRealizado</v>
      </c>
      <c r="B1424" t="str">
        <f t="shared" si="45"/>
        <v>INEPRealizadoSet-2022</v>
      </c>
      <c r="C1424" t="s">
        <v>516</v>
      </c>
      <c r="D1424" t="s">
        <v>517</v>
      </c>
      <c r="E1424" t="s">
        <v>489</v>
      </c>
      <c r="F1424" t="s">
        <v>740</v>
      </c>
      <c r="G1424" t="s">
        <v>741</v>
      </c>
      <c r="H1424" t="s">
        <v>742</v>
      </c>
      <c r="I1424" t="s">
        <v>744</v>
      </c>
      <c r="J1424" t="s">
        <v>743</v>
      </c>
      <c r="K1424" s="1">
        <v>44834</v>
      </c>
      <c r="L1424">
        <v>-62491</v>
      </c>
      <c r="M1424">
        <v>1082535</v>
      </c>
      <c r="N1424">
        <v>5600</v>
      </c>
      <c r="O1424">
        <v>51447</v>
      </c>
      <c r="P1424">
        <v>-1082535</v>
      </c>
      <c r="Q1424">
        <v>-549148</v>
      </c>
      <c r="R1424">
        <v>6787</v>
      </c>
      <c r="S1424">
        <v>124289</v>
      </c>
      <c r="T1424">
        <v>0</v>
      </c>
      <c r="U1424">
        <v>-1457634</v>
      </c>
      <c r="V1424">
        <v>-31239</v>
      </c>
    </row>
    <row r="1425" spans="1:22" x14ac:dyDescent="0.3">
      <c r="A1425" t="str">
        <f t="shared" si="44"/>
        <v>MYPKRealizado</v>
      </c>
      <c r="B1425" t="str">
        <f t="shared" si="45"/>
        <v>MYPKRealizadoSet-2022</v>
      </c>
      <c r="C1425" t="s">
        <v>494</v>
      </c>
      <c r="D1425" t="s">
        <v>495</v>
      </c>
      <c r="E1425" t="s">
        <v>489</v>
      </c>
      <c r="F1425" t="s">
        <v>740</v>
      </c>
      <c r="G1425" t="s">
        <v>741</v>
      </c>
      <c r="H1425" t="s">
        <v>742</v>
      </c>
      <c r="I1425" t="s">
        <v>700</v>
      </c>
      <c r="J1425" t="s">
        <v>743</v>
      </c>
      <c r="K1425" s="1">
        <v>44834</v>
      </c>
      <c r="L1425">
        <v>69388</v>
      </c>
      <c r="M1425">
        <v>8194054</v>
      </c>
      <c r="N1425">
        <v>2699053</v>
      </c>
      <c r="O1425">
        <v>809535</v>
      </c>
      <c r="P1425">
        <v>-8194054</v>
      </c>
      <c r="Q1425">
        <v>-1771698</v>
      </c>
      <c r="R1425">
        <v>208144</v>
      </c>
      <c r="S1425">
        <v>33818</v>
      </c>
      <c r="T1425">
        <v>384583</v>
      </c>
      <c r="U1425">
        <v>4089834</v>
      </c>
      <c r="V1425">
        <v>1372759</v>
      </c>
    </row>
    <row r="1426" spans="1:22" x14ac:dyDescent="0.3">
      <c r="A1426" t="str">
        <f t="shared" si="44"/>
        <v>LUPARealizado</v>
      </c>
      <c r="B1426" t="str">
        <f t="shared" si="45"/>
        <v>LUPARealizadoSet-2022</v>
      </c>
      <c r="C1426" t="s">
        <v>510</v>
      </c>
      <c r="D1426" t="s">
        <v>511</v>
      </c>
      <c r="E1426" t="s">
        <v>489</v>
      </c>
      <c r="F1426" t="s">
        <v>740</v>
      </c>
      <c r="G1426" t="s">
        <v>741</v>
      </c>
      <c r="H1426" t="s">
        <v>742</v>
      </c>
      <c r="I1426" t="s">
        <v>700</v>
      </c>
      <c r="J1426" t="s">
        <v>743</v>
      </c>
      <c r="K1426" s="1">
        <v>44834</v>
      </c>
      <c r="L1426">
        <v>-18085</v>
      </c>
      <c r="M1426">
        <v>582973</v>
      </c>
      <c r="N1426">
        <v>153912</v>
      </c>
      <c r="O1426">
        <v>40716</v>
      </c>
      <c r="P1426">
        <v>-582973</v>
      </c>
      <c r="Q1426">
        <v>-98029</v>
      </c>
      <c r="R1426">
        <v>6269</v>
      </c>
      <c r="S1426">
        <v>10139</v>
      </c>
      <c r="T1426">
        <v>0</v>
      </c>
      <c r="U1426">
        <v>113746</v>
      </c>
      <c r="V1426">
        <v>25882</v>
      </c>
    </row>
    <row r="1427" spans="1:22" x14ac:dyDescent="0.3">
      <c r="A1427" t="str">
        <f t="shared" si="44"/>
        <v>LEVERealizado</v>
      </c>
      <c r="B1427" t="str">
        <f t="shared" si="45"/>
        <v>LEVERealizadoSet-2022</v>
      </c>
      <c r="C1427" t="s">
        <v>496</v>
      </c>
      <c r="D1427" t="s">
        <v>497</v>
      </c>
      <c r="E1427" t="s">
        <v>489</v>
      </c>
      <c r="F1427" t="s">
        <v>740</v>
      </c>
      <c r="G1427" t="s">
        <v>741</v>
      </c>
      <c r="H1427" t="s">
        <v>742</v>
      </c>
      <c r="I1427" t="s">
        <v>700</v>
      </c>
      <c r="J1427" t="s">
        <v>743</v>
      </c>
      <c r="K1427" s="1">
        <v>44834</v>
      </c>
      <c r="L1427">
        <v>204306</v>
      </c>
      <c r="M1427">
        <v>2987994</v>
      </c>
      <c r="N1427">
        <v>1521367</v>
      </c>
      <c r="O1427">
        <v>674052</v>
      </c>
      <c r="P1427">
        <v>-2987994</v>
      </c>
      <c r="Q1427">
        <v>-858843</v>
      </c>
      <c r="R1427">
        <v>135079</v>
      </c>
      <c r="S1427">
        <v>64073</v>
      </c>
      <c r="T1427">
        <v>518166</v>
      </c>
      <c r="U1427">
        <v>1647101</v>
      </c>
      <c r="V1427">
        <v>933432</v>
      </c>
    </row>
    <row r="1428" spans="1:22" x14ac:dyDescent="0.3">
      <c r="A1428" t="str">
        <f t="shared" si="44"/>
        <v>POMORealizado</v>
      </c>
      <c r="B1428" t="str">
        <f t="shared" si="45"/>
        <v>POMORealizadoSet-2022</v>
      </c>
      <c r="C1428" t="s">
        <v>498</v>
      </c>
      <c r="D1428" t="s">
        <v>499</v>
      </c>
      <c r="E1428" t="s">
        <v>489</v>
      </c>
      <c r="F1428" t="s">
        <v>740</v>
      </c>
      <c r="G1428" t="s">
        <v>741</v>
      </c>
      <c r="H1428" t="s">
        <v>742</v>
      </c>
      <c r="I1428" t="s">
        <v>701</v>
      </c>
      <c r="J1428" t="s">
        <v>743</v>
      </c>
      <c r="K1428" s="1">
        <v>44834</v>
      </c>
      <c r="L1428">
        <v>59114</v>
      </c>
      <c r="M1428">
        <v>5482826</v>
      </c>
      <c r="N1428">
        <v>1978869</v>
      </c>
      <c r="O1428">
        <v>970234</v>
      </c>
      <c r="P1428">
        <v>-5482826</v>
      </c>
      <c r="Q1428">
        <v>-1157212</v>
      </c>
      <c r="R1428">
        <v>122553</v>
      </c>
      <c r="S1428">
        <v>56794</v>
      </c>
      <c r="T1428">
        <v>1235508</v>
      </c>
      <c r="U1428">
        <v>3045387</v>
      </c>
      <c r="V1428">
        <v>704113</v>
      </c>
    </row>
    <row r="1429" spans="1:22" x14ac:dyDescent="0.3">
      <c r="A1429" t="str">
        <f t="shared" si="44"/>
        <v>RSULRealizado</v>
      </c>
      <c r="B1429" t="str">
        <f t="shared" si="45"/>
        <v>RSULRealizadoSet-2022</v>
      </c>
      <c r="C1429" t="s">
        <v>500</v>
      </c>
      <c r="D1429" t="s">
        <v>501</v>
      </c>
      <c r="E1429" t="s">
        <v>489</v>
      </c>
      <c r="F1429" t="s">
        <v>740</v>
      </c>
      <c r="G1429" t="s">
        <v>741</v>
      </c>
      <c r="H1429" t="s">
        <v>742</v>
      </c>
      <c r="I1429" t="s">
        <v>701</v>
      </c>
      <c r="J1429" t="s">
        <v>746</v>
      </c>
      <c r="K1429" s="1">
        <v>44834</v>
      </c>
      <c r="L1429">
        <v>19723</v>
      </c>
      <c r="M1429">
        <v>333269</v>
      </c>
      <c r="N1429">
        <v>178516</v>
      </c>
      <c r="O1429">
        <v>76044</v>
      </c>
      <c r="P1429">
        <v>-333269</v>
      </c>
      <c r="Q1429">
        <v>-95491</v>
      </c>
      <c r="R1429">
        <v>20871</v>
      </c>
      <c r="S1429">
        <v>30276</v>
      </c>
      <c r="T1429">
        <v>22084</v>
      </c>
      <c r="U1429">
        <v>124136</v>
      </c>
      <c r="V1429">
        <v>113110</v>
      </c>
    </row>
    <row r="1430" spans="1:22" x14ac:dyDescent="0.3">
      <c r="A1430" t="str">
        <f t="shared" si="44"/>
        <v>RAPTRealizado</v>
      </c>
      <c r="B1430" t="str">
        <f t="shared" si="45"/>
        <v>RAPTRealizadoSet-2022</v>
      </c>
      <c r="C1430" t="s">
        <v>502</v>
      </c>
      <c r="D1430" t="s">
        <v>503</v>
      </c>
      <c r="E1430" t="s">
        <v>489</v>
      </c>
      <c r="F1430" t="s">
        <v>740</v>
      </c>
      <c r="G1430" t="s">
        <v>741</v>
      </c>
      <c r="H1430" t="s">
        <v>742</v>
      </c>
      <c r="I1430" t="s">
        <v>701</v>
      </c>
      <c r="J1430" t="s">
        <v>743</v>
      </c>
      <c r="K1430" s="1">
        <v>44834</v>
      </c>
      <c r="L1430">
        <v>147679</v>
      </c>
      <c r="M1430">
        <v>6513860</v>
      </c>
      <c r="N1430">
        <v>2803166</v>
      </c>
      <c r="O1430">
        <v>618908</v>
      </c>
      <c r="P1430">
        <v>-6513860</v>
      </c>
      <c r="Q1430">
        <v>-1520134</v>
      </c>
      <c r="R1430">
        <v>73619</v>
      </c>
      <c r="S1430">
        <v>17375</v>
      </c>
      <c r="T1430">
        <v>1682948</v>
      </c>
      <c r="U1430">
        <v>2771965</v>
      </c>
      <c r="V1430">
        <v>1075157</v>
      </c>
    </row>
    <row r="1431" spans="1:22" x14ac:dyDescent="0.3">
      <c r="A1431" t="str">
        <f t="shared" si="44"/>
        <v>RCSLRealizado</v>
      </c>
      <c r="B1431" t="str">
        <f t="shared" si="45"/>
        <v>RCSLRealizadoSet-2022</v>
      </c>
      <c r="C1431" t="s">
        <v>518</v>
      </c>
      <c r="D1431" t="s">
        <v>519</v>
      </c>
      <c r="E1431" t="s">
        <v>489</v>
      </c>
      <c r="F1431" t="s">
        <v>740</v>
      </c>
      <c r="G1431" t="s">
        <v>741</v>
      </c>
      <c r="H1431" t="s">
        <v>742</v>
      </c>
      <c r="I1431" t="s">
        <v>744</v>
      </c>
      <c r="J1431" t="s">
        <v>743</v>
      </c>
      <c r="K1431" s="1">
        <v>44834</v>
      </c>
      <c r="L1431">
        <v>-967</v>
      </c>
      <c r="M1431">
        <v>76712</v>
      </c>
      <c r="N1431">
        <v>28901</v>
      </c>
      <c r="O1431">
        <v>9531</v>
      </c>
      <c r="P1431">
        <v>-76712</v>
      </c>
      <c r="Q1431">
        <v>-16869</v>
      </c>
      <c r="R1431">
        <v>1128</v>
      </c>
      <c r="S1431">
        <v>12719</v>
      </c>
      <c r="T1431">
        <v>0</v>
      </c>
      <c r="U1431">
        <v>-39014</v>
      </c>
      <c r="V1431">
        <v>14636</v>
      </c>
    </row>
    <row r="1432" spans="1:22" x14ac:dyDescent="0.3">
      <c r="A1432" t="str">
        <f t="shared" si="44"/>
        <v>TASARealizado</v>
      </c>
      <c r="B1432" t="str">
        <f t="shared" si="45"/>
        <v>TASARealizadoSet-2022</v>
      </c>
      <c r="C1432" t="s">
        <v>504</v>
      </c>
      <c r="D1432" t="s">
        <v>505</v>
      </c>
      <c r="E1432" t="s">
        <v>489</v>
      </c>
      <c r="F1432" t="s">
        <v>740</v>
      </c>
      <c r="G1432" t="s">
        <v>741</v>
      </c>
      <c r="H1432" t="s">
        <v>742</v>
      </c>
      <c r="I1432" t="s">
        <v>701</v>
      </c>
      <c r="J1432" t="s">
        <v>746</v>
      </c>
      <c r="K1432" s="1">
        <v>44834</v>
      </c>
      <c r="L1432">
        <v>103139</v>
      </c>
      <c r="M1432">
        <v>2190665</v>
      </c>
      <c r="N1432">
        <v>938813</v>
      </c>
      <c r="O1432">
        <v>248147</v>
      </c>
      <c r="P1432">
        <v>-2190665</v>
      </c>
      <c r="Q1432">
        <v>-858883</v>
      </c>
      <c r="R1432">
        <v>56744</v>
      </c>
      <c r="S1432">
        <v>88621</v>
      </c>
      <c r="T1432">
        <v>133555</v>
      </c>
      <c r="U1432">
        <v>1083619</v>
      </c>
      <c r="V1432">
        <v>415136</v>
      </c>
    </row>
    <row r="1433" spans="1:22" x14ac:dyDescent="0.3">
      <c r="A1433" t="str">
        <f t="shared" si="44"/>
        <v>WHRLRealizado</v>
      </c>
      <c r="B1433" t="str">
        <f t="shared" si="45"/>
        <v>WHRLRealizadoSet-2022</v>
      </c>
      <c r="C1433" t="s">
        <v>506</v>
      </c>
      <c r="D1433" t="s">
        <v>507</v>
      </c>
      <c r="E1433" t="s">
        <v>489</v>
      </c>
      <c r="F1433" t="s">
        <v>740</v>
      </c>
      <c r="G1433" t="s">
        <v>741</v>
      </c>
      <c r="H1433" t="s">
        <v>742</v>
      </c>
      <c r="I1433" t="s">
        <v>700</v>
      </c>
      <c r="J1433" t="s">
        <v>746</v>
      </c>
      <c r="K1433" s="1">
        <v>44834</v>
      </c>
      <c r="L1433">
        <v>120995</v>
      </c>
      <c r="M1433">
        <v>7863732</v>
      </c>
      <c r="N1433">
        <v>3820044</v>
      </c>
      <c r="O1433">
        <v>1460041</v>
      </c>
      <c r="P1433">
        <v>-7863732</v>
      </c>
      <c r="Q1433">
        <v>-4458957</v>
      </c>
      <c r="R1433">
        <v>151164</v>
      </c>
      <c r="S1433">
        <v>164486</v>
      </c>
      <c r="T1433">
        <v>711984</v>
      </c>
      <c r="U1433">
        <v>2443415</v>
      </c>
      <c r="V1433">
        <v>1908736</v>
      </c>
    </row>
    <row r="1434" spans="1:22" x14ac:dyDescent="0.3">
      <c r="A1434" t="str">
        <f t="shared" si="44"/>
        <v>BALMRealizado</v>
      </c>
      <c r="B1434" t="str">
        <f t="shared" si="45"/>
        <v>BALMRealizadoSet-2022</v>
      </c>
      <c r="C1434" t="s">
        <v>520</v>
      </c>
      <c r="D1434" t="s">
        <v>521</v>
      </c>
      <c r="E1434" t="s">
        <v>522</v>
      </c>
      <c r="F1434" t="s">
        <v>740</v>
      </c>
      <c r="G1434" t="s">
        <v>741</v>
      </c>
      <c r="H1434" t="s">
        <v>742</v>
      </c>
      <c r="I1434" t="s">
        <v>701</v>
      </c>
      <c r="J1434" t="s">
        <v>743</v>
      </c>
      <c r="K1434" s="1">
        <v>44834</v>
      </c>
      <c r="L1434">
        <v>4032</v>
      </c>
      <c r="M1434">
        <v>216208</v>
      </c>
      <c r="N1434">
        <v>137194</v>
      </c>
      <c r="O1434">
        <v>41270</v>
      </c>
      <c r="P1434">
        <v>-216208</v>
      </c>
      <c r="Q1434">
        <v>-45258</v>
      </c>
      <c r="R1434">
        <v>2132</v>
      </c>
      <c r="S1434">
        <v>1947</v>
      </c>
      <c r="T1434">
        <v>65151</v>
      </c>
      <c r="U1434">
        <v>135059</v>
      </c>
      <c r="V1434">
        <v>34717</v>
      </c>
    </row>
    <row r="1435" spans="1:22" x14ac:dyDescent="0.3">
      <c r="A1435" t="str">
        <f t="shared" si="44"/>
        <v>FESARealizado</v>
      </c>
      <c r="B1435" t="str">
        <f t="shared" si="45"/>
        <v>FESARealizadoSet-2022</v>
      </c>
      <c r="C1435" t="s">
        <v>523</v>
      </c>
      <c r="D1435" t="s">
        <v>524</v>
      </c>
      <c r="E1435" t="s">
        <v>522</v>
      </c>
      <c r="F1435" t="s">
        <v>740</v>
      </c>
      <c r="G1435" t="s">
        <v>741</v>
      </c>
      <c r="H1435" t="s">
        <v>742</v>
      </c>
      <c r="I1435" t="s">
        <v>701</v>
      </c>
      <c r="J1435" t="s">
        <v>743</v>
      </c>
      <c r="K1435" s="1">
        <v>44834</v>
      </c>
      <c r="L1435">
        <v>277255</v>
      </c>
      <c r="M1435">
        <v>3606451</v>
      </c>
      <c r="N1435">
        <v>1579803</v>
      </c>
      <c r="O1435">
        <v>258596</v>
      </c>
      <c r="P1435">
        <v>-3606451</v>
      </c>
      <c r="Q1435">
        <v>-367587</v>
      </c>
      <c r="R1435">
        <v>114822</v>
      </c>
      <c r="S1435">
        <v>38596</v>
      </c>
      <c r="T1435">
        <v>1016707</v>
      </c>
      <c r="U1435">
        <v>3040727</v>
      </c>
      <c r="V1435">
        <v>736081</v>
      </c>
    </row>
    <row r="1436" spans="1:22" x14ac:dyDescent="0.3">
      <c r="A1436" t="str">
        <f t="shared" si="44"/>
        <v>CSNARealizado</v>
      </c>
      <c r="B1436" t="str">
        <f t="shared" si="45"/>
        <v>CSNARealizadoSet-2022</v>
      </c>
      <c r="C1436" t="s">
        <v>525</v>
      </c>
      <c r="D1436" t="s">
        <v>526</v>
      </c>
      <c r="E1436" t="s">
        <v>522</v>
      </c>
      <c r="F1436" t="s">
        <v>740</v>
      </c>
      <c r="G1436" t="s">
        <v>741</v>
      </c>
      <c r="H1436" t="s">
        <v>742</v>
      </c>
      <c r="I1436" t="s">
        <v>701</v>
      </c>
      <c r="J1436" t="s">
        <v>743</v>
      </c>
      <c r="K1436" s="1">
        <v>44834</v>
      </c>
      <c r="L1436">
        <v>133391</v>
      </c>
      <c r="M1436">
        <v>61135432</v>
      </c>
      <c r="N1436">
        <v>14516561</v>
      </c>
      <c r="O1436">
        <v>2103276</v>
      </c>
      <c r="P1436">
        <v>-61135432</v>
      </c>
      <c r="Q1436">
        <v>-14366065</v>
      </c>
      <c r="R1436">
        <v>190675</v>
      </c>
      <c r="S1436">
        <v>221344</v>
      </c>
      <c r="T1436">
        <v>9697708</v>
      </c>
      <c r="U1436">
        <v>21112515</v>
      </c>
      <c r="V1436">
        <v>6474363</v>
      </c>
    </row>
    <row r="1437" spans="1:22" x14ac:dyDescent="0.3">
      <c r="A1437" t="str">
        <f t="shared" si="44"/>
        <v>EALTRealizado</v>
      </c>
      <c r="B1437" t="str">
        <f t="shared" si="45"/>
        <v>EALTRealizadoSet-2022</v>
      </c>
      <c r="C1437" t="s">
        <v>527</v>
      </c>
      <c r="D1437" t="s">
        <v>528</v>
      </c>
      <c r="E1437" t="s">
        <v>522</v>
      </c>
      <c r="F1437" t="s">
        <v>740</v>
      </c>
      <c r="G1437" t="s">
        <v>741</v>
      </c>
      <c r="H1437" t="s">
        <v>742</v>
      </c>
      <c r="I1437" t="s">
        <v>701</v>
      </c>
      <c r="J1437" t="s">
        <v>743</v>
      </c>
      <c r="K1437" s="1">
        <v>44834</v>
      </c>
      <c r="L1437">
        <v>6944</v>
      </c>
      <c r="M1437">
        <v>518024</v>
      </c>
      <c r="N1437">
        <v>192752</v>
      </c>
      <c r="O1437">
        <v>94887</v>
      </c>
      <c r="P1437">
        <v>-518024</v>
      </c>
      <c r="Q1437">
        <v>-210627</v>
      </c>
      <c r="R1437">
        <v>34303</v>
      </c>
      <c r="S1437">
        <v>31125</v>
      </c>
      <c r="T1437">
        <v>90564</v>
      </c>
      <c r="U1437">
        <v>204685</v>
      </c>
      <c r="V1437">
        <v>122719</v>
      </c>
    </row>
    <row r="1438" spans="1:22" x14ac:dyDescent="0.3">
      <c r="A1438" t="str">
        <f t="shared" si="44"/>
        <v>GGBRRealizado</v>
      </c>
      <c r="B1438" t="str">
        <f t="shared" si="45"/>
        <v>GGBRRealizadoSet-2022</v>
      </c>
      <c r="C1438" t="s">
        <v>529</v>
      </c>
      <c r="D1438" t="s">
        <v>530</v>
      </c>
      <c r="E1438" t="s">
        <v>522</v>
      </c>
      <c r="F1438" t="s">
        <v>740</v>
      </c>
      <c r="G1438" t="s">
        <v>741</v>
      </c>
      <c r="H1438" t="s">
        <v>742</v>
      </c>
      <c r="I1438" t="s">
        <v>700</v>
      </c>
      <c r="J1438" t="s">
        <v>743</v>
      </c>
      <c r="K1438" s="1">
        <v>44834</v>
      </c>
      <c r="L1438">
        <v>3010857</v>
      </c>
      <c r="M1438">
        <v>58493796</v>
      </c>
      <c r="N1438">
        <v>2942627</v>
      </c>
      <c r="O1438">
        <v>672217</v>
      </c>
      <c r="P1438">
        <v>-58493796</v>
      </c>
      <c r="Q1438">
        <v>-3277883</v>
      </c>
      <c r="R1438">
        <v>87435</v>
      </c>
      <c r="S1438">
        <v>60041</v>
      </c>
      <c r="T1438">
        <v>17862532</v>
      </c>
      <c r="U1438">
        <v>49188157</v>
      </c>
      <c r="V1438">
        <v>1909684</v>
      </c>
    </row>
    <row r="1439" spans="1:22" x14ac:dyDescent="0.3">
      <c r="A1439" t="str">
        <f t="shared" si="44"/>
        <v>HAGARealizado</v>
      </c>
      <c r="B1439" t="str">
        <f t="shared" si="45"/>
        <v>HAGARealizadoSet-2022</v>
      </c>
      <c r="C1439" t="s">
        <v>543</v>
      </c>
      <c r="D1439" t="s">
        <v>544</v>
      </c>
      <c r="E1439" t="s">
        <v>522</v>
      </c>
      <c r="F1439" t="s">
        <v>740</v>
      </c>
      <c r="G1439" t="s">
        <v>741</v>
      </c>
      <c r="H1439" t="s">
        <v>742</v>
      </c>
      <c r="I1439" t="s">
        <v>701</v>
      </c>
      <c r="J1439" t="s">
        <v>743</v>
      </c>
      <c r="K1439" s="1">
        <v>44834</v>
      </c>
      <c r="L1439">
        <v>338975</v>
      </c>
      <c r="M1439">
        <v>58516702</v>
      </c>
      <c r="N1439">
        <v>43452995</v>
      </c>
      <c r="O1439">
        <v>11593068</v>
      </c>
      <c r="P1439">
        <v>-58516702</v>
      </c>
      <c r="Q1439">
        <v>-28390597</v>
      </c>
      <c r="R1439">
        <v>500007</v>
      </c>
      <c r="S1439">
        <v>4499459</v>
      </c>
      <c r="T1439">
        <v>0</v>
      </c>
      <c r="U1439">
        <v>-62753980</v>
      </c>
      <c r="V1439">
        <v>4555992</v>
      </c>
    </row>
    <row r="1440" spans="1:22" x14ac:dyDescent="0.3">
      <c r="A1440" t="str">
        <f t="shared" si="44"/>
        <v>HETARealizado</v>
      </c>
      <c r="B1440" t="str">
        <f t="shared" si="45"/>
        <v>HETARealizadoSet-2022</v>
      </c>
      <c r="C1440" t="s">
        <v>545</v>
      </c>
      <c r="D1440" t="s">
        <v>546</v>
      </c>
      <c r="E1440" t="s">
        <v>522</v>
      </c>
      <c r="F1440" t="s">
        <v>740</v>
      </c>
      <c r="G1440" t="s">
        <v>741</v>
      </c>
      <c r="H1440" t="s">
        <v>742</v>
      </c>
      <c r="I1440" t="s">
        <v>744</v>
      </c>
      <c r="J1440" t="s">
        <v>743</v>
      </c>
      <c r="K1440" s="1">
        <v>44834</v>
      </c>
      <c r="L1440">
        <v>-1550</v>
      </c>
      <c r="M1440">
        <v>12380</v>
      </c>
      <c r="N1440">
        <v>2244</v>
      </c>
      <c r="O1440">
        <v>2119</v>
      </c>
      <c r="P1440">
        <v>-12380</v>
      </c>
      <c r="Q1440">
        <v>-89389</v>
      </c>
      <c r="R1440">
        <v>0</v>
      </c>
      <c r="S1440">
        <v>89302</v>
      </c>
      <c r="T1440">
        <v>0</v>
      </c>
      <c r="U1440">
        <v>-558599</v>
      </c>
      <c r="V1440">
        <v>862</v>
      </c>
    </row>
    <row r="1441" spans="1:22" x14ac:dyDescent="0.3">
      <c r="A1441" t="str">
        <f t="shared" si="44"/>
        <v>MTSARealizado</v>
      </c>
      <c r="B1441" t="str">
        <f t="shared" si="45"/>
        <v>MTSARealizadoSet-2022</v>
      </c>
      <c r="C1441" t="s">
        <v>531</v>
      </c>
      <c r="D1441" t="s">
        <v>532</v>
      </c>
      <c r="E1441" t="s">
        <v>522</v>
      </c>
      <c r="F1441" t="s">
        <v>740</v>
      </c>
      <c r="G1441" t="s">
        <v>741</v>
      </c>
      <c r="H1441" t="s">
        <v>742</v>
      </c>
      <c r="I1441" t="s">
        <v>700</v>
      </c>
      <c r="J1441" t="s">
        <v>745</v>
      </c>
      <c r="K1441" s="1">
        <v>44834</v>
      </c>
      <c r="L1441">
        <v>27739675</v>
      </c>
      <c r="M1441">
        <v>569697683</v>
      </c>
      <c r="N1441">
        <v>461135486</v>
      </c>
      <c r="O1441">
        <v>157279349</v>
      </c>
      <c r="P1441">
        <v>-569697683</v>
      </c>
      <c r="Q1441">
        <v>-188127130</v>
      </c>
      <c r="R1441">
        <v>8253973</v>
      </c>
      <c r="S1441">
        <v>15824671</v>
      </c>
      <c r="T1441">
        <v>5659868</v>
      </c>
      <c r="U1441">
        <v>372455527</v>
      </c>
      <c r="V1441">
        <v>228709898</v>
      </c>
    </row>
    <row r="1442" spans="1:22" x14ac:dyDescent="0.3">
      <c r="A1442" t="str">
        <f t="shared" si="44"/>
        <v>NORDRealizado</v>
      </c>
      <c r="B1442" t="str">
        <f t="shared" si="45"/>
        <v>NORDRealizadoSet-2022</v>
      </c>
      <c r="C1442" t="s">
        <v>547</v>
      </c>
      <c r="D1442" t="s">
        <v>548</v>
      </c>
      <c r="E1442" t="s">
        <v>522</v>
      </c>
      <c r="F1442" t="s">
        <v>740</v>
      </c>
      <c r="G1442" t="s">
        <v>741</v>
      </c>
      <c r="H1442" t="s">
        <v>742</v>
      </c>
      <c r="I1442" t="s">
        <v>744</v>
      </c>
      <c r="J1442" t="s">
        <v>743</v>
      </c>
      <c r="K1442" s="1">
        <v>44834</v>
      </c>
      <c r="L1442">
        <v>-318</v>
      </c>
      <c r="M1442">
        <v>17397</v>
      </c>
      <c r="N1442">
        <v>1202</v>
      </c>
      <c r="O1442">
        <v>1194</v>
      </c>
      <c r="P1442">
        <v>-17397</v>
      </c>
      <c r="Q1442">
        <v>-47478</v>
      </c>
      <c r="R1442">
        <v>22</v>
      </c>
      <c r="S1442">
        <v>1350</v>
      </c>
      <c r="T1442">
        <v>0</v>
      </c>
      <c r="U1442">
        <v>-148922</v>
      </c>
      <c r="V1442">
        <v>416</v>
      </c>
    </row>
    <row r="1443" spans="1:22" x14ac:dyDescent="0.3">
      <c r="A1443" t="str">
        <f t="shared" si="44"/>
        <v>PATIRealizado</v>
      </c>
      <c r="B1443" t="str">
        <f t="shared" si="45"/>
        <v>PATIRealizadoSet-2022</v>
      </c>
      <c r="C1443" t="s">
        <v>533</v>
      </c>
      <c r="D1443" t="s">
        <v>534</v>
      </c>
      <c r="E1443" t="s">
        <v>522</v>
      </c>
      <c r="F1443" t="s">
        <v>740</v>
      </c>
      <c r="G1443" t="s">
        <v>741</v>
      </c>
      <c r="H1443" t="s">
        <v>742</v>
      </c>
      <c r="I1443" t="s">
        <v>701</v>
      </c>
      <c r="J1443" t="s">
        <v>743</v>
      </c>
      <c r="K1443" s="1">
        <v>44834</v>
      </c>
      <c r="L1443">
        <v>19322</v>
      </c>
      <c r="M1443">
        <v>1587507</v>
      </c>
      <c r="N1443">
        <v>802071</v>
      </c>
      <c r="O1443">
        <v>134815</v>
      </c>
      <c r="P1443">
        <v>-1587507</v>
      </c>
      <c r="Q1443">
        <v>-302553</v>
      </c>
      <c r="R1443">
        <v>1248</v>
      </c>
      <c r="S1443">
        <v>744</v>
      </c>
      <c r="T1443">
        <v>395195</v>
      </c>
      <c r="U1443">
        <v>910405</v>
      </c>
      <c r="V1443">
        <v>234351</v>
      </c>
    </row>
    <row r="1444" spans="1:22" x14ac:dyDescent="0.3">
      <c r="A1444" t="str">
        <f t="shared" si="44"/>
        <v>PMAMRealizado</v>
      </c>
      <c r="B1444" t="str">
        <f t="shared" si="45"/>
        <v>PMAMRealizadoSet-2022</v>
      </c>
      <c r="C1444" t="s">
        <v>549</v>
      </c>
      <c r="D1444" t="s">
        <v>550</v>
      </c>
      <c r="E1444" t="s">
        <v>522</v>
      </c>
      <c r="F1444" t="s">
        <v>740</v>
      </c>
      <c r="G1444" t="s">
        <v>741</v>
      </c>
      <c r="H1444" t="s">
        <v>742</v>
      </c>
      <c r="I1444" t="s">
        <v>744</v>
      </c>
      <c r="J1444" t="s">
        <v>743</v>
      </c>
      <c r="K1444" s="1">
        <v>44834</v>
      </c>
      <c r="L1444">
        <v>-317006</v>
      </c>
      <c r="M1444">
        <v>2532979</v>
      </c>
      <c r="N1444">
        <v>642925</v>
      </c>
      <c r="O1444">
        <v>25157</v>
      </c>
      <c r="P1444">
        <v>-2532979</v>
      </c>
      <c r="Q1444">
        <v>-1444293</v>
      </c>
      <c r="R1444">
        <v>49490</v>
      </c>
      <c r="S1444">
        <v>9493</v>
      </c>
      <c r="T1444">
        <v>0</v>
      </c>
      <c r="U1444">
        <v>-1621541</v>
      </c>
      <c r="V1444">
        <v>474510</v>
      </c>
    </row>
    <row r="1445" spans="1:22" x14ac:dyDescent="0.3">
      <c r="A1445" t="str">
        <f t="shared" si="44"/>
        <v>SHULRealizado</v>
      </c>
      <c r="B1445" t="str">
        <f t="shared" si="45"/>
        <v>SHULRealizadoSet-2022</v>
      </c>
      <c r="C1445" t="s">
        <v>535</v>
      </c>
      <c r="D1445" t="s">
        <v>536</v>
      </c>
      <c r="E1445" t="s">
        <v>522</v>
      </c>
      <c r="F1445" t="s">
        <v>740</v>
      </c>
      <c r="G1445" t="s">
        <v>741</v>
      </c>
      <c r="H1445" t="s">
        <v>742</v>
      </c>
      <c r="I1445" t="s">
        <v>701</v>
      </c>
      <c r="J1445" t="s">
        <v>743</v>
      </c>
      <c r="K1445" s="1">
        <v>44834</v>
      </c>
      <c r="L1445">
        <v>84261</v>
      </c>
      <c r="M1445">
        <v>2136854</v>
      </c>
      <c r="N1445">
        <v>1104040</v>
      </c>
      <c r="O1445">
        <v>386239</v>
      </c>
      <c r="P1445">
        <v>-2136854</v>
      </c>
      <c r="Q1445">
        <v>-438821</v>
      </c>
      <c r="R1445">
        <v>35446</v>
      </c>
      <c r="S1445">
        <v>27392</v>
      </c>
      <c r="T1445">
        <v>312884</v>
      </c>
      <c r="U1445">
        <v>1041628</v>
      </c>
      <c r="V1445">
        <v>468766</v>
      </c>
    </row>
    <row r="1446" spans="1:22" x14ac:dyDescent="0.3">
      <c r="A1446" t="str">
        <f t="shared" si="44"/>
        <v>APTIRealizado</v>
      </c>
      <c r="B1446" t="str">
        <f t="shared" si="45"/>
        <v>APTIRealizadoSet-2022</v>
      </c>
      <c r="C1446" t="s">
        <v>537</v>
      </c>
      <c r="D1446" t="s">
        <v>538</v>
      </c>
      <c r="E1446" t="s">
        <v>522</v>
      </c>
      <c r="F1446" t="s">
        <v>740</v>
      </c>
      <c r="G1446" t="s">
        <v>741</v>
      </c>
      <c r="H1446" t="s">
        <v>742</v>
      </c>
      <c r="I1446" t="s">
        <v>701</v>
      </c>
      <c r="J1446" t="s">
        <v>743</v>
      </c>
      <c r="K1446" s="1">
        <v>44834</v>
      </c>
      <c r="L1446">
        <v>2821</v>
      </c>
      <c r="M1446">
        <v>377978</v>
      </c>
      <c r="N1446">
        <v>2133</v>
      </c>
      <c r="O1446">
        <v>29807</v>
      </c>
      <c r="P1446">
        <v>-377978</v>
      </c>
      <c r="Q1446">
        <v>-4850</v>
      </c>
      <c r="R1446">
        <v>71</v>
      </c>
      <c r="S1446">
        <v>1922</v>
      </c>
      <c r="T1446">
        <v>33889</v>
      </c>
      <c r="U1446">
        <v>243433</v>
      </c>
      <c r="V1446">
        <v>4336</v>
      </c>
    </row>
    <row r="1447" spans="1:22" x14ac:dyDescent="0.3">
      <c r="A1447" t="str">
        <f t="shared" si="44"/>
        <v>TUPYRealizado</v>
      </c>
      <c r="B1447" t="str">
        <f t="shared" si="45"/>
        <v>TUPYRealizadoSet-2022</v>
      </c>
      <c r="C1447" t="s">
        <v>539</v>
      </c>
      <c r="D1447" t="s">
        <v>540</v>
      </c>
      <c r="E1447" t="s">
        <v>522</v>
      </c>
      <c r="F1447" t="s">
        <v>740</v>
      </c>
      <c r="G1447" t="s">
        <v>741</v>
      </c>
      <c r="H1447" t="s">
        <v>742</v>
      </c>
      <c r="I1447" t="s">
        <v>701</v>
      </c>
      <c r="J1447" t="s">
        <v>743</v>
      </c>
      <c r="K1447" s="1">
        <v>44834</v>
      </c>
      <c r="L1447">
        <v>194289</v>
      </c>
      <c r="M1447">
        <v>7167612</v>
      </c>
      <c r="N1447">
        <v>3272148</v>
      </c>
      <c r="O1447">
        <v>1092474</v>
      </c>
      <c r="P1447">
        <v>-7167612</v>
      </c>
      <c r="Q1447">
        <v>-986378</v>
      </c>
      <c r="R1447">
        <v>213991</v>
      </c>
      <c r="S1447">
        <v>21580</v>
      </c>
      <c r="T1447">
        <v>759087</v>
      </c>
      <c r="U1447">
        <v>3107294</v>
      </c>
      <c r="V1447">
        <v>1402473</v>
      </c>
    </row>
    <row r="1448" spans="1:22" x14ac:dyDescent="0.3">
      <c r="A1448" t="str">
        <f t="shared" si="44"/>
        <v>USIMRealizado</v>
      </c>
      <c r="B1448" t="str">
        <f t="shared" si="45"/>
        <v>USIMRealizadoSet-2022</v>
      </c>
      <c r="C1448" t="s">
        <v>541</v>
      </c>
      <c r="D1448" t="s">
        <v>542</v>
      </c>
      <c r="E1448" t="s">
        <v>522</v>
      </c>
      <c r="F1448" t="s">
        <v>740</v>
      </c>
      <c r="G1448" t="s">
        <v>741</v>
      </c>
      <c r="H1448" t="s">
        <v>742</v>
      </c>
      <c r="I1448" t="s">
        <v>701</v>
      </c>
      <c r="J1448" t="s">
        <v>743</v>
      </c>
      <c r="K1448" s="1">
        <v>44834</v>
      </c>
      <c r="L1448">
        <v>517002</v>
      </c>
      <c r="M1448">
        <v>36811895</v>
      </c>
      <c r="N1448">
        <v>15674443</v>
      </c>
      <c r="O1448">
        <v>3713563</v>
      </c>
      <c r="P1448">
        <v>-36811895</v>
      </c>
      <c r="Q1448">
        <v>-4118655</v>
      </c>
      <c r="R1448">
        <v>210280</v>
      </c>
      <c r="S1448">
        <v>117951</v>
      </c>
      <c r="T1448">
        <v>8324834</v>
      </c>
      <c r="U1448">
        <v>24292176</v>
      </c>
      <c r="V1448">
        <v>7481062</v>
      </c>
    </row>
    <row r="1449" spans="1:22" x14ac:dyDescent="0.3">
      <c r="A1449" t="str">
        <f t="shared" si="44"/>
        <v>MWETRealizado</v>
      </c>
      <c r="B1449" t="str">
        <f t="shared" si="45"/>
        <v>MWETRealizadoSet-2022</v>
      </c>
      <c r="C1449" t="s">
        <v>551</v>
      </c>
      <c r="D1449" t="s">
        <v>552</v>
      </c>
      <c r="E1449" t="s">
        <v>522</v>
      </c>
      <c r="F1449" t="s">
        <v>740</v>
      </c>
      <c r="G1449" t="s">
        <v>741</v>
      </c>
      <c r="H1449" t="s">
        <v>742</v>
      </c>
      <c r="I1449" t="s">
        <v>701</v>
      </c>
      <c r="J1449" t="s">
        <v>743</v>
      </c>
      <c r="K1449" s="1">
        <v>44834</v>
      </c>
      <c r="L1449">
        <v>30280</v>
      </c>
      <c r="M1449">
        <v>266371</v>
      </c>
      <c r="N1449">
        <v>123476</v>
      </c>
      <c r="O1449">
        <v>38504</v>
      </c>
      <c r="P1449">
        <v>-266371</v>
      </c>
      <c r="Q1449">
        <v>-119367</v>
      </c>
      <c r="R1449">
        <v>21520</v>
      </c>
      <c r="S1449">
        <v>18897</v>
      </c>
      <c r="T1449">
        <v>0</v>
      </c>
      <c r="U1449">
        <v>-22427</v>
      </c>
      <c r="V1449">
        <v>81838</v>
      </c>
    </row>
    <row r="1450" spans="1:22" x14ac:dyDescent="0.3">
      <c r="A1450" t="str">
        <f t="shared" si="44"/>
        <v>ALPARealizado</v>
      </c>
      <c r="B1450" t="str">
        <f t="shared" si="45"/>
        <v>ALPARealizadoSet-2022</v>
      </c>
      <c r="C1450" t="s">
        <v>665</v>
      </c>
      <c r="D1450" t="s">
        <v>666</v>
      </c>
      <c r="E1450" t="s">
        <v>667</v>
      </c>
      <c r="F1450" t="s">
        <v>740</v>
      </c>
      <c r="G1450" t="s">
        <v>741</v>
      </c>
      <c r="H1450" t="s">
        <v>742</v>
      </c>
      <c r="I1450" t="s">
        <v>701</v>
      </c>
      <c r="J1450" t="s">
        <v>743</v>
      </c>
      <c r="K1450" s="1">
        <v>44834</v>
      </c>
      <c r="L1450">
        <v>45121</v>
      </c>
      <c r="M1450">
        <v>7683075</v>
      </c>
      <c r="N1450">
        <v>2726220</v>
      </c>
      <c r="O1450">
        <v>798194</v>
      </c>
      <c r="P1450">
        <v>-7683075</v>
      </c>
      <c r="Q1450">
        <v>-1554461</v>
      </c>
      <c r="R1450">
        <v>142645</v>
      </c>
      <c r="S1450">
        <v>18917</v>
      </c>
      <c r="T1450">
        <v>1826926</v>
      </c>
      <c r="U1450">
        <v>5860168</v>
      </c>
      <c r="V1450">
        <v>933695</v>
      </c>
    </row>
    <row r="1451" spans="1:22" x14ac:dyDescent="0.3">
      <c r="A1451" t="str">
        <f t="shared" si="44"/>
        <v>ARZZRealizado</v>
      </c>
      <c r="B1451" t="str">
        <f t="shared" si="45"/>
        <v>ARZZRealizadoSet-2022</v>
      </c>
      <c r="C1451" t="s">
        <v>668</v>
      </c>
      <c r="D1451" t="s">
        <v>669</v>
      </c>
      <c r="E1451" t="s">
        <v>667</v>
      </c>
      <c r="F1451" t="s">
        <v>740</v>
      </c>
      <c r="G1451" t="s">
        <v>741</v>
      </c>
      <c r="H1451" t="s">
        <v>742</v>
      </c>
      <c r="I1451" t="s">
        <v>701</v>
      </c>
      <c r="J1451" t="s">
        <v>746</v>
      </c>
      <c r="K1451" s="1">
        <v>44834</v>
      </c>
      <c r="L1451">
        <v>99194</v>
      </c>
      <c r="M1451">
        <v>3851411</v>
      </c>
      <c r="N1451">
        <v>1557533</v>
      </c>
      <c r="O1451">
        <v>648484</v>
      </c>
      <c r="P1451">
        <v>-3851411</v>
      </c>
      <c r="Q1451">
        <v>-978216</v>
      </c>
      <c r="R1451">
        <v>99401</v>
      </c>
      <c r="S1451">
        <v>7408</v>
      </c>
      <c r="T1451">
        <v>541478</v>
      </c>
      <c r="U1451">
        <v>2614130</v>
      </c>
      <c r="V1451">
        <v>891010</v>
      </c>
    </row>
    <row r="1452" spans="1:22" x14ac:dyDescent="0.3">
      <c r="A1452" t="str">
        <f t="shared" si="44"/>
        <v>CAMBRealizado</v>
      </c>
      <c r="B1452" t="str">
        <f t="shared" si="45"/>
        <v>CAMBRealizadoSet-2022</v>
      </c>
      <c r="C1452" t="s">
        <v>670</v>
      </c>
      <c r="D1452" t="s">
        <v>671</v>
      </c>
      <c r="E1452" t="s">
        <v>667</v>
      </c>
      <c r="F1452" t="s">
        <v>740</v>
      </c>
      <c r="G1452" t="s">
        <v>741</v>
      </c>
      <c r="H1452" t="s">
        <v>742</v>
      </c>
      <c r="I1452" t="s">
        <v>701</v>
      </c>
      <c r="J1452" t="s">
        <v>746</v>
      </c>
      <c r="K1452" s="1">
        <v>44834</v>
      </c>
      <c r="L1452">
        <v>21311</v>
      </c>
      <c r="M1452">
        <v>400071</v>
      </c>
      <c r="N1452">
        <v>151282</v>
      </c>
      <c r="O1452">
        <v>107494</v>
      </c>
      <c r="P1452">
        <v>-400071</v>
      </c>
      <c r="Q1452">
        <v>-110778</v>
      </c>
      <c r="R1452">
        <v>16022</v>
      </c>
      <c r="S1452">
        <v>7365</v>
      </c>
      <c r="T1452">
        <v>60335</v>
      </c>
      <c r="U1452">
        <v>158791</v>
      </c>
      <c r="V1452">
        <v>122674</v>
      </c>
    </row>
    <row r="1453" spans="1:22" x14ac:dyDescent="0.3">
      <c r="A1453" t="str">
        <f t="shared" si="44"/>
        <v>CEDORealizado</v>
      </c>
      <c r="B1453" t="str">
        <f t="shared" si="45"/>
        <v>CEDORealizadoSet-2022</v>
      </c>
      <c r="C1453" t="s">
        <v>688</v>
      </c>
      <c r="D1453" t="s">
        <v>689</v>
      </c>
      <c r="E1453" t="s">
        <v>667</v>
      </c>
      <c r="F1453" t="s">
        <v>740</v>
      </c>
      <c r="G1453" t="s">
        <v>741</v>
      </c>
      <c r="H1453" t="s">
        <v>742</v>
      </c>
      <c r="I1453" t="s">
        <v>700</v>
      </c>
      <c r="J1453" t="s">
        <v>743</v>
      </c>
      <c r="K1453" s="1">
        <v>44834</v>
      </c>
      <c r="L1453">
        <v>14956</v>
      </c>
      <c r="M1453">
        <v>686099</v>
      </c>
      <c r="N1453">
        <v>344593</v>
      </c>
      <c r="O1453">
        <v>171406</v>
      </c>
      <c r="P1453">
        <v>-686099</v>
      </c>
      <c r="Q1453">
        <v>-425720</v>
      </c>
      <c r="R1453">
        <v>21548</v>
      </c>
      <c r="S1453">
        <v>22694</v>
      </c>
      <c r="T1453">
        <v>0</v>
      </c>
      <c r="U1453">
        <v>117761</v>
      </c>
      <c r="V1453">
        <v>250370</v>
      </c>
    </row>
    <row r="1454" spans="1:22" x14ac:dyDescent="0.3">
      <c r="A1454" t="str">
        <f t="shared" si="44"/>
        <v>CTNMRealizado</v>
      </c>
      <c r="B1454" t="str">
        <f t="shared" si="45"/>
        <v>CTNMRealizadoSet-2022</v>
      </c>
      <c r="C1454" t="s">
        <v>690</v>
      </c>
      <c r="D1454" t="s">
        <v>691</v>
      </c>
      <c r="E1454" t="s">
        <v>667</v>
      </c>
      <c r="F1454" t="s">
        <v>740</v>
      </c>
      <c r="G1454" t="s">
        <v>741</v>
      </c>
      <c r="H1454" t="s">
        <v>742</v>
      </c>
      <c r="I1454" t="s">
        <v>700</v>
      </c>
      <c r="J1454" t="s">
        <v>743</v>
      </c>
      <c r="K1454" s="1">
        <v>44834</v>
      </c>
      <c r="L1454">
        <v>-116295</v>
      </c>
      <c r="M1454">
        <v>1200352</v>
      </c>
      <c r="N1454">
        <v>56216</v>
      </c>
      <c r="O1454">
        <v>478</v>
      </c>
      <c r="P1454">
        <v>-1200352</v>
      </c>
      <c r="Q1454">
        <v>-130895</v>
      </c>
      <c r="R1454">
        <v>1391</v>
      </c>
      <c r="S1454">
        <v>2</v>
      </c>
      <c r="T1454">
        <v>0</v>
      </c>
      <c r="U1454">
        <v>504079</v>
      </c>
      <c r="V1454">
        <v>-99917</v>
      </c>
    </row>
    <row r="1455" spans="1:22" x14ac:dyDescent="0.3">
      <c r="A1455" t="str">
        <f t="shared" si="44"/>
        <v>CTSARealizado</v>
      </c>
      <c r="B1455" t="str">
        <f t="shared" si="45"/>
        <v>CTSARealizadoSet-2022</v>
      </c>
      <c r="C1455" t="s">
        <v>672</v>
      </c>
      <c r="D1455" t="s">
        <v>673</v>
      </c>
      <c r="E1455" t="s">
        <v>667</v>
      </c>
      <c r="F1455" t="s">
        <v>740</v>
      </c>
      <c r="G1455" t="s">
        <v>741</v>
      </c>
      <c r="H1455" t="s">
        <v>742</v>
      </c>
      <c r="I1455" t="s">
        <v>700</v>
      </c>
      <c r="J1455" t="s">
        <v>743</v>
      </c>
      <c r="K1455" s="1">
        <v>44834</v>
      </c>
      <c r="L1455">
        <v>-9615</v>
      </c>
      <c r="M1455">
        <v>621095</v>
      </c>
      <c r="N1455">
        <v>190719</v>
      </c>
      <c r="O1455">
        <v>87212</v>
      </c>
      <c r="P1455">
        <v>-621095</v>
      </c>
      <c r="Q1455">
        <v>-227274</v>
      </c>
      <c r="R1455">
        <v>0</v>
      </c>
      <c r="S1455">
        <v>42203</v>
      </c>
      <c r="T1455">
        <v>94968</v>
      </c>
      <c r="U1455">
        <v>279573</v>
      </c>
      <c r="V1455">
        <v>111537</v>
      </c>
    </row>
    <row r="1456" spans="1:22" x14ac:dyDescent="0.3">
      <c r="A1456" t="str">
        <f t="shared" si="44"/>
        <v>DOHLRealizado</v>
      </c>
      <c r="B1456" t="str">
        <f t="shared" si="45"/>
        <v>DOHLRealizadoSet-2022</v>
      </c>
      <c r="C1456" t="s">
        <v>674</v>
      </c>
      <c r="D1456" t="s">
        <v>675</v>
      </c>
      <c r="E1456" t="s">
        <v>667</v>
      </c>
      <c r="F1456" t="s">
        <v>740</v>
      </c>
      <c r="G1456" t="s">
        <v>741</v>
      </c>
      <c r="H1456" t="s">
        <v>742</v>
      </c>
      <c r="I1456" t="s">
        <v>701</v>
      </c>
      <c r="J1456" t="s">
        <v>746</v>
      </c>
      <c r="K1456" s="1">
        <v>44834</v>
      </c>
      <c r="L1456">
        <v>145</v>
      </c>
      <c r="M1456">
        <v>967314</v>
      </c>
      <c r="N1456">
        <v>516962</v>
      </c>
      <c r="O1456">
        <v>171381</v>
      </c>
      <c r="P1456">
        <v>-967314</v>
      </c>
      <c r="Q1456">
        <v>-101713</v>
      </c>
      <c r="R1456">
        <v>24515</v>
      </c>
      <c r="S1456">
        <v>7205</v>
      </c>
      <c r="T1456">
        <v>389582</v>
      </c>
      <c r="U1456">
        <v>708641</v>
      </c>
      <c r="V1456">
        <v>176697</v>
      </c>
    </row>
    <row r="1457" spans="1:22" x14ac:dyDescent="0.3">
      <c r="A1457" t="str">
        <f t="shared" si="44"/>
        <v>GRNDRealizado</v>
      </c>
      <c r="B1457" t="str">
        <f t="shared" si="45"/>
        <v>GRNDRealizadoSet-2022</v>
      </c>
      <c r="C1457" t="s">
        <v>676</v>
      </c>
      <c r="D1457" t="s">
        <v>677</v>
      </c>
      <c r="E1457" t="s">
        <v>667</v>
      </c>
      <c r="F1457" t="s">
        <v>740</v>
      </c>
      <c r="G1457" t="s">
        <v>741</v>
      </c>
      <c r="H1457" t="s">
        <v>742</v>
      </c>
      <c r="I1457" t="s">
        <v>700</v>
      </c>
      <c r="J1457" t="s">
        <v>743</v>
      </c>
      <c r="K1457" s="1">
        <v>44834</v>
      </c>
      <c r="L1457">
        <v>174241</v>
      </c>
      <c r="M1457">
        <v>4663131</v>
      </c>
      <c r="N1457">
        <v>2872978</v>
      </c>
      <c r="O1457">
        <v>1039163</v>
      </c>
      <c r="P1457">
        <v>-4663131</v>
      </c>
      <c r="Q1457">
        <v>-376815</v>
      </c>
      <c r="R1457">
        <v>98646</v>
      </c>
      <c r="S1457">
        <v>40303</v>
      </c>
      <c r="T1457">
        <v>3017673</v>
      </c>
      <c r="U1457">
        <v>4269370</v>
      </c>
      <c r="V1457">
        <v>693325</v>
      </c>
    </row>
    <row r="1458" spans="1:22" x14ac:dyDescent="0.3">
      <c r="A1458" t="str">
        <f t="shared" si="44"/>
        <v>SOMARealizado</v>
      </c>
      <c r="B1458" t="str">
        <f t="shared" si="45"/>
        <v>SOMARealizadoSet-2022</v>
      </c>
      <c r="C1458" t="s">
        <v>678</v>
      </c>
      <c r="D1458" t="s">
        <v>679</v>
      </c>
      <c r="E1458" t="s">
        <v>667</v>
      </c>
      <c r="F1458" t="s">
        <v>740</v>
      </c>
      <c r="G1458" t="s">
        <v>741</v>
      </c>
      <c r="H1458" t="s">
        <v>742</v>
      </c>
      <c r="I1458" t="s">
        <v>701</v>
      </c>
      <c r="J1458" t="s">
        <v>743</v>
      </c>
      <c r="K1458" s="1">
        <v>44834</v>
      </c>
      <c r="L1458">
        <v>102143</v>
      </c>
      <c r="M1458">
        <v>8257900</v>
      </c>
      <c r="N1458">
        <v>813227</v>
      </c>
      <c r="O1458">
        <v>390703</v>
      </c>
      <c r="P1458">
        <v>-8257900</v>
      </c>
      <c r="Q1458">
        <v>-250933</v>
      </c>
      <c r="R1458">
        <v>48503</v>
      </c>
      <c r="S1458">
        <v>11436</v>
      </c>
      <c r="T1458">
        <v>228590</v>
      </c>
      <c r="U1458">
        <v>7413643</v>
      </c>
      <c r="V1458">
        <v>408222</v>
      </c>
    </row>
    <row r="1459" spans="1:22" x14ac:dyDescent="0.3">
      <c r="A1459" t="str">
        <f t="shared" si="44"/>
        <v>GUARRealizado</v>
      </c>
      <c r="B1459" t="str">
        <f t="shared" si="45"/>
        <v>GUARRealizadoSet-2022</v>
      </c>
      <c r="C1459" t="s">
        <v>680</v>
      </c>
      <c r="D1459" t="s">
        <v>681</v>
      </c>
      <c r="E1459" t="s">
        <v>667</v>
      </c>
      <c r="F1459" t="s">
        <v>740</v>
      </c>
      <c r="G1459" t="s">
        <v>741</v>
      </c>
      <c r="H1459" t="s">
        <v>742</v>
      </c>
      <c r="I1459" t="s">
        <v>701</v>
      </c>
      <c r="J1459" t="s">
        <v>743</v>
      </c>
      <c r="K1459" s="1">
        <v>44834</v>
      </c>
      <c r="L1459">
        <v>3478</v>
      </c>
      <c r="M1459">
        <v>7376311</v>
      </c>
      <c r="N1459">
        <v>1395194</v>
      </c>
      <c r="O1459">
        <v>1055560</v>
      </c>
      <c r="P1459">
        <v>-7376311</v>
      </c>
      <c r="Q1459">
        <v>-863471</v>
      </c>
      <c r="R1459">
        <v>46234</v>
      </c>
      <c r="S1459">
        <v>19613</v>
      </c>
      <c r="T1459">
        <v>1919284</v>
      </c>
      <c r="U1459">
        <v>5158500</v>
      </c>
      <c r="V1459">
        <v>400065</v>
      </c>
    </row>
    <row r="1460" spans="1:22" x14ac:dyDescent="0.3">
      <c r="A1460" t="str">
        <f t="shared" si="44"/>
        <v>CTKARealizado</v>
      </c>
      <c r="B1460" t="str">
        <f t="shared" si="45"/>
        <v>CTKARealizadoSet-2022</v>
      </c>
      <c r="C1460" t="s">
        <v>696</v>
      </c>
      <c r="D1460" t="s">
        <v>697</v>
      </c>
      <c r="E1460" t="s">
        <v>667</v>
      </c>
      <c r="F1460" t="s">
        <v>740</v>
      </c>
      <c r="G1460" t="s">
        <v>741</v>
      </c>
      <c r="H1460" t="s">
        <v>742</v>
      </c>
      <c r="I1460" t="s">
        <v>744</v>
      </c>
      <c r="J1460" t="s">
        <v>743</v>
      </c>
      <c r="K1460" s="1">
        <v>44834</v>
      </c>
      <c r="L1460">
        <v>-394</v>
      </c>
      <c r="M1460">
        <v>642350</v>
      </c>
      <c r="N1460">
        <v>440808</v>
      </c>
      <c r="O1460">
        <v>199296</v>
      </c>
      <c r="P1460">
        <v>-642350</v>
      </c>
      <c r="Q1460">
        <v>-272453</v>
      </c>
      <c r="R1460">
        <v>43606</v>
      </c>
      <c r="S1460">
        <v>3621</v>
      </c>
      <c r="T1460">
        <v>0</v>
      </c>
      <c r="U1460">
        <v>-162561</v>
      </c>
      <c r="V1460">
        <v>155456</v>
      </c>
    </row>
    <row r="1461" spans="1:22" x14ac:dyDescent="0.3">
      <c r="A1461" t="str">
        <f t="shared" si="44"/>
        <v>MNDLRealizado</v>
      </c>
      <c r="B1461" t="str">
        <f t="shared" si="45"/>
        <v>MNDLRealizadoSet-2022</v>
      </c>
      <c r="C1461" t="s">
        <v>698</v>
      </c>
      <c r="D1461" t="s">
        <v>699</v>
      </c>
      <c r="E1461" t="s">
        <v>667</v>
      </c>
      <c r="F1461" t="s">
        <v>740</v>
      </c>
      <c r="G1461" t="s">
        <v>741</v>
      </c>
      <c r="H1461" t="s">
        <v>742</v>
      </c>
      <c r="I1461" t="s">
        <v>744</v>
      </c>
      <c r="J1461" t="s">
        <v>743</v>
      </c>
      <c r="K1461" s="1">
        <v>44834</v>
      </c>
      <c r="L1461">
        <v>-11995</v>
      </c>
      <c r="M1461">
        <v>1191590</v>
      </c>
      <c r="N1461">
        <v>171753</v>
      </c>
      <c r="O1461">
        <v>107976</v>
      </c>
      <c r="P1461">
        <v>-1191590</v>
      </c>
      <c r="Q1461">
        <v>-1289369</v>
      </c>
      <c r="R1461">
        <v>263155</v>
      </c>
      <c r="S1461">
        <v>841340</v>
      </c>
      <c r="T1461">
        <v>0</v>
      </c>
      <c r="U1461">
        <v>-752804</v>
      </c>
      <c r="V1461">
        <v>91441</v>
      </c>
    </row>
    <row r="1462" spans="1:22" x14ac:dyDescent="0.3">
      <c r="A1462" t="str">
        <f t="shared" si="44"/>
        <v>PTNTRealizado</v>
      </c>
      <c r="B1462" t="str">
        <f t="shared" si="45"/>
        <v>PTNTRealizadoSet-2022</v>
      </c>
      <c r="C1462" t="s">
        <v>682</v>
      </c>
      <c r="D1462" t="s">
        <v>683</v>
      </c>
      <c r="E1462" t="s">
        <v>667</v>
      </c>
      <c r="F1462" t="s">
        <v>740</v>
      </c>
      <c r="G1462" t="s">
        <v>741</v>
      </c>
      <c r="H1462" t="s">
        <v>742</v>
      </c>
      <c r="I1462" t="s">
        <v>700</v>
      </c>
      <c r="J1462" t="s">
        <v>745</v>
      </c>
      <c r="K1462" s="1">
        <v>44834</v>
      </c>
      <c r="L1462">
        <v>11543235</v>
      </c>
      <c r="M1462">
        <v>516692710</v>
      </c>
      <c r="N1462">
        <v>222664337</v>
      </c>
      <c r="O1462">
        <v>50119055</v>
      </c>
      <c r="P1462">
        <v>-516692710</v>
      </c>
      <c r="Q1462">
        <v>-125306894</v>
      </c>
      <c r="R1462">
        <v>15482345</v>
      </c>
      <c r="S1462">
        <v>2237725</v>
      </c>
      <c r="T1462">
        <v>177255379</v>
      </c>
      <c r="U1462">
        <v>353213292</v>
      </c>
      <c r="V1462">
        <v>81069054</v>
      </c>
    </row>
    <row r="1463" spans="1:22" x14ac:dyDescent="0.3">
      <c r="A1463" t="str">
        <f t="shared" si="44"/>
        <v>TEKARealizado</v>
      </c>
      <c r="B1463" t="str">
        <f t="shared" si="45"/>
        <v>TEKARealizadoSet-2022</v>
      </c>
      <c r="C1463" t="s">
        <v>692</v>
      </c>
      <c r="D1463" t="s">
        <v>693</v>
      </c>
      <c r="E1463" t="s">
        <v>667</v>
      </c>
      <c r="F1463" t="s">
        <v>740</v>
      </c>
      <c r="G1463" t="s">
        <v>741</v>
      </c>
      <c r="H1463" t="s">
        <v>742</v>
      </c>
      <c r="I1463" t="s">
        <v>701</v>
      </c>
      <c r="J1463" t="s">
        <v>743</v>
      </c>
      <c r="K1463" s="1">
        <v>44834</v>
      </c>
      <c r="L1463">
        <v>-39024</v>
      </c>
      <c r="M1463">
        <v>1087071</v>
      </c>
      <c r="N1463">
        <v>98722</v>
      </c>
      <c r="O1463">
        <v>54551</v>
      </c>
      <c r="P1463">
        <v>-1087071</v>
      </c>
      <c r="Q1463">
        <v>-2554075</v>
      </c>
      <c r="R1463">
        <v>869456</v>
      </c>
      <c r="S1463">
        <v>405716</v>
      </c>
      <c r="T1463">
        <v>4389</v>
      </c>
      <c r="U1463">
        <v>-1881154</v>
      </c>
      <c r="V1463">
        <v>66510</v>
      </c>
    </row>
    <row r="1464" spans="1:22" x14ac:dyDescent="0.3">
      <c r="A1464" t="str">
        <f t="shared" si="44"/>
        <v>TXRXRealizado</v>
      </c>
      <c r="B1464" t="str">
        <f t="shared" si="45"/>
        <v>TXRXRealizadoSet-2022</v>
      </c>
      <c r="C1464" t="s">
        <v>694</v>
      </c>
      <c r="D1464" t="s">
        <v>695</v>
      </c>
      <c r="E1464" t="s">
        <v>667</v>
      </c>
      <c r="F1464" t="s">
        <v>740</v>
      </c>
      <c r="G1464" t="s">
        <v>741</v>
      </c>
      <c r="H1464" t="s">
        <v>742</v>
      </c>
      <c r="I1464" t="s">
        <v>701</v>
      </c>
      <c r="J1464" t="s">
        <v>743</v>
      </c>
      <c r="K1464" s="1">
        <v>44834</v>
      </c>
      <c r="L1464">
        <v>8817</v>
      </c>
      <c r="M1464">
        <v>254133</v>
      </c>
      <c r="N1464">
        <v>136840</v>
      </c>
      <c r="O1464">
        <v>53891</v>
      </c>
      <c r="P1464">
        <v>-254133</v>
      </c>
      <c r="Q1464">
        <v>-324463</v>
      </c>
      <c r="R1464">
        <v>12559</v>
      </c>
      <c r="S1464">
        <v>47608</v>
      </c>
      <c r="T1464">
        <v>571</v>
      </c>
      <c r="U1464">
        <v>-329828</v>
      </c>
      <c r="V1464">
        <v>60135</v>
      </c>
    </row>
    <row r="1465" spans="1:22" x14ac:dyDescent="0.3">
      <c r="A1465" t="str">
        <f t="shared" si="44"/>
        <v>TFCORealizado</v>
      </c>
      <c r="B1465" t="str">
        <f t="shared" si="45"/>
        <v>TFCORealizadoSet-2022</v>
      </c>
      <c r="C1465" t="s">
        <v>684</v>
      </c>
      <c r="D1465" t="s">
        <v>685</v>
      </c>
      <c r="E1465" t="s">
        <v>667</v>
      </c>
      <c r="F1465" t="s">
        <v>740</v>
      </c>
      <c r="G1465" t="s">
        <v>741</v>
      </c>
      <c r="H1465" t="s">
        <v>742</v>
      </c>
      <c r="I1465" t="s">
        <v>701</v>
      </c>
      <c r="J1465" t="s">
        <v>746</v>
      </c>
      <c r="K1465" s="1">
        <v>44834</v>
      </c>
      <c r="L1465">
        <v>24485</v>
      </c>
      <c r="M1465">
        <v>496413</v>
      </c>
      <c r="N1465">
        <v>319079</v>
      </c>
      <c r="O1465">
        <v>88078</v>
      </c>
      <c r="P1465">
        <v>-496413</v>
      </c>
      <c r="Q1465">
        <v>-92606</v>
      </c>
      <c r="R1465">
        <v>19870</v>
      </c>
      <c r="S1465">
        <v>8658</v>
      </c>
      <c r="T1465">
        <v>83664</v>
      </c>
      <c r="U1465">
        <v>317938</v>
      </c>
      <c r="V1465">
        <v>105279</v>
      </c>
    </row>
    <row r="1466" spans="1:22" x14ac:dyDescent="0.3">
      <c r="A1466" t="str">
        <f t="shared" si="44"/>
        <v>VULCRealizado</v>
      </c>
      <c r="B1466" t="str">
        <f t="shared" si="45"/>
        <v>VULCRealizadoSet-2022</v>
      </c>
      <c r="C1466" t="s">
        <v>686</v>
      </c>
      <c r="D1466" t="s">
        <v>687</v>
      </c>
      <c r="E1466" t="s">
        <v>667</v>
      </c>
      <c r="F1466" t="s">
        <v>740</v>
      </c>
      <c r="G1466" t="s">
        <v>741</v>
      </c>
      <c r="H1466" t="s">
        <v>742</v>
      </c>
      <c r="I1466" t="s">
        <v>700</v>
      </c>
      <c r="J1466" t="s">
        <v>743</v>
      </c>
      <c r="K1466" s="1">
        <v>44834</v>
      </c>
      <c r="L1466">
        <v>97890</v>
      </c>
      <c r="M1466">
        <v>1837221</v>
      </c>
      <c r="N1466">
        <v>104872</v>
      </c>
      <c r="O1466">
        <v>0</v>
      </c>
      <c r="P1466">
        <v>-1837221</v>
      </c>
      <c r="Q1466">
        <v>-1382</v>
      </c>
      <c r="R1466">
        <v>13</v>
      </c>
      <c r="S1466">
        <v>201</v>
      </c>
      <c r="T1466">
        <v>217619</v>
      </c>
      <c r="U1466">
        <v>1610776</v>
      </c>
      <c r="V1466">
        <v>101099</v>
      </c>
    </row>
    <row r="1467" spans="1:22" x14ac:dyDescent="0.3">
      <c r="A1467" t="str">
        <f t="shared" si="44"/>
        <v>ALPKRealizado</v>
      </c>
      <c r="B1467" t="str">
        <f t="shared" si="45"/>
        <v>ALPKRealizadoSet-2022</v>
      </c>
      <c r="C1467" t="s">
        <v>646</v>
      </c>
      <c r="D1467" t="s">
        <v>647</v>
      </c>
      <c r="E1467" t="s">
        <v>629</v>
      </c>
      <c r="F1467" t="s">
        <v>740</v>
      </c>
      <c r="G1467" t="s">
        <v>741</v>
      </c>
      <c r="H1467" t="s">
        <v>742</v>
      </c>
      <c r="I1467" t="s">
        <v>700</v>
      </c>
      <c r="J1467" t="s">
        <v>746</v>
      </c>
      <c r="K1467" s="1">
        <v>44834</v>
      </c>
      <c r="L1467">
        <v>-35101</v>
      </c>
      <c r="M1467">
        <v>1343132</v>
      </c>
      <c r="N1467">
        <v>194808</v>
      </c>
      <c r="O1467">
        <v>50813</v>
      </c>
      <c r="P1467">
        <v>-1343132</v>
      </c>
      <c r="Q1467">
        <v>-319532</v>
      </c>
      <c r="R1467">
        <v>37842</v>
      </c>
      <c r="S1467">
        <v>12206</v>
      </c>
      <c r="T1467">
        <v>-529</v>
      </c>
      <c r="U1467">
        <v>459504</v>
      </c>
      <c r="V1467">
        <v>192556</v>
      </c>
    </row>
    <row r="1468" spans="1:22" x14ac:dyDescent="0.3">
      <c r="A1468" t="str">
        <f t="shared" si="44"/>
        <v>BBMLRealizado</v>
      </c>
      <c r="B1468" t="str">
        <f t="shared" si="45"/>
        <v>BBMLRealizadoSet-2022</v>
      </c>
      <c r="C1468" t="s">
        <v>627</v>
      </c>
      <c r="D1468" t="s">
        <v>628</v>
      </c>
      <c r="E1468" t="s">
        <v>629</v>
      </c>
      <c r="F1468" t="s">
        <v>740</v>
      </c>
      <c r="G1468" t="s">
        <v>741</v>
      </c>
      <c r="H1468" t="s">
        <v>742</v>
      </c>
      <c r="I1468" t="s">
        <v>700</v>
      </c>
      <c r="J1468" t="s">
        <v>745</v>
      </c>
      <c r="K1468" s="1">
        <v>44834</v>
      </c>
      <c r="L1468">
        <v>-11718</v>
      </c>
      <c r="M1468">
        <v>938239</v>
      </c>
      <c r="N1468">
        <v>244407</v>
      </c>
      <c r="O1468">
        <v>176539</v>
      </c>
      <c r="P1468">
        <v>-938239</v>
      </c>
      <c r="Q1468">
        <v>-372280</v>
      </c>
      <c r="R1468">
        <v>56808</v>
      </c>
      <c r="S1468">
        <v>11921</v>
      </c>
      <c r="T1468">
        <v>43211</v>
      </c>
      <c r="U1468">
        <v>90226</v>
      </c>
      <c r="V1468">
        <v>206018</v>
      </c>
    </row>
    <row r="1469" spans="1:22" x14ac:dyDescent="0.3">
      <c r="A1469" t="str">
        <f t="shared" si="44"/>
        <v>ECORRealizado</v>
      </c>
      <c r="B1469" t="str">
        <f t="shared" si="45"/>
        <v>ECORRealizadoSet-2022</v>
      </c>
      <c r="C1469" t="s">
        <v>630</v>
      </c>
      <c r="D1469" t="s">
        <v>631</v>
      </c>
      <c r="E1469" t="s">
        <v>629</v>
      </c>
      <c r="F1469" t="s">
        <v>740</v>
      </c>
      <c r="G1469" t="s">
        <v>741</v>
      </c>
      <c r="H1469" t="s">
        <v>742</v>
      </c>
      <c r="I1469" t="s">
        <v>700</v>
      </c>
      <c r="J1469" t="s">
        <v>745</v>
      </c>
      <c r="K1469" s="1">
        <v>44834</v>
      </c>
      <c r="L1469">
        <v>128241</v>
      </c>
      <c r="M1469">
        <v>3287059</v>
      </c>
      <c r="N1469">
        <v>204966</v>
      </c>
      <c r="O1469">
        <v>0</v>
      </c>
      <c r="P1469">
        <v>-3287059</v>
      </c>
      <c r="Q1469">
        <v>-36200</v>
      </c>
      <c r="R1469">
        <v>4953</v>
      </c>
      <c r="S1469">
        <v>109</v>
      </c>
      <c r="T1469">
        <v>278</v>
      </c>
      <c r="U1469">
        <v>2253486</v>
      </c>
      <c r="V1469">
        <v>165127</v>
      </c>
    </row>
    <row r="1470" spans="1:22" x14ac:dyDescent="0.3">
      <c r="A1470" t="str">
        <f t="shared" si="44"/>
        <v>VSPTRealizado</v>
      </c>
      <c r="B1470" t="str">
        <f t="shared" si="45"/>
        <v>VSPTRealizadoSet-2022</v>
      </c>
      <c r="C1470" t="s">
        <v>648</v>
      </c>
      <c r="D1470" t="s">
        <v>649</v>
      </c>
      <c r="E1470" t="s">
        <v>629</v>
      </c>
      <c r="F1470" t="s">
        <v>740</v>
      </c>
      <c r="G1470" t="s">
        <v>741</v>
      </c>
      <c r="H1470" t="s">
        <v>742</v>
      </c>
      <c r="I1470" t="s">
        <v>700</v>
      </c>
      <c r="J1470" t="s">
        <v>743</v>
      </c>
      <c r="K1470" s="1">
        <v>44834</v>
      </c>
      <c r="L1470">
        <v>-14634</v>
      </c>
      <c r="M1470">
        <v>8422794</v>
      </c>
      <c r="N1470">
        <v>763250</v>
      </c>
      <c r="O1470">
        <v>295757</v>
      </c>
      <c r="P1470">
        <v>-8422794</v>
      </c>
      <c r="Q1470">
        <v>-1100416</v>
      </c>
      <c r="R1470">
        <v>148319</v>
      </c>
      <c r="S1470">
        <v>19208</v>
      </c>
      <c r="T1470">
        <v>0</v>
      </c>
      <c r="U1470">
        <v>4154751</v>
      </c>
      <c r="V1470">
        <v>945041</v>
      </c>
    </row>
    <row r="1471" spans="1:22" x14ac:dyDescent="0.3">
      <c r="A1471" t="str">
        <f t="shared" si="44"/>
        <v>HBSARealizado</v>
      </c>
      <c r="B1471" t="str">
        <f t="shared" si="45"/>
        <v>HBSARealizadoSet-2022</v>
      </c>
      <c r="C1471" t="s">
        <v>650</v>
      </c>
      <c r="D1471" t="s">
        <v>651</v>
      </c>
      <c r="E1471" t="s">
        <v>629</v>
      </c>
      <c r="F1471" t="s">
        <v>740</v>
      </c>
      <c r="G1471" t="s">
        <v>741</v>
      </c>
      <c r="H1471" t="s">
        <v>742</v>
      </c>
      <c r="I1471" t="s">
        <v>700</v>
      </c>
      <c r="J1471" t="s">
        <v>746</v>
      </c>
      <c r="K1471" s="1">
        <v>44834</v>
      </c>
      <c r="L1471">
        <v>92650</v>
      </c>
      <c r="M1471">
        <v>2480595</v>
      </c>
      <c r="N1471">
        <v>191708</v>
      </c>
      <c r="O1471">
        <v>0</v>
      </c>
      <c r="P1471">
        <v>-2480595</v>
      </c>
      <c r="Q1471">
        <v>-91815</v>
      </c>
      <c r="R1471">
        <v>17168</v>
      </c>
      <c r="S1471">
        <v>4953</v>
      </c>
      <c r="T1471">
        <v>0</v>
      </c>
      <c r="U1471">
        <v>1461770</v>
      </c>
      <c r="V1471">
        <v>99259</v>
      </c>
    </row>
    <row r="1472" spans="1:22" x14ac:dyDescent="0.3">
      <c r="A1472" t="str">
        <f t="shared" si="44"/>
        <v>JSLGRealizado</v>
      </c>
      <c r="B1472" t="str">
        <f t="shared" si="45"/>
        <v>JSLGRealizadoSet-2022</v>
      </c>
      <c r="C1472" t="s">
        <v>632</v>
      </c>
      <c r="D1472" t="s">
        <v>633</v>
      </c>
      <c r="E1472" t="s">
        <v>629</v>
      </c>
      <c r="F1472" t="s">
        <v>740</v>
      </c>
      <c r="G1472" t="s">
        <v>741</v>
      </c>
      <c r="H1472" t="s">
        <v>742</v>
      </c>
      <c r="I1472" t="s">
        <v>700</v>
      </c>
      <c r="J1472" t="s">
        <v>743</v>
      </c>
      <c r="K1472" s="1">
        <v>44834</v>
      </c>
      <c r="L1472">
        <v>37388</v>
      </c>
      <c r="M1472">
        <v>5977532</v>
      </c>
      <c r="N1472">
        <v>1771460</v>
      </c>
      <c r="O1472">
        <v>938702</v>
      </c>
      <c r="P1472">
        <v>-5977532</v>
      </c>
      <c r="Q1472">
        <v>-798174</v>
      </c>
      <c r="R1472">
        <v>261819</v>
      </c>
      <c r="S1472">
        <v>51518</v>
      </c>
      <c r="T1472">
        <v>526874</v>
      </c>
      <c r="U1472">
        <v>1388338</v>
      </c>
      <c r="V1472">
        <v>996680</v>
      </c>
    </row>
    <row r="1473" spans="1:22" x14ac:dyDescent="0.3">
      <c r="A1473" t="str">
        <f t="shared" si="44"/>
        <v>RENTRealizado</v>
      </c>
      <c r="B1473" t="str">
        <f t="shared" si="45"/>
        <v>RENTRealizadoSet-2022</v>
      </c>
      <c r="C1473" t="s">
        <v>634</v>
      </c>
      <c r="D1473" t="s">
        <v>635</v>
      </c>
      <c r="E1473" t="s">
        <v>629</v>
      </c>
      <c r="F1473" t="s">
        <v>740</v>
      </c>
      <c r="G1473" t="s">
        <v>741</v>
      </c>
      <c r="H1473" t="s">
        <v>742</v>
      </c>
      <c r="I1473" t="s">
        <v>701</v>
      </c>
      <c r="J1473" t="s">
        <v>743</v>
      </c>
      <c r="K1473" s="1">
        <v>44834</v>
      </c>
      <c r="L1473">
        <v>424168</v>
      </c>
      <c r="M1473">
        <v>40665408</v>
      </c>
      <c r="N1473">
        <v>4951300</v>
      </c>
      <c r="O1473">
        <v>922711</v>
      </c>
      <c r="P1473">
        <v>-40665408</v>
      </c>
      <c r="Q1473">
        <v>-7037760</v>
      </c>
      <c r="R1473">
        <v>217156</v>
      </c>
      <c r="S1473">
        <v>21584</v>
      </c>
      <c r="T1473">
        <v>3618430</v>
      </c>
      <c r="U1473">
        <v>20329711</v>
      </c>
      <c r="V1473">
        <v>3080037</v>
      </c>
    </row>
    <row r="1474" spans="1:22" x14ac:dyDescent="0.3">
      <c r="A1474" t="str">
        <f t="shared" ref="A1474:A1537" si="46">_xlfn.CONCAT(D1474,F1474)</f>
        <v>LOGNRealizado</v>
      </c>
      <c r="B1474" t="str">
        <f t="shared" ref="B1474:B1537" si="47">_xlfn.CONCAT(D1474,F1474,PROPER(TEXT(K1474,"mmm-aaaa")))</f>
        <v>LOGNRealizadoSet-2022</v>
      </c>
      <c r="C1474" t="s">
        <v>652</v>
      </c>
      <c r="D1474" t="s">
        <v>653</v>
      </c>
      <c r="E1474" t="s">
        <v>629</v>
      </c>
      <c r="F1474" t="s">
        <v>740</v>
      </c>
      <c r="G1474" t="s">
        <v>741</v>
      </c>
      <c r="H1474" t="s">
        <v>742</v>
      </c>
      <c r="I1474" t="s">
        <v>700</v>
      </c>
      <c r="J1474" t="s">
        <v>746</v>
      </c>
      <c r="K1474" s="1">
        <v>44834</v>
      </c>
      <c r="L1474">
        <v>35970</v>
      </c>
      <c r="M1474">
        <v>2150076</v>
      </c>
      <c r="N1474">
        <v>720565</v>
      </c>
      <c r="O1474">
        <v>230537</v>
      </c>
      <c r="P1474">
        <v>-2150076</v>
      </c>
      <c r="Q1474">
        <v>-420193</v>
      </c>
      <c r="R1474">
        <v>22914</v>
      </c>
      <c r="S1474">
        <v>11516</v>
      </c>
      <c r="T1474">
        <v>0</v>
      </c>
      <c r="U1474">
        <v>583882</v>
      </c>
      <c r="V1474">
        <v>251070</v>
      </c>
    </row>
    <row r="1475" spans="1:22" x14ac:dyDescent="0.3">
      <c r="A1475" t="str">
        <f t="shared" si="46"/>
        <v>MSRORealizado</v>
      </c>
      <c r="B1475" t="str">
        <f t="shared" si="47"/>
        <v>MSRORealizadoSet-2022</v>
      </c>
      <c r="C1475" t="s">
        <v>654</v>
      </c>
      <c r="D1475" t="s">
        <v>655</v>
      </c>
      <c r="E1475" t="s">
        <v>629</v>
      </c>
      <c r="F1475" t="s">
        <v>740</v>
      </c>
      <c r="G1475" t="s">
        <v>741</v>
      </c>
      <c r="H1475" t="s">
        <v>742</v>
      </c>
      <c r="I1475" t="s">
        <v>700</v>
      </c>
      <c r="J1475" t="s">
        <v>746</v>
      </c>
      <c r="K1475" s="1">
        <v>44834</v>
      </c>
      <c r="L1475">
        <v>1946</v>
      </c>
      <c r="M1475">
        <v>260996</v>
      </c>
      <c r="N1475">
        <v>48066</v>
      </c>
      <c r="O1475">
        <v>17866</v>
      </c>
      <c r="P1475">
        <v>-260996</v>
      </c>
      <c r="Q1475">
        <v>-84368</v>
      </c>
      <c r="R1475">
        <v>1135</v>
      </c>
      <c r="S1475">
        <v>709</v>
      </c>
      <c r="T1475">
        <v>0</v>
      </c>
      <c r="U1475">
        <v>65844</v>
      </c>
      <c r="V1475">
        <v>29220</v>
      </c>
    </row>
    <row r="1476" spans="1:22" x14ac:dyDescent="0.3">
      <c r="A1476" t="str">
        <f t="shared" si="46"/>
        <v>MILSRealizado</v>
      </c>
      <c r="B1476" t="str">
        <f t="shared" si="47"/>
        <v>MILSRealizadoSet-2022</v>
      </c>
      <c r="C1476" t="s">
        <v>636</v>
      </c>
      <c r="D1476" t="s">
        <v>637</v>
      </c>
      <c r="E1476" t="s">
        <v>629</v>
      </c>
      <c r="F1476" t="s">
        <v>740</v>
      </c>
      <c r="G1476" t="s">
        <v>741</v>
      </c>
      <c r="H1476" t="s">
        <v>742</v>
      </c>
      <c r="I1476" t="s">
        <v>701</v>
      </c>
      <c r="J1476" t="s">
        <v>745</v>
      </c>
      <c r="K1476" s="1">
        <v>44834</v>
      </c>
      <c r="L1476">
        <v>64923</v>
      </c>
      <c r="M1476">
        <v>1886744</v>
      </c>
      <c r="N1476">
        <v>727590</v>
      </c>
      <c r="O1476">
        <v>199352</v>
      </c>
      <c r="P1476">
        <v>-1886744</v>
      </c>
      <c r="Q1476">
        <v>-234296</v>
      </c>
      <c r="R1476">
        <v>38296</v>
      </c>
      <c r="S1476">
        <v>13571</v>
      </c>
      <c r="T1476">
        <v>44421</v>
      </c>
      <c r="U1476">
        <v>1203750</v>
      </c>
      <c r="V1476">
        <v>265380</v>
      </c>
    </row>
    <row r="1477" spans="1:22" x14ac:dyDescent="0.3">
      <c r="A1477" t="str">
        <f t="shared" si="46"/>
        <v>MOVIRealizado</v>
      </c>
      <c r="B1477" t="str">
        <f t="shared" si="47"/>
        <v>MOVIRealizadoSet-2022</v>
      </c>
      <c r="C1477" t="s">
        <v>638</v>
      </c>
      <c r="D1477" t="s">
        <v>639</v>
      </c>
      <c r="E1477" t="s">
        <v>629</v>
      </c>
      <c r="F1477" t="s">
        <v>740</v>
      </c>
      <c r="G1477" t="s">
        <v>741</v>
      </c>
      <c r="H1477" t="s">
        <v>742</v>
      </c>
      <c r="I1477" t="s">
        <v>701</v>
      </c>
      <c r="J1477" t="s">
        <v>743</v>
      </c>
      <c r="K1477" s="1">
        <v>44834</v>
      </c>
      <c r="L1477">
        <v>93720</v>
      </c>
      <c r="M1477">
        <v>10067974</v>
      </c>
      <c r="N1477">
        <v>2116696</v>
      </c>
      <c r="O1477">
        <v>136933</v>
      </c>
      <c r="P1477">
        <v>-10067974</v>
      </c>
      <c r="Q1477">
        <v>-1011202</v>
      </c>
      <c r="R1477">
        <v>5854</v>
      </c>
      <c r="S1477">
        <v>12915</v>
      </c>
      <c r="T1477">
        <v>1072979</v>
      </c>
      <c r="U1477">
        <v>2777078</v>
      </c>
      <c r="V1477">
        <v>233238</v>
      </c>
    </row>
    <row r="1478" spans="1:22" x14ac:dyDescent="0.3">
      <c r="A1478" t="str">
        <f t="shared" si="46"/>
        <v>SEQLRealizado</v>
      </c>
      <c r="B1478" t="str">
        <f t="shared" si="47"/>
        <v>SEQLRealizadoSet-2022</v>
      </c>
      <c r="C1478" t="s">
        <v>640</v>
      </c>
      <c r="D1478" t="s">
        <v>641</v>
      </c>
      <c r="E1478" t="s">
        <v>629</v>
      </c>
      <c r="F1478" t="s">
        <v>740</v>
      </c>
      <c r="G1478" t="s">
        <v>741</v>
      </c>
      <c r="H1478" t="s">
        <v>742</v>
      </c>
      <c r="I1478" t="s">
        <v>700</v>
      </c>
      <c r="J1478" t="s">
        <v>745</v>
      </c>
      <c r="K1478" s="1">
        <v>44834</v>
      </c>
      <c r="L1478">
        <v>-11620</v>
      </c>
      <c r="M1478">
        <v>1557147</v>
      </c>
      <c r="N1478">
        <v>440783</v>
      </c>
      <c r="O1478">
        <v>325001</v>
      </c>
      <c r="P1478">
        <v>-1557147</v>
      </c>
      <c r="Q1478">
        <v>-458851</v>
      </c>
      <c r="R1478">
        <v>0</v>
      </c>
      <c r="S1478">
        <v>0</v>
      </c>
      <c r="T1478">
        <v>9969</v>
      </c>
      <c r="U1478">
        <v>537366</v>
      </c>
      <c r="V1478">
        <v>321152</v>
      </c>
    </row>
    <row r="1479" spans="1:22" x14ac:dyDescent="0.3">
      <c r="A1479" t="str">
        <f t="shared" si="46"/>
        <v>SIMHRealizado</v>
      </c>
      <c r="B1479" t="str">
        <f t="shared" si="47"/>
        <v>SIMHRealizadoSet-2022</v>
      </c>
      <c r="C1479" t="s">
        <v>642</v>
      </c>
      <c r="D1479" t="s">
        <v>643</v>
      </c>
      <c r="E1479" t="s">
        <v>629</v>
      </c>
      <c r="F1479" t="s">
        <v>740</v>
      </c>
      <c r="G1479" t="s">
        <v>741</v>
      </c>
      <c r="H1479" t="s">
        <v>742</v>
      </c>
      <c r="I1479" t="s">
        <v>700</v>
      </c>
      <c r="J1479" t="s">
        <v>743</v>
      </c>
      <c r="K1479" s="1">
        <v>44834</v>
      </c>
      <c r="L1479">
        <v>18501</v>
      </c>
      <c r="M1479">
        <v>10163970</v>
      </c>
      <c r="N1479">
        <v>2663739</v>
      </c>
      <c r="O1479">
        <v>99462</v>
      </c>
      <c r="P1479">
        <v>-10163970</v>
      </c>
      <c r="Q1479">
        <v>-472734</v>
      </c>
      <c r="R1479">
        <v>15119</v>
      </c>
      <c r="S1479">
        <v>5894</v>
      </c>
      <c r="T1479">
        <v>720082</v>
      </c>
      <c r="U1479">
        <v>2770202</v>
      </c>
      <c r="V1479">
        <v>178324</v>
      </c>
    </row>
    <row r="1480" spans="1:22" x14ac:dyDescent="0.3">
      <c r="A1480" t="str">
        <f t="shared" si="46"/>
        <v>TGMARealizado</v>
      </c>
      <c r="B1480" t="str">
        <f t="shared" si="47"/>
        <v>TGMARealizadoSet-2022</v>
      </c>
      <c r="C1480" t="s">
        <v>644</v>
      </c>
      <c r="D1480" t="s">
        <v>645</v>
      </c>
      <c r="E1480" t="s">
        <v>629</v>
      </c>
      <c r="F1480" t="s">
        <v>740</v>
      </c>
      <c r="G1480" t="s">
        <v>741</v>
      </c>
      <c r="H1480" t="s">
        <v>742</v>
      </c>
      <c r="I1480" t="s">
        <v>701</v>
      </c>
      <c r="J1480" t="s">
        <v>745</v>
      </c>
      <c r="K1480" s="1">
        <v>44834</v>
      </c>
      <c r="L1480">
        <v>53395</v>
      </c>
      <c r="M1480">
        <v>1004129</v>
      </c>
      <c r="N1480">
        <v>369383</v>
      </c>
      <c r="O1480">
        <v>259151</v>
      </c>
      <c r="P1480">
        <v>-1004129</v>
      </c>
      <c r="Q1480">
        <v>-191284</v>
      </c>
      <c r="R1480">
        <v>22568</v>
      </c>
      <c r="S1480">
        <v>34002</v>
      </c>
      <c r="T1480">
        <v>357326</v>
      </c>
      <c r="U1480">
        <v>736379</v>
      </c>
      <c r="V1480">
        <v>350370</v>
      </c>
    </row>
    <row r="1481" spans="1:22" x14ac:dyDescent="0.3">
      <c r="A1481" t="str">
        <f t="shared" si="46"/>
        <v>ATOMRealizado</v>
      </c>
      <c r="B1481" t="str">
        <f t="shared" si="47"/>
        <v>ATOMRealizadoSet-2022</v>
      </c>
      <c r="C1481" t="s">
        <v>363</v>
      </c>
      <c r="D1481" t="s">
        <v>364</v>
      </c>
      <c r="E1481" t="s">
        <v>365</v>
      </c>
      <c r="F1481" t="s">
        <v>740</v>
      </c>
      <c r="G1481" t="s">
        <v>741</v>
      </c>
      <c r="H1481" t="s">
        <v>742</v>
      </c>
      <c r="I1481" t="s">
        <v>701</v>
      </c>
      <c r="J1481" t="s">
        <v>746</v>
      </c>
      <c r="K1481" s="1">
        <v>44834</v>
      </c>
      <c r="L1481">
        <v>1150</v>
      </c>
      <c r="M1481">
        <v>34989</v>
      </c>
      <c r="N1481">
        <v>53</v>
      </c>
      <c r="O1481">
        <v>52</v>
      </c>
      <c r="P1481">
        <v>-34989</v>
      </c>
      <c r="Q1481">
        <v>-46</v>
      </c>
      <c r="R1481">
        <v>0</v>
      </c>
      <c r="S1481">
        <v>0</v>
      </c>
      <c r="T1481">
        <v>12863</v>
      </c>
      <c r="U1481">
        <v>26777</v>
      </c>
      <c r="V1481">
        <v>1150</v>
      </c>
    </row>
    <row r="1482" spans="1:22" x14ac:dyDescent="0.3">
      <c r="A1482" t="str">
        <f t="shared" si="46"/>
        <v>BRPRRealizado</v>
      </c>
      <c r="B1482" t="str">
        <f t="shared" si="47"/>
        <v>BRPRRealizadoSet-2022</v>
      </c>
      <c r="C1482" t="s">
        <v>366</v>
      </c>
      <c r="D1482" t="s">
        <v>367</v>
      </c>
      <c r="E1482" t="s">
        <v>365</v>
      </c>
      <c r="F1482" t="s">
        <v>740</v>
      </c>
      <c r="G1482" t="s">
        <v>741</v>
      </c>
      <c r="H1482" t="s">
        <v>742</v>
      </c>
      <c r="I1482" t="s">
        <v>701</v>
      </c>
      <c r="J1482" t="s">
        <v>743</v>
      </c>
      <c r="K1482" s="1">
        <v>44834</v>
      </c>
      <c r="L1482">
        <v>50429</v>
      </c>
      <c r="M1482">
        <v>6514179</v>
      </c>
      <c r="N1482">
        <v>3804793</v>
      </c>
      <c r="O1482">
        <v>39159</v>
      </c>
      <c r="P1482">
        <v>-6514179</v>
      </c>
      <c r="Q1482">
        <v>-1737254</v>
      </c>
      <c r="R1482">
        <v>5054</v>
      </c>
      <c r="S1482">
        <v>426224</v>
      </c>
      <c r="T1482">
        <v>676127</v>
      </c>
      <c r="U1482">
        <v>4485840</v>
      </c>
      <c r="V1482">
        <v>80929</v>
      </c>
    </row>
    <row r="1483" spans="1:22" x14ac:dyDescent="0.3">
      <c r="A1483" t="str">
        <f t="shared" si="46"/>
        <v>MAPTRealizado</v>
      </c>
      <c r="B1483" t="str">
        <f t="shared" si="47"/>
        <v>MAPTRealizadoSet-2022</v>
      </c>
      <c r="C1483" t="s">
        <v>382</v>
      </c>
      <c r="D1483" t="s">
        <v>383</v>
      </c>
      <c r="E1483" t="s">
        <v>365</v>
      </c>
      <c r="F1483" t="s">
        <v>740</v>
      </c>
      <c r="G1483" t="s">
        <v>741</v>
      </c>
      <c r="H1483" t="s">
        <v>742</v>
      </c>
      <c r="I1483" t="s">
        <v>744</v>
      </c>
      <c r="J1483" t="s">
        <v>743</v>
      </c>
      <c r="K1483" s="1">
        <v>44834</v>
      </c>
      <c r="L1483">
        <v>-28</v>
      </c>
      <c r="M1483">
        <v>773</v>
      </c>
      <c r="N1483">
        <v>0</v>
      </c>
      <c r="O1483">
        <v>0</v>
      </c>
      <c r="P1483">
        <v>-773</v>
      </c>
      <c r="Q1483">
        <v>-2</v>
      </c>
      <c r="R1483">
        <v>0</v>
      </c>
      <c r="S1483">
        <v>0</v>
      </c>
      <c r="T1483">
        <v>0</v>
      </c>
      <c r="U1483">
        <v>-6073</v>
      </c>
      <c r="V1483">
        <v>-14</v>
      </c>
    </row>
    <row r="1484" spans="1:22" x14ac:dyDescent="0.3">
      <c r="A1484" t="str">
        <f t="shared" si="46"/>
        <v>PEABRealizado</v>
      </c>
      <c r="B1484" t="str">
        <f t="shared" si="47"/>
        <v>PEABRealizadoSet-2022</v>
      </c>
      <c r="C1484" t="s">
        <v>368</v>
      </c>
      <c r="D1484" t="s">
        <v>369</v>
      </c>
      <c r="E1484" t="s">
        <v>365</v>
      </c>
      <c r="F1484" t="s">
        <v>740</v>
      </c>
      <c r="G1484" t="s">
        <v>741</v>
      </c>
      <c r="H1484" t="s">
        <v>742</v>
      </c>
      <c r="I1484" t="s">
        <v>701</v>
      </c>
      <c r="J1484" t="s">
        <v>746</v>
      </c>
      <c r="K1484" s="1">
        <v>44834</v>
      </c>
      <c r="L1484">
        <v>1775</v>
      </c>
      <c r="M1484">
        <v>783620</v>
      </c>
      <c r="N1484">
        <v>185136</v>
      </c>
      <c r="O1484">
        <v>19051</v>
      </c>
      <c r="P1484">
        <v>-783620</v>
      </c>
      <c r="Q1484">
        <v>-10076</v>
      </c>
      <c r="R1484">
        <v>907</v>
      </c>
      <c r="S1484">
        <v>0</v>
      </c>
      <c r="T1484">
        <v>230936</v>
      </c>
      <c r="U1484">
        <v>678038</v>
      </c>
      <c r="V1484">
        <v>871</v>
      </c>
    </row>
    <row r="1485" spans="1:22" x14ac:dyDescent="0.3">
      <c r="A1485" t="str">
        <f t="shared" si="46"/>
        <v>CARDRealizado</v>
      </c>
      <c r="B1485" t="str">
        <f t="shared" si="47"/>
        <v>CARDRealizadoSet-2022</v>
      </c>
      <c r="C1485" t="s">
        <v>370</v>
      </c>
      <c r="D1485" t="s">
        <v>371</v>
      </c>
      <c r="E1485" t="s">
        <v>365</v>
      </c>
      <c r="F1485" t="s">
        <v>740</v>
      </c>
      <c r="G1485" t="s">
        <v>741</v>
      </c>
      <c r="H1485" t="s">
        <v>742</v>
      </c>
      <c r="I1485" t="s">
        <v>700</v>
      </c>
      <c r="J1485" t="s">
        <v>743</v>
      </c>
      <c r="K1485" s="1">
        <v>44834</v>
      </c>
      <c r="L1485">
        <v>18454</v>
      </c>
      <c r="M1485">
        <v>590084</v>
      </c>
      <c r="N1485">
        <v>178285</v>
      </c>
      <c r="O1485">
        <v>73738</v>
      </c>
      <c r="P1485">
        <v>-590084</v>
      </c>
      <c r="Q1485">
        <v>-156725</v>
      </c>
      <c r="R1485">
        <v>55967</v>
      </c>
      <c r="S1485">
        <v>4737</v>
      </c>
      <c r="T1485">
        <v>155438</v>
      </c>
      <c r="U1485">
        <v>362819</v>
      </c>
      <c r="V1485">
        <v>136339</v>
      </c>
    </row>
    <row r="1486" spans="1:22" x14ac:dyDescent="0.3">
      <c r="A1486" t="str">
        <f t="shared" si="46"/>
        <v>EPARRealizado</v>
      </c>
      <c r="B1486" t="str">
        <f t="shared" si="47"/>
        <v>EPARRealizadoSet-2022</v>
      </c>
      <c r="C1486" t="s">
        <v>372</v>
      </c>
      <c r="D1486" t="s">
        <v>373</v>
      </c>
      <c r="E1486" t="s">
        <v>365</v>
      </c>
      <c r="F1486" t="s">
        <v>740</v>
      </c>
      <c r="G1486" t="s">
        <v>741</v>
      </c>
      <c r="H1486" t="s">
        <v>742</v>
      </c>
      <c r="I1486" t="s">
        <v>701</v>
      </c>
      <c r="J1486" t="s">
        <v>746</v>
      </c>
      <c r="K1486" s="1">
        <v>44834</v>
      </c>
      <c r="L1486">
        <v>16174</v>
      </c>
      <c r="M1486">
        <v>106825</v>
      </c>
      <c r="N1486">
        <v>3729</v>
      </c>
      <c r="O1486">
        <v>0</v>
      </c>
      <c r="P1486">
        <v>-106825</v>
      </c>
      <c r="Q1486">
        <v>-2644</v>
      </c>
      <c r="R1486">
        <v>659</v>
      </c>
      <c r="S1486">
        <v>421</v>
      </c>
      <c r="T1486">
        <v>10594</v>
      </c>
      <c r="U1486">
        <v>93395</v>
      </c>
      <c r="V1486">
        <v>16104</v>
      </c>
    </row>
    <row r="1487" spans="1:22" x14ac:dyDescent="0.3">
      <c r="A1487" t="str">
        <f t="shared" si="46"/>
        <v>MOARRealizado</v>
      </c>
      <c r="B1487" t="str">
        <f t="shared" si="47"/>
        <v>MOARRealizadoSet-2022</v>
      </c>
      <c r="C1487" t="s">
        <v>374</v>
      </c>
      <c r="D1487" t="s">
        <v>375</v>
      </c>
      <c r="E1487" t="s">
        <v>365</v>
      </c>
      <c r="F1487" t="s">
        <v>740</v>
      </c>
      <c r="G1487" t="s">
        <v>741</v>
      </c>
      <c r="H1487" t="s">
        <v>742</v>
      </c>
      <c r="I1487" t="s">
        <v>700</v>
      </c>
      <c r="J1487" t="s">
        <v>745</v>
      </c>
      <c r="K1487" s="1">
        <v>44834</v>
      </c>
      <c r="L1487">
        <v>55085</v>
      </c>
      <c r="M1487">
        <v>2043179</v>
      </c>
      <c r="N1487">
        <v>843811</v>
      </c>
      <c r="O1487">
        <v>14685</v>
      </c>
      <c r="P1487">
        <v>-2043179</v>
      </c>
      <c r="Q1487">
        <v>-287666</v>
      </c>
      <c r="R1487">
        <v>1357</v>
      </c>
      <c r="S1487">
        <v>319</v>
      </c>
      <c r="T1487">
        <v>182071</v>
      </c>
      <c r="U1487">
        <v>827321</v>
      </c>
      <c r="V1487">
        <v>94882</v>
      </c>
    </row>
    <row r="1488" spans="1:22" x14ac:dyDescent="0.3">
      <c r="A1488" t="str">
        <f t="shared" si="46"/>
        <v>OSXBRealizado</v>
      </c>
      <c r="B1488" t="str">
        <f t="shared" si="47"/>
        <v>OSXBRealizadoSet-2022</v>
      </c>
      <c r="C1488" t="s">
        <v>384</v>
      </c>
      <c r="D1488" t="s">
        <v>385</v>
      </c>
      <c r="E1488" t="s">
        <v>365</v>
      </c>
      <c r="F1488" t="s">
        <v>740</v>
      </c>
      <c r="G1488" t="s">
        <v>741</v>
      </c>
      <c r="H1488" t="s">
        <v>742</v>
      </c>
      <c r="I1488" t="s">
        <v>744</v>
      </c>
      <c r="J1488" t="s">
        <v>743</v>
      </c>
      <c r="K1488" s="1">
        <v>44834</v>
      </c>
      <c r="L1488">
        <v>-172445</v>
      </c>
      <c r="M1488">
        <v>134293</v>
      </c>
      <c r="N1488">
        <v>11625</v>
      </c>
      <c r="O1488">
        <v>29</v>
      </c>
      <c r="P1488">
        <v>-134293</v>
      </c>
      <c r="Q1488">
        <v>-364275</v>
      </c>
      <c r="R1488">
        <v>485</v>
      </c>
      <c r="S1488">
        <v>8315</v>
      </c>
      <c r="T1488">
        <v>0</v>
      </c>
      <c r="U1488">
        <v>-5842511</v>
      </c>
      <c r="V1488">
        <v>-174397</v>
      </c>
    </row>
    <row r="1489" spans="1:22" x14ac:dyDescent="0.3">
      <c r="A1489" t="str">
        <f t="shared" si="46"/>
        <v>PPARRealizado</v>
      </c>
      <c r="B1489" t="str">
        <f t="shared" si="47"/>
        <v>PPARRealizadoSet-2022</v>
      </c>
      <c r="C1489" t="s">
        <v>380</v>
      </c>
      <c r="D1489" t="s">
        <v>381</v>
      </c>
      <c r="E1489" t="s">
        <v>365</v>
      </c>
      <c r="F1489" t="s">
        <v>740</v>
      </c>
      <c r="G1489" t="s">
        <v>741</v>
      </c>
      <c r="H1489" t="s">
        <v>742</v>
      </c>
      <c r="I1489" t="s">
        <v>700</v>
      </c>
      <c r="J1489" t="s">
        <v>743</v>
      </c>
      <c r="K1489" s="1">
        <v>44834</v>
      </c>
      <c r="L1489">
        <v>108</v>
      </c>
      <c r="M1489">
        <v>58701</v>
      </c>
      <c r="N1489">
        <v>4190</v>
      </c>
      <c r="O1489">
        <v>0</v>
      </c>
      <c r="P1489">
        <v>-58701</v>
      </c>
      <c r="Q1489">
        <v>-38</v>
      </c>
      <c r="R1489">
        <v>0</v>
      </c>
      <c r="S1489">
        <v>38</v>
      </c>
      <c r="T1489">
        <v>1697</v>
      </c>
      <c r="U1489">
        <v>42782</v>
      </c>
      <c r="V1489">
        <v>-15</v>
      </c>
    </row>
    <row r="1490" spans="1:22" x14ac:dyDescent="0.3">
      <c r="A1490" t="str">
        <f t="shared" si="46"/>
        <v>SCARRealizado</v>
      </c>
      <c r="B1490" t="str">
        <f t="shared" si="47"/>
        <v>SCARRealizadoSet-2022</v>
      </c>
      <c r="C1490" t="s">
        <v>376</v>
      </c>
      <c r="D1490" t="s">
        <v>377</v>
      </c>
      <c r="E1490" t="s">
        <v>365</v>
      </c>
      <c r="F1490" t="s">
        <v>740</v>
      </c>
      <c r="G1490" t="s">
        <v>741</v>
      </c>
      <c r="H1490" t="s">
        <v>742</v>
      </c>
      <c r="I1490" t="s">
        <v>701</v>
      </c>
      <c r="J1490" t="s">
        <v>743</v>
      </c>
      <c r="K1490" s="1">
        <v>44834</v>
      </c>
      <c r="L1490">
        <v>-21164</v>
      </c>
      <c r="M1490">
        <v>3169781</v>
      </c>
      <c r="N1490">
        <v>324501</v>
      </c>
      <c r="O1490">
        <v>48675</v>
      </c>
      <c r="P1490">
        <v>-3169781</v>
      </c>
      <c r="Q1490">
        <v>-186705</v>
      </c>
      <c r="R1490">
        <v>0</v>
      </c>
      <c r="S1490">
        <v>0</v>
      </c>
      <c r="T1490">
        <v>460953</v>
      </c>
      <c r="U1490">
        <v>1503847</v>
      </c>
      <c r="V1490">
        <v>18004</v>
      </c>
    </row>
    <row r="1491" spans="1:22" x14ac:dyDescent="0.3">
      <c r="A1491" t="str">
        <f t="shared" si="46"/>
        <v>LUXMRealizado</v>
      </c>
      <c r="B1491" t="str">
        <f t="shared" si="47"/>
        <v>LUXMRealizadoSet-2022</v>
      </c>
      <c r="C1491" t="s">
        <v>378</v>
      </c>
      <c r="D1491" t="s">
        <v>379</v>
      </c>
      <c r="E1491" t="s">
        <v>365</v>
      </c>
      <c r="F1491" t="s">
        <v>740</v>
      </c>
      <c r="G1491" t="s">
        <v>741</v>
      </c>
      <c r="H1491" t="s">
        <v>742</v>
      </c>
      <c r="I1491" t="s">
        <v>701</v>
      </c>
      <c r="J1491" t="s">
        <v>746</v>
      </c>
      <c r="K1491" s="1">
        <v>44834</v>
      </c>
      <c r="L1491">
        <v>3319</v>
      </c>
      <c r="M1491">
        <v>122403</v>
      </c>
      <c r="N1491">
        <v>1847</v>
      </c>
      <c r="O1491">
        <v>233</v>
      </c>
      <c r="P1491">
        <v>-122403</v>
      </c>
      <c r="Q1491">
        <v>-1349</v>
      </c>
      <c r="R1491">
        <v>290</v>
      </c>
      <c r="S1491">
        <v>591</v>
      </c>
      <c r="T1491">
        <v>45944</v>
      </c>
      <c r="U1491">
        <v>107812</v>
      </c>
      <c r="V1491">
        <v>411</v>
      </c>
    </row>
    <row r="1492" spans="1:22" x14ac:dyDescent="0.3">
      <c r="A1492" t="str">
        <f t="shared" si="46"/>
        <v>BBRKRealizado</v>
      </c>
      <c r="B1492" t="str">
        <f t="shared" si="47"/>
        <v>BBRKRealizadoSet-2022</v>
      </c>
      <c r="C1492" t="s">
        <v>278</v>
      </c>
      <c r="D1492" t="s">
        <v>279</v>
      </c>
      <c r="E1492" t="s">
        <v>265</v>
      </c>
      <c r="F1492" t="s">
        <v>740</v>
      </c>
      <c r="G1492" t="s">
        <v>741</v>
      </c>
      <c r="H1492" t="s">
        <v>742</v>
      </c>
      <c r="I1492" t="s">
        <v>700</v>
      </c>
      <c r="J1492" t="s">
        <v>743</v>
      </c>
      <c r="K1492" s="1">
        <v>44834</v>
      </c>
      <c r="L1492">
        <v>-7477</v>
      </c>
      <c r="M1492">
        <v>298492</v>
      </c>
      <c r="N1492">
        <v>47788</v>
      </c>
      <c r="O1492">
        <v>101</v>
      </c>
      <c r="P1492">
        <v>-298492</v>
      </c>
      <c r="Q1492">
        <v>-47919</v>
      </c>
      <c r="R1492">
        <v>0</v>
      </c>
      <c r="S1492">
        <v>2803</v>
      </c>
      <c r="T1492">
        <v>-79591</v>
      </c>
      <c r="U1492">
        <v>20281</v>
      </c>
      <c r="V1492">
        <v>-995</v>
      </c>
    </row>
    <row r="1493" spans="1:22" x14ac:dyDescent="0.3">
      <c r="A1493" t="str">
        <f t="shared" si="46"/>
        <v>SYNERealizado</v>
      </c>
      <c r="B1493" t="str">
        <f t="shared" si="47"/>
        <v>SYNERealizadoSet-2022</v>
      </c>
      <c r="C1493" t="s">
        <v>263</v>
      </c>
      <c r="D1493" t="s">
        <v>264</v>
      </c>
      <c r="E1493" t="s">
        <v>265</v>
      </c>
      <c r="F1493" t="s">
        <v>740</v>
      </c>
      <c r="G1493" t="s">
        <v>741</v>
      </c>
      <c r="H1493" t="s">
        <v>742</v>
      </c>
      <c r="I1493" t="s">
        <v>701</v>
      </c>
      <c r="J1493" t="s">
        <v>746</v>
      </c>
      <c r="K1493" s="1">
        <v>44834</v>
      </c>
      <c r="L1493">
        <v>6853</v>
      </c>
      <c r="M1493">
        <v>2556153</v>
      </c>
      <c r="N1493">
        <v>343137</v>
      </c>
      <c r="O1493">
        <v>165</v>
      </c>
      <c r="P1493">
        <v>-2556153</v>
      </c>
      <c r="Q1493">
        <v>-67822</v>
      </c>
      <c r="R1493">
        <v>0</v>
      </c>
      <c r="S1493">
        <v>726</v>
      </c>
      <c r="T1493">
        <v>121776</v>
      </c>
      <c r="U1493">
        <v>1550465</v>
      </c>
      <c r="V1493">
        <v>1633</v>
      </c>
    </row>
    <row r="1494" spans="1:22" x14ac:dyDescent="0.3">
      <c r="A1494" t="str">
        <f t="shared" si="46"/>
        <v>EZTCRealizado</v>
      </c>
      <c r="B1494" t="str">
        <f t="shared" si="47"/>
        <v>EZTCRealizadoSet-2022</v>
      </c>
      <c r="C1494" t="s">
        <v>266</v>
      </c>
      <c r="D1494" t="s">
        <v>267</v>
      </c>
      <c r="E1494" t="s">
        <v>265</v>
      </c>
      <c r="F1494" t="s">
        <v>740</v>
      </c>
      <c r="G1494" t="s">
        <v>741</v>
      </c>
      <c r="H1494" t="s">
        <v>742</v>
      </c>
      <c r="I1494" t="s">
        <v>700</v>
      </c>
      <c r="J1494" t="s">
        <v>746</v>
      </c>
      <c r="K1494" s="1">
        <v>44834</v>
      </c>
      <c r="L1494">
        <v>105427</v>
      </c>
      <c r="M1494">
        <v>4835626</v>
      </c>
      <c r="N1494">
        <v>676334</v>
      </c>
      <c r="O1494">
        <v>0</v>
      </c>
      <c r="P1494">
        <v>-4835626</v>
      </c>
      <c r="Q1494">
        <v>-44239</v>
      </c>
      <c r="R1494">
        <v>6106</v>
      </c>
      <c r="S1494">
        <v>12632</v>
      </c>
      <c r="T1494">
        <v>1637960</v>
      </c>
      <c r="U1494">
        <v>4470659</v>
      </c>
      <c r="V1494">
        <v>95571</v>
      </c>
    </row>
    <row r="1495" spans="1:22" x14ac:dyDescent="0.3">
      <c r="A1495" t="str">
        <f t="shared" si="46"/>
        <v>JHSFRealizado</v>
      </c>
      <c r="B1495" t="str">
        <f t="shared" si="47"/>
        <v>JHSFRealizadoSet-2022</v>
      </c>
      <c r="C1495" t="s">
        <v>268</v>
      </c>
      <c r="D1495" t="s">
        <v>269</v>
      </c>
      <c r="E1495" t="s">
        <v>265</v>
      </c>
      <c r="F1495" t="s">
        <v>740</v>
      </c>
      <c r="G1495" t="s">
        <v>741</v>
      </c>
      <c r="H1495" t="s">
        <v>742</v>
      </c>
      <c r="I1495" t="s">
        <v>744</v>
      </c>
      <c r="J1495" t="s">
        <v>746</v>
      </c>
      <c r="K1495" s="1">
        <v>44834</v>
      </c>
      <c r="L1495">
        <v>132720</v>
      </c>
      <c r="M1495">
        <v>7469603</v>
      </c>
      <c r="N1495">
        <v>774918</v>
      </c>
      <c r="O1495">
        <v>483</v>
      </c>
      <c r="P1495">
        <v>-7469603</v>
      </c>
      <c r="Q1495">
        <v>-1200526</v>
      </c>
      <c r="R1495">
        <v>0</v>
      </c>
      <c r="S1495">
        <v>0</v>
      </c>
      <c r="T1495">
        <v>3104979</v>
      </c>
      <c r="U1495">
        <v>4970929</v>
      </c>
      <c r="V1495">
        <v>156635</v>
      </c>
    </row>
    <row r="1496" spans="1:22" x14ac:dyDescent="0.3">
      <c r="A1496" t="str">
        <f t="shared" si="46"/>
        <v>LPSBRealizado</v>
      </c>
      <c r="B1496" t="str">
        <f t="shared" si="47"/>
        <v>LPSBRealizadoSet-2022</v>
      </c>
      <c r="C1496" t="s">
        <v>270</v>
      </c>
      <c r="D1496" t="s">
        <v>271</v>
      </c>
      <c r="E1496" t="s">
        <v>265</v>
      </c>
      <c r="F1496" t="s">
        <v>740</v>
      </c>
      <c r="G1496" t="s">
        <v>741</v>
      </c>
      <c r="H1496" t="s">
        <v>742</v>
      </c>
      <c r="I1496" t="s">
        <v>701</v>
      </c>
      <c r="J1496" t="s">
        <v>746</v>
      </c>
      <c r="K1496" s="1">
        <v>44834</v>
      </c>
      <c r="L1496">
        <v>426</v>
      </c>
      <c r="M1496">
        <v>346295</v>
      </c>
      <c r="N1496">
        <v>15062</v>
      </c>
      <c r="O1496">
        <v>17211</v>
      </c>
      <c r="P1496">
        <v>-346295</v>
      </c>
      <c r="Q1496">
        <v>-96915</v>
      </c>
      <c r="R1496">
        <v>252</v>
      </c>
      <c r="S1496">
        <v>19</v>
      </c>
      <c r="T1496">
        <v>30113</v>
      </c>
      <c r="U1496">
        <v>196834</v>
      </c>
      <c r="V1496">
        <v>2478</v>
      </c>
    </row>
    <row r="1497" spans="1:22" x14ac:dyDescent="0.3">
      <c r="A1497" t="str">
        <f t="shared" si="46"/>
        <v>MELKRealizado</v>
      </c>
      <c r="B1497" t="str">
        <f t="shared" si="47"/>
        <v>MELKRealizadoSet-2022</v>
      </c>
      <c r="C1497" t="s">
        <v>272</v>
      </c>
      <c r="D1497" t="s">
        <v>273</v>
      </c>
      <c r="E1497" t="s">
        <v>265</v>
      </c>
      <c r="F1497" t="s">
        <v>740</v>
      </c>
      <c r="G1497" t="s">
        <v>741</v>
      </c>
      <c r="H1497" t="s">
        <v>742</v>
      </c>
      <c r="I1497" t="s">
        <v>701</v>
      </c>
      <c r="J1497" t="s">
        <v>746</v>
      </c>
      <c r="K1497" s="1">
        <v>44834</v>
      </c>
      <c r="L1497">
        <v>22855</v>
      </c>
      <c r="M1497">
        <v>1267313</v>
      </c>
      <c r="N1497">
        <v>200428</v>
      </c>
      <c r="O1497">
        <v>81020</v>
      </c>
      <c r="P1497">
        <v>-1267313</v>
      </c>
      <c r="Q1497">
        <v>-47122</v>
      </c>
      <c r="R1497">
        <v>0</v>
      </c>
      <c r="S1497">
        <v>219</v>
      </c>
      <c r="T1497">
        <v>121208</v>
      </c>
      <c r="U1497">
        <v>1198545</v>
      </c>
      <c r="V1497">
        <v>2284</v>
      </c>
    </row>
    <row r="1498" spans="1:22" x14ac:dyDescent="0.3">
      <c r="A1498" t="str">
        <f t="shared" si="46"/>
        <v>MULTRealizado</v>
      </c>
      <c r="B1498" t="str">
        <f t="shared" si="47"/>
        <v>MULTRealizadoSet-2022</v>
      </c>
      <c r="C1498" t="s">
        <v>274</v>
      </c>
      <c r="D1498" t="s">
        <v>275</v>
      </c>
      <c r="E1498" t="s">
        <v>265</v>
      </c>
      <c r="F1498" t="s">
        <v>740</v>
      </c>
      <c r="G1498" t="s">
        <v>741</v>
      </c>
      <c r="H1498" t="s">
        <v>742</v>
      </c>
      <c r="I1498" t="s">
        <v>700</v>
      </c>
      <c r="J1498" t="s">
        <v>743</v>
      </c>
      <c r="K1498" s="1">
        <v>44834</v>
      </c>
      <c r="L1498">
        <v>186055</v>
      </c>
      <c r="M1498">
        <v>10567545</v>
      </c>
      <c r="N1498">
        <v>1218390</v>
      </c>
      <c r="O1498">
        <v>274577</v>
      </c>
      <c r="P1498">
        <v>-10567545</v>
      </c>
      <c r="Q1498">
        <v>-1454872</v>
      </c>
      <c r="R1498">
        <v>0</v>
      </c>
      <c r="S1498">
        <v>8495</v>
      </c>
      <c r="T1498">
        <v>2658231</v>
      </c>
      <c r="U1498">
        <v>6543647</v>
      </c>
      <c r="V1498">
        <v>297905</v>
      </c>
    </row>
    <row r="1499" spans="1:22" x14ac:dyDescent="0.3">
      <c r="A1499" t="str">
        <f t="shared" si="46"/>
        <v>PDGRRealizado</v>
      </c>
      <c r="B1499" t="str">
        <f t="shared" si="47"/>
        <v>PDGRRealizadoSet-2022</v>
      </c>
      <c r="C1499" t="s">
        <v>280</v>
      </c>
      <c r="D1499" t="s">
        <v>281</v>
      </c>
      <c r="E1499" t="s">
        <v>265</v>
      </c>
      <c r="F1499" t="s">
        <v>740</v>
      </c>
      <c r="G1499" t="s">
        <v>741</v>
      </c>
      <c r="H1499" t="s">
        <v>742</v>
      </c>
      <c r="I1499" t="s">
        <v>744</v>
      </c>
      <c r="J1499" t="s">
        <v>743</v>
      </c>
      <c r="K1499" s="1">
        <v>44834</v>
      </c>
      <c r="L1499">
        <v>-118569</v>
      </c>
      <c r="M1499">
        <v>2748234</v>
      </c>
      <c r="N1499">
        <v>25344</v>
      </c>
      <c r="O1499">
        <v>4169</v>
      </c>
      <c r="P1499">
        <v>-2748234</v>
      </c>
      <c r="Q1499">
        <v>-2016397</v>
      </c>
      <c r="R1499">
        <v>2490</v>
      </c>
      <c r="S1499">
        <v>862</v>
      </c>
      <c r="T1499">
        <v>-3619</v>
      </c>
      <c r="U1499">
        <v>-4867482</v>
      </c>
      <c r="V1499">
        <v>952</v>
      </c>
    </row>
    <row r="1500" spans="1:22" x14ac:dyDescent="0.3">
      <c r="A1500" t="str">
        <f t="shared" si="46"/>
        <v>TRISRealizado</v>
      </c>
      <c r="B1500" t="str">
        <f t="shared" si="47"/>
        <v>TRISRealizadoSet-2022</v>
      </c>
      <c r="C1500" t="s">
        <v>276</v>
      </c>
      <c r="D1500" t="s">
        <v>277</v>
      </c>
      <c r="E1500" t="s">
        <v>265</v>
      </c>
      <c r="F1500" t="s">
        <v>740</v>
      </c>
      <c r="G1500" t="s">
        <v>741</v>
      </c>
      <c r="H1500" t="s">
        <v>742</v>
      </c>
      <c r="I1500" t="s">
        <v>701</v>
      </c>
      <c r="J1500" t="s">
        <v>746</v>
      </c>
      <c r="K1500" s="1">
        <v>44834</v>
      </c>
      <c r="L1500">
        <v>10104</v>
      </c>
      <c r="M1500">
        <v>1910204</v>
      </c>
      <c r="N1500">
        <v>79681</v>
      </c>
      <c r="O1500">
        <v>21002</v>
      </c>
      <c r="P1500">
        <v>-1910204</v>
      </c>
      <c r="Q1500">
        <v>-385276</v>
      </c>
      <c r="R1500">
        <v>3349</v>
      </c>
      <c r="S1500">
        <v>178</v>
      </c>
      <c r="T1500">
        <v>396297</v>
      </c>
      <c r="U1500">
        <v>1250421</v>
      </c>
      <c r="V1500">
        <v>608</v>
      </c>
    </row>
    <row r="1501" spans="1:22" x14ac:dyDescent="0.3">
      <c r="A1501" t="str">
        <f t="shared" si="46"/>
        <v>BKBRRealizado</v>
      </c>
      <c r="B1501" t="str">
        <f t="shared" si="47"/>
        <v>BKBRRealizadoSet-2021</v>
      </c>
      <c r="C1501" t="s">
        <v>34</v>
      </c>
      <c r="D1501" t="s">
        <v>35</v>
      </c>
      <c r="E1501" t="s">
        <v>23</v>
      </c>
      <c r="F1501" t="s">
        <v>740</v>
      </c>
      <c r="G1501" t="s">
        <v>741</v>
      </c>
      <c r="H1501" t="s">
        <v>742</v>
      </c>
      <c r="I1501" t="s">
        <v>700</v>
      </c>
      <c r="J1501" t="s">
        <v>743</v>
      </c>
      <c r="K1501" s="1">
        <v>44469</v>
      </c>
      <c r="L1501">
        <v>-37946</v>
      </c>
      <c r="M1501">
        <v>3710897</v>
      </c>
      <c r="N1501">
        <v>792617</v>
      </c>
      <c r="O1501">
        <v>114620</v>
      </c>
      <c r="P1501">
        <v>-3710897</v>
      </c>
      <c r="Q1501">
        <v>-686116</v>
      </c>
      <c r="R1501">
        <v>109153</v>
      </c>
      <c r="S1501">
        <v>32985</v>
      </c>
      <c r="T1501">
        <v>0</v>
      </c>
      <c r="U1501">
        <v>1547138</v>
      </c>
      <c r="V1501">
        <v>709978</v>
      </c>
    </row>
    <row r="1502" spans="1:22" x14ac:dyDescent="0.3">
      <c r="A1502" t="str">
        <f t="shared" si="46"/>
        <v>BLUTRealizado</v>
      </c>
      <c r="B1502" t="str">
        <f t="shared" si="47"/>
        <v>BLUTRealizadoSet-2021</v>
      </c>
      <c r="C1502" t="s">
        <v>766</v>
      </c>
      <c r="D1502" t="s">
        <v>724</v>
      </c>
      <c r="E1502" t="s">
        <v>23</v>
      </c>
      <c r="F1502" t="s">
        <v>740</v>
      </c>
      <c r="G1502" t="s">
        <v>741</v>
      </c>
      <c r="H1502" t="s">
        <v>742</v>
      </c>
      <c r="I1502" t="s">
        <v>700</v>
      </c>
      <c r="J1502" t="s">
        <v>743</v>
      </c>
      <c r="K1502" s="1">
        <v>44469</v>
      </c>
      <c r="L1502">
        <v>-1477</v>
      </c>
      <c r="M1502">
        <v>189526</v>
      </c>
      <c r="N1502">
        <v>66</v>
      </c>
      <c r="O1502">
        <v>49030</v>
      </c>
      <c r="P1502">
        <v>-189526</v>
      </c>
      <c r="Q1502">
        <v>-24079</v>
      </c>
      <c r="R1502">
        <v>340</v>
      </c>
      <c r="S1502">
        <v>14976</v>
      </c>
      <c r="T1502">
        <v>3610</v>
      </c>
      <c r="U1502">
        <v>57197</v>
      </c>
      <c r="V1502">
        <v>-1360</v>
      </c>
    </row>
    <row r="1503" spans="1:22" x14ac:dyDescent="0.3">
      <c r="A1503" t="str">
        <f t="shared" si="46"/>
        <v>ODERRealizado</v>
      </c>
      <c r="B1503" t="str">
        <f t="shared" si="47"/>
        <v>ODERRealizadoSet-2021</v>
      </c>
      <c r="C1503" t="s">
        <v>21</v>
      </c>
      <c r="D1503" t="s">
        <v>22</v>
      </c>
      <c r="E1503" t="s">
        <v>23</v>
      </c>
      <c r="F1503" t="s">
        <v>740</v>
      </c>
      <c r="G1503" t="s">
        <v>741</v>
      </c>
      <c r="H1503" t="s">
        <v>742</v>
      </c>
      <c r="I1503" t="s">
        <v>700</v>
      </c>
      <c r="J1503" t="s">
        <v>743</v>
      </c>
      <c r="K1503" s="1">
        <v>44469</v>
      </c>
      <c r="L1503">
        <v>37140</v>
      </c>
      <c r="M1503">
        <v>712480</v>
      </c>
      <c r="N1503">
        <v>499296</v>
      </c>
      <c r="O1503">
        <v>131082</v>
      </c>
      <c r="P1503">
        <v>-712480</v>
      </c>
      <c r="Q1503">
        <v>-271981</v>
      </c>
      <c r="R1503">
        <v>15378</v>
      </c>
      <c r="S1503">
        <v>14611</v>
      </c>
      <c r="T1503">
        <v>139506</v>
      </c>
      <c r="U1503">
        <v>354721</v>
      </c>
      <c r="V1503">
        <v>167659</v>
      </c>
    </row>
    <row r="1504" spans="1:22" x14ac:dyDescent="0.3">
      <c r="A1504" t="str">
        <f t="shared" si="46"/>
        <v>BAUHRealizado</v>
      </c>
      <c r="B1504" t="str">
        <f t="shared" si="47"/>
        <v>BAUHRealizadoSet-2021</v>
      </c>
      <c r="C1504" t="s">
        <v>24</v>
      </c>
      <c r="D1504" t="s">
        <v>25</v>
      </c>
      <c r="E1504" t="s">
        <v>23</v>
      </c>
      <c r="F1504" t="s">
        <v>740</v>
      </c>
      <c r="G1504" t="s">
        <v>741</v>
      </c>
      <c r="H1504" t="s">
        <v>742</v>
      </c>
      <c r="I1504" t="s">
        <v>700</v>
      </c>
      <c r="J1504" t="s">
        <v>743</v>
      </c>
      <c r="K1504" s="1">
        <v>44469</v>
      </c>
      <c r="L1504">
        <v>1385</v>
      </c>
      <c r="M1504">
        <v>151169</v>
      </c>
      <c r="N1504">
        <v>44589</v>
      </c>
      <c r="O1504">
        <v>17628</v>
      </c>
      <c r="P1504">
        <v>-151169</v>
      </c>
      <c r="Q1504">
        <v>-49343</v>
      </c>
      <c r="R1504">
        <v>4959</v>
      </c>
      <c r="S1504">
        <v>4640</v>
      </c>
      <c r="T1504">
        <v>47367</v>
      </c>
      <c r="U1504">
        <v>98559</v>
      </c>
      <c r="V1504">
        <v>42534</v>
      </c>
    </row>
    <row r="1505" spans="1:22" x14ac:dyDescent="0.3">
      <c r="A1505" t="str">
        <f t="shared" si="46"/>
        <v>MEALRealizado</v>
      </c>
      <c r="B1505" t="str">
        <f t="shared" si="47"/>
        <v>MEALRealizadoSet-2021</v>
      </c>
      <c r="C1505" t="s">
        <v>36</v>
      </c>
      <c r="D1505" t="s">
        <v>37</v>
      </c>
      <c r="E1505" t="s">
        <v>23</v>
      </c>
      <c r="F1505" t="s">
        <v>740</v>
      </c>
      <c r="G1505" t="s">
        <v>741</v>
      </c>
      <c r="H1505" t="s">
        <v>742</v>
      </c>
      <c r="I1505" t="s">
        <v>700</v>
      </c>
      <c r="J1505" t="s">
        <v>743</v>
      </c>
      <c r="K1505" s="1">
        <v>44469</v>
      </c>
      <c r="L1505">
        <v>-4450</v>
      </c>
      <c r="M1505">
        <v>1837317</v>
      </c>
      <c r="N1505">
        <v>196478</v>
      </c>
      <c r="O1505">
        <v>11489</v>
      </c>
      <c r="P1505">
        <v>-1837317</v>
      </c>
      <c r="Q1505">
        <v>-71514</v>
      </c>
      <c r="R1505">
        <v>15498</v>
      </c>
      <c r="S1505">
        <v>0</v>
      </c>
      <c r="T1505">
        <v>0</v>
      </c>
      <c r="U1505">
        <v>1158051</v>
      </c>
      <c r="V1505">
        <v>21814</v>
      </c>
    </row>
    <row r="1506" spans="1:22" x14ac:dyDescent="0.3">
      <c r="A1506" t="str">
        <f t="shared" si="46"/>
        <v>JBSSRealizado</v>
      </c>
      <c r="B1506" t="str">
        <f t="shared" si="47"/>
        <v>JBSSRealizadoSet-2021</v>
      </c>
      <c r="C1506" t="s">
        <v>26</v>
      </c>
      <c r="D1506" t="s">
        <v>27</v>
      </c>
      <c r="E1506" t="s">
        <v>23</v>
      </c>
      <c r="F1506" t="s">
        <v>740</v>
      </c>
      <c r="G1506" t="s">
        <v>741</v>
      </c>
      <c r="H1506" t="s">
        <v>742</v>
      </c>
      <c r="I1506" t="s">
        <v>700</v>
      </c>
      <c r="J1506" t="s">
        <v>746</v>
      </c>
      <c r="K1506" s="1">
        <v>44469</v>
      </c>
      <c r="L1506">
        <v>7585570</v>
      </c>
      <c r="M1506">
        <v>99033785</v>
      </c>
      <c r="N1506">
        <v>11915194</v>
      </c>
      <c r="O1506">
        <v>3929446</v>
      </c>
      <c r="P1506">
        <v>-99033785</v>
      </c>
      <c r="Q1506">
        <v>-13889097</v>
      </c>
      <c r="R1506">
        <v>939781</v>
      </c>
      <c r="S1506">
        <v>349543</v>
      </c>
      <c r="T1506">
        <v>3734609</v>
      </c>
      <c r="U1506">
        <v>46554522</v>
      </c>
      <c r="V1506">
        <v>15044208</v>
      </c>
    </row>
    <row r="1507" spans="1:22" x14ac:dyDescent="0.3">
      <c r="A1507" t="str">
        <f t="shared" si="46"/>
        <v>MDIARealizado</v>
      </c>
      <c r="B1507" t="str">
        <f t="shared" si="47"/>
        <v>MDIARealizadoSet-2021</v>
      </c>
      <c r="C1507" t="s">
        <v>28</v>
      </c>
      <c r="D1507" t="s">
        <v>29</v>
      </c>
      <c r="E1507" t="s">
        <v>23</v>
      </c>
      <c r="F1507" t="s">
        <v>740</v>
      </c>
      <c r="G1507" t="s">
        <v>741</v>
      </c>
      <c r="H1507" t="s">
        <v>742</v>
      </c>
      <c r="I1507" t="s">
        <v>701</v>
      </c>
      <c r="J1507" t="s">
        <v>745</v>
      </c>
      <c r="K1507" s="1">
        <v>44469</v>
      </c>
      <c r="L1507">
        <v>196667</v>
      </c>
      <c r="M1507">
        <v>10588420</v>
      </c>
      <c r="N1507">
        <v>4676374</v>
      </c>
      <c r="O1507">
        <v>1148506</v>
      </c>
      <c r="P1507">
        <v>-10588420</v>
      </c>
      <c r="Q1507">
        <v>-1463640</v>
      </c>
      <c r="R1507">
        <v>209851</v>
      </c>
      <c r="S1507">
        <v>102289</v>
      </c>
      <c r="T1507">
        <v>3922044</v>
      </c>
      <c r="U1507">
        <v>6893863</v>
      </c>
      <c r="V1507">
        <v>2179769</v>
      </c>
    </row>
    <row r="1508" spans="1:22" x14ac:dyDescent="0.3">
      <c r="A1508" t="str">
        <f t="shared" si="46"/>
        <v>MRFGRealizado</v>
      </c>
      <c r="B1508" t="str">
        <f t="shared" si="47"/>
        <v>MRFGRealizadoSet-2021</v>
      </c>
      <c r="C1508" t="s">
        <v>30</v>
      </c>
      <c r="D1508" t="s">
        <v>31</v>
      </c>
      <c r="E1508" t="s">
        <v>23</v>
      </c>
      <c r="F1508" t="s">
        <v>740</v>
      </c>
      <c r="G1508" t="s">
        <v>741</v>
      </c>
      <c r="H1508" t="s">
        <v>742</v>
      </c>
      <c r="I1508" t="s">
        <v>700</v>
      </c>
      <c r="J1508" t="s">
        <v>745</v>
      </c>
      <c r="K1508" s="1">
        <v>44469</v>
      </c>
      <c r="L1508">
        <v>1675243</v>
      </c>
      <c r="M1508">
        <v>42372803</v>
      </c>
      <c r="N1508">
        <v>9579941</v>
      </c>
      <c r="O1508">
        <v>1886516</v>
      </c>
      <c r="P1508">
        <v>-42372803</v>
      </c>
      <c r="Q1508">
        <v>-8520444</v>
      </c>
      <c r="R1508">
        <v>156632</v>
      </c>
      <c r="S1508">
        <v>31379</v>
      </c>
      <c r="T1508">
        <v>207758</v>
      </c>
      <c r="U1508">
        <v>4866932</v>
      </c>
      <c r="V1508">
        <v>4184869</v>
      </c>
    </row>
    <row r="1509" spans="1:22" x14ac:dyDescent="0.3">
      <c r="A1509" t="str">
        <f t="shared" si="46"/>
        <v>BEEFRealizado</v>
      </c>
      <c r="B1509" t="str">
        <f t="shared" si="47"/>
        <v>BEEFRealizadoSet-2021</v>
      </c>
      <c r="C1509" t="s">
        <v>32</v>
      </c>
      <c r="D1509" t="s">
        <v>33</v>
      </c>
      <c r="E1509" t="s">
        <v>23</v>
      </c>
      <c r="F1509" t="s">
        <v>740</v>
      </c>
      <c r="G1509" t="s">
        <v>741</v>
      </c>
      <c r="H1509" t="s">
        <v>742</v>
      </c>
      <c r="I1509" t="s">
        <v>701</v>
      </c>
      <c r="J1509" t="s">
        <v>746</v>
      </c>
      <c r="K1509" s="1">
        <v>44469</v>
      </c>
      <c r="L1509">
        <v>72374</v>
      </c>
      <c r="M1509">
        <v>20071836</v>
      </c>
      <c r="N1509">
        <v>7469346</v>
      </c>
      <c r="O1509">
        <v>935059</v>
      </c>
      <c r="P1509">
        <v>-20071836</v>
      </c>
      <c r="Q1509">
        <v>-5464843</v>
      </c>
      <c r="R1509">
        <v>99204</v>
      </c>
      <c r="S1509">
        <v>37247</v>
      </c>
      <c r="T1509">
        <v>153438</v>
      </c>
      <c r="U1509">
        <v>483053</v>
      </c>
      <c r="V1509">
        <v>3144420</v>
      </c>
    </row>
    <row r="1510" spans="1:22" x14ac:dyDescent="0.3">
      <c r="A1510" t="str">
        <f t="shared" si="46"/>
        <v>ALUPRealizado</v>
      </c>
      <c r="B1510" t="str">
        <f t="shared" si="47"/>
        <v>ALUPRealizadoSet-2022</v>
      </c>
      <c r="C1510" t="s">
        <v>292</v>
      </c>
      <c r="D1510" t="s">
        <v>293</v>
      </c>
      <c r="E1510" t="s">
        <v>294</v>
      </c>
      <c r="F1510" t="s">
        <v>740</v>
      </c>
      <c r="G1510" t="s">
        <v>741</v>
      </c>
      <c r="H1510" t="s">
        <v>742</v>
      </c>
      <c r="I1510" t="s">
        <v>701</v>
      </c>
      <c r="J1510" t="s">
        <v>746</v>
      </c>
      <c r="K1510" s="1">
        <v>44834</v>
      </c>
      <c r="L1510">
        <v>115676</v>
      </c>
      <c r="M1510">
        <v>8003884</v>
      </c>
      <c r="N1510">
        <v>1079687</v>
      </c>
      <c r="O1510">
        <v>382604</v>
      </c>
      <c r="P1510">
        <v>-8003884</v>
      </c>
      <c r="Q1510">
        <v>-160616</v>
      </c>
      <c r="R1510">
        <v>6559</v>
      </c>
      <c r="S1510">
        <v>443</v>
      </c>
      <c r="T1510">
        <v>3482342</v>
      </c>
      <c r="U1510">
        <v>7188602</v>
      </c>
      <c r="V1510">
        <v>18411</v>
      </c>
    </row>
    <row r="1511" spans="1:22" x14ac:dyDescent="0.3">
      <c r="A1511" t="str">
        <f t="shared" si="46"/>
        <v>ELETRealizado</v>
      </c>
      <c r="B1511" t="str">
        <f t="shared" si="47"/>
        <v>ELETRealizadoSet-2022</v>
      </c>
      <c r="C1511" t="s">
        <v>295</v>
      </c>
      <c r="D1511" t="s">
        <v>296</v>
      </c>
      <c r="E1511" t="s">
        <v>294</v>
      </c>
      <c r="F1511" t="s">
        <v>740</v>
      </c>
      <c r="G1511" t="s">
        <v>741</v>
      </c>
      <c r="H1511" t="s">
        <v>742</v>
      </c>
      <c r="I1511" t="s">
        <v>700</v>
      </c>
      <c r="J1511" t="s">
        <v>743</v>
      </c>
      <c r="K1511" s="1">
        <v>44834</v>
      </c>
      <c r="L1511">
        <v>-14533</v>
      </c>
      <c r="M1511">
        <v>166380211</v>
      </c>
      <c r="N1511">
        <v>22145571</v>
      </c>
      <c r="O1511">
        <v>537760</v>
      </c>
      <c r="P1511">
        <v>-166380211</v>
      </c>
      <c r="Q1511">
        <v>-12385639</v>
      </c>
      <c r="R1511">
        <v>0</v>
      </c>
      <c r="S1511">
        <v>63246</v>
      </c>
      <c r="T1511">
        <v>30890165</v>
      </c>
      <c r="U1511">
        <v>111495023</v>
      </c>
      <c r="V1511">
        <v>37793</v>
      </c>
    </row>
    <row r="1512" spans="1:22" x14ac:dyDescent="0.3">
      <c r="A1512" t="str">
        <f t="shared" si="46"/>
        <v>GPARRealizado</v>
      </c>
      <c r="B1512" t="str">
        <f t="shared" si="47"/>
        <v>GPARRealizadoSet-2022</v>
      </c>
      <c r="C1512" t="s">
        <v>305</v>
      </c>
      <c r="D1512" t="s">
        <v>306</v>
      </c>
      <c r="E1512" t="s">
        <v>294</v>
      </c>
      <c r="F1512" t="s">
        <v>740</v>
      </c>
      <c r="G1512" t="s">
        <v>741</v>
      </c>
      <c r="H1512" t="s">
        <v>742</v>
      </c>
      <c r="I1512" t="s">
        <v>700</v>
      </c>
      <c r="J1512" t="s">
        <v>743</v>
      </c>
      <c r="K1512" s="1">
        <v>44834</v>
      </c>
      <c r="L1512">
        <v>13841</v>
      </c>
      <c r="M1512">
        <v>1284121</v>
      </c>
      <c r="N1512">
        <v>783163</v>
      </c>
      <c r="O1512">
        <v>157801</v>
      </c>
      <c r="P1512">
        <v>-1284121</v>
      </c>
      <c r="Q1512">
        <v>-89613</v>
      </c>
      <c r="R1512">
        <v>3377</v>
      </c>
      <c r="S1512">
        <v>4319</v>
      </c>
      <c r="T1512">
        <v>52111</v>
      </c>
      <c r="U1512">
        <v>1169913</v>
      </c>
      <c r="V1512">
        <v>-2272</v>
      </c>
    </row>
    <row r="1513" spans="1:22" x14ac:dyDescent="0.3">
      <c r="A1513" t="str">
        <f t="shared" si="46"/>
        <v>CMSARealizado</v>
      </c>
      <c r="B1513" t="str">
        <f t="shared" si="47"/>
        <v>CMSARealizadoSet-2022</v>
      </c>
      <c r="C1513" t="s">
        <v>307</v>
      </c>
      <c r="D1513" t="s">
        <v>308</v>
      </c>
      <c r="E1513" t="s">
        <v>294</v>
      </c>
      <c r="F1513" t="s">
        <v>740</v>
      </c>
      <c r="G1513" t="s">
        <v>741</v>
      </c>
      <c r="H1513" t="s">
        <v>742</v>
      </c>
      <c r="I1513" t="s">
        <v>700</v>
      </c>
      <c r="J1513" t="s">
        <v>743</v>
      </c>
      <c r="K1513" s="1">
        <v>44834</v>
      </c>
      <c r="L1513">
        <v>-23696</v>
      </c>
      <c r="M1513">
        <v>34306</v>
      </c>
      <c r="N1513">
        <v>28972</v>
      </c>
      <c r="O1513">
        <v>0</v>
      </c>
      <c r="P1513">
        <v>-34306</v>
      </c>
      <c r="Q1513">
        <v>-488</v>
      </c>
      <c r="R1513">
        <v>0</v>
      </c>
      <c r="S1513">
        <v>488</v>
      </c>
      <c r="T1513">
        <v>0</v>
      </c>
      <c r="U1513">
        <v>33818</v>
      </c>
      <c r="V1513">
        <v>-25005</v>
      </c>
    </row>
    <row r="1514" spans="1:22" x14ac:dyDescent="0.3">
      <c r="A1514" t="str">
        <f t="shared" si="46"/>
        <v>CPFERealizado</v>
      </c>
      <c r="B1514" t="str">
        <f t="shared" si="47"/>
        <v>CPFERealizadoSet-2022</v>
      </c>
      <c r="C1514" t="s">
        <v>297</v>
      </c>
      <c r="D1514" t="s">
        <v>298</v>
      </c>
      <c r="E1514" t="s">
        <v>294</v>
      </c>
      <c r="F1514" t="s">
        <v>740</v>
      </c>
      <c r="G1514" t="s">
        <v>741</v>
      </c>
      <c r="H1514" t="s">
        <v>742</v>
      </c>
      <c r="I1514" t="s">
        <v>744</v>
      </c>
      <c r="J1514" t="s">
        <v>743</v>
      </c>
      <c r="K1514" s="1">
        <v>44834</v>
      </c>
      <c r="L1514">
        <v>1407996</v>
      </c>
      <c r="M1514">
        <v>17351681</v>
      </c>
      <c r="N1514">
        <v>824869</v>
      </c>
      <c r="O1514">
        <v>0</v>
      </c>
      <c r="P1514">
        <v>-17351681</v>
      </c>
      <c r="Q1514">
        <v>-1917525</v>
      </c>
      <c r="R1514">
        <v>0</v>
      </c>
      <c r="S1514">
        <v>307</v>
      </c>
      <c r="T1514">
        <v>5528374</v>
      </c>
      <c r="U1514">
        <v>15423709</v>
      </c>
      <c r="V1514">
        <v>15</v>
      </c>
    </row>
    <row r="1515" spans="1:22" x14ac:dyDescent="0.3">
      <c r="A1515" t="str">
        <f t="shared" si="46"/>
        <v>LIPRRealizado</v>
      </c>
      <c r="B1515" t="str">
        <f t="shared" si="47"/>
        <v>LIPRRealizadoSet-2022</v>
      </c>
      <c r="C1515" t="s">
        <v>299</v>
      </c>
      <c r="D1515" t="s">
        <v>300</v>
      </c>
      <c r="E1515" t="s">
        <v>294</v>
      </c>
      <c r="F1515" t="s">
        <v>740</v>
      </c>
      <c r="G1515" t="s">
        <v>741</v>
      </c>
      <c r="H1515" t="s">
        <v>742</v>
      </c>
      <c r="I1515" t="s">
        <v>701</v>
      </c>
      <c r="J1515" t="s">
        <v>746</v>
      </c>
      <c r="K1515" s="1">
        <v>44834</v>
      </c>
      <c r="L1515">
        <v>4656</v>
      </c>
      <c r="M1515">
        <v>254717</v>
      </c>
      <c r="N1515">
        <v>63959</v>
      </c>
      <c r="O1515">
        <v>0</v>
      </c>
      <c r="P1515">
        <v>-254717</v>
      </c>
      <c r="Q1515">
        <v>-28673</v>
      </c>
      <c r="R1515">
        <v>1245</v>
      </c>
      <c r="S1515">
        <v>1078</v>
      </c>
      <c r="T1515">
        <v>61721</v>
      </c>
      <c r="U1515">
        <v>215087</v>
      </c>
      <c r="V1515">
        <v>3447</v>
      </c>
    </row>
    <row r="1516" spans="1:22" x14ac:dyDescent="0.3">
      <c r="A1516" t="str">
        <f t="shared" si="46"/>
        <v>ENGIRealizado</v>
      </c>
      <c r="B1516" t="str">
        <f t="shared" si="47"/>
        <v>ENGIRealizadoSet-2022</v>
      </c>
      <c r="C1516" t="s">
        <v>301</v>
      </c>
      <c r="D1516" t="s">
        <v>302</v>
      </c>
      <c r="E1516" t="s">
        <v>294</v>
      </c>
      <c r="F1516" t="s">
        <v>740</v>
      </c>
      <c r="G1516" t="s">
        <v>741</v>
      </c>
      <c r="H1516" t="s">
        <v>742</v>
      </c>
      <c r="I1516" t="s">
        <v>701</v>
      </c>
      <c r="J1516" t="s">
        <v>746</v>
      </c>
      <c r="K1516" s="1">
        <v>44834</v>
      </c>
      <c r="L1516">
        <v>402118</v>
      </c>
      <c r="M1516">
        <v>18823943</v>
      </c>
      <c r="N1516">
        <v>2268706</v>
      </c>
      <c r="O1516">
        <v>55761</v>
      </c>
      <c r="P1516">
        <v>-18823943</v>
      </c>
      <c r="Q1516">
        <v>-1220116</v>
      </c>
      <c r="R1516">
        <v>0</v>
      </c>
      <c r="S1516">
        <v>0</v>
      </c>
      <c r="T1516">
        <v>4206572</v>
      </c>
      <c r="U1516">
        <v>11665088</v>
      </c>
      <c r="V1516">
        <v>79968</v>
      </c>
    </row>
    <row r="1517" spans="1:22" x14ac:dyDescent="0.3">
      <c r="A1517" t="str">
        <f t="shared" si="46"/>
        <v>LIGTRealizado</v>
      </c>
      <c r="B1517" t="str">
        <f t="shared" si="47"/>
        <v>LIGTRealizadoSet-2022</v>
      </c>
      <c r="C1517" t="s">
        <v>309</v>
      </c>
      <c r="D1517" t="s">
        <v>310</v>
      </c>
      <c r="E1517" t="s">
        <v>294</v>
      </c>
      <c r="F1517" t="s">
        <v>740</v>
      </c>
      <c r="G1517" t="s">
        <v>741</v>
      </c>
      <c r="H1517" t="s">
        <v>742</v>
      </c>
      <c r="I1517" t="s">
        <v>700</v>
      </c>
      <c r="J1517" t="s">
        <v>743</v>
      </c>
      <c r="K1517" s="1">
        <v>44834</v>
      </c>
      <c r="L1517">
        <v>7880</v>
      </c>
      <c r="M1517">
        <v>8663049</v>
      </c>
      <c r="N1517">
        <v>821631</v>
      </c>
      <c r="O1517">
        <v>0</v>
      </c>
      <c r="P1517">
        <v>-8663049</v>
      </c>
      <c r="Q1517">
        <v>-99817</v>
      </c>
      <c r="R1517">
        <v>0</v>
      </c>
      <c r="S1517">
        <v>518</v>
      </c>
      <c r="T1517">
        <v>3134858</v>
      </c>
      <c r="U1517">
        <v>8557005</v>
      </c>
      <c r="V1517">
        <v>-826</v>
      </c>
    </row>
    <row r="1518" spans="1:22" x14ac:dyDescent="0.3">
      <c r="A1518" t="str">
        <f t="shared" si="46"/>
        <v>NEOERealizado</v>
      </c>
      <c r="B1518" t="str">
        <f t="shared" si="47"/>
        <v>NEOERealizadoSet-2022</v>
      </c>
      <c r="C1518" t="s">
        <v>311</v>
      </c>
      <c r="D1518" t="s">
        <v>312</v>
      </c>
      <c r="E1518" t="s">
        <v>294</v>
      </c>
      <c r="F1518" t="s">
        <v>740</v>
      </c>
      <c r="G1518" t="s">
        <v>741</v>
      </c>
      <c r="H1518" t="s">
        <v>742</v>
      </c>
      <c r="I1518" t="s">
        <v>700</v>
      </c>
      <c r="J1518" t="s">
        <v>746</v>
      </c>
      <c r="K1518" s="1">
        <v>44834</v>
      </c>
      <c r="L1518">
        <v>1481000</v>
      </c>
      <c r="M1518">
        <v>32042000</v>
      </c>
      <c r="N1518">
        <v>2853000</v>
      </c>
      <c r="O1518">
        <v>0</v>
      </c>
      <c r="P1518">
        <v>-32042000</v>
      </c>
      <c r="Q1518">
        <v>-1846000</v>
      </c>
      <c r="R1518">
        <v>15000</v>
      </c>
      <c r="S1518">
        <v>34000</v>
      </c>
      <c r="T1518">
        <v>12647000</v>
      </c>
      <c r="U1518">
        <v>26705000</v>
      </c>
      <c r="V1518">
        <v>-1000</v>
      </c>
    </row>
    <row r="1519" spans="1:22" x14ac:dyDescent="0.3">
      <c r="A1519" t="str">
        <f t="shared" si="46"/>
        <v>TAEERealizado</v>
      </c>
      <c r="B1519" t="str">
        <f t="shared" si="47"/>
        <v>TAEERealizadoSet-2022</v>
      </c>
      <c r="C1519" t="s">
        <v>303</v>
      </c>
      <c r="D1519" t="s">
        <v>304</v>
      </c>
      <c r="E1519" t="s">
        <v>294</v>
      </c>
      <c r="F1519" t="s">
        <v>740</v>
      </c>
      <c r="G1519" t="s">
        <v>741</v>
      </c>
      <c r="H1519" t="s">
        <v>742</v>
      </c>
      <c r="I1519" t="s">
        <v>701</v>
      </c>
      <c r="J1519" t="s">
        <v>743</v>
      </c>
      <c r="K1519" s="1">
        <v>44834</v>
      </c>
      <c r="L1519">
        <v>302454</v>
      </c>
      <c r="M1519">
        <v>15736339</v>
      </c>
      <c r="N1519">
        <v>2708794</v>
      </c>
      <c r="O1519">
        <v>182905</v>
      </c>
      <c r="P1519">
        <v>-15736339</v>
      </c>
      <c r="Q1519">
        <v>-848079</v>
      </c>
      <c r="R1519">
        <v>0</v>
      </c>
      <c r="S1519">
        <v>21720</v>
      </c>
      <c r="T1519">
        <v>2368240</v>
      </c>
      <c r="U1519">
        <v>6950930</v>
      </c>
      <c r="V1519">
        <v>365889</v>
      </c>
    </row>
    <row r="1520" spans="1:22" x14ac:dyDescent="0.3">
      <c r="A1520" t="str">
        <f t="shared" si="46"/>
        <v>AGRORealizado</v>
      </c>
      <c r="B1520" t="str">
        <f t="shared" si="47"/>
        <v>AGRORealizadoSet-2022</v>
      </c>
      <c r="C1520" t="s">
        <v>4</v>
      </c>
      <c r="D1520" t="s">
        <v>5</v>
      </c>
      <c r="E1520" t="s">
        <v>6</v>
      </c>
      <c r="F1520" t="s">
        <v>740</v>
      </c>
      <c r="G1520" t="s">
        <v>741</v>
      </c>
      <c r="H1520" t="s">
        <v>742</v>
      </c>
      <c r="I1520" t="s">
        <v>700</v>
      </c>
      <c r="J1520" t="s">
        <v>745</v>
      </c>
      <c r="K1520" s="1">
        <v>44834</v>
      </c>
      <c r="L1520">
        <v>42002</v>
      </c>
      <c r="M1520">
        <v>3110720</v>
      </c>
      <c r="N1520">
        <v>833635</v>
      </c>
      <c r="O1520">
        <v>163124</v>
      </c>
      <c r="P1520">
        <v>-3110720</v>
      </c>
      <c r="Q1520">
        <v>-327337</v>
      </c>
      <c r="R1520">
        <v>15528</v>
      </c>
      <c r="S1520">
        <v>0</v>
      </c>
      <c r="T1520">
        <v>612828</v>
      </c>
      <c r="U1520">
        <v>2274107</v>
      </c>
      <c r="V1520">
        <v>168641</v>
      </c>
    </row>
    <row r="1521" spans="1:22" x14ac:dyDescent="0.3">
      <c r="A1521" t="str">
        <f t="shared" si="46"/>
        <v>CSANRealizado</v>
      </c>
      <c r="B1521" t="str">
        <f t="shared" si="47"/>
        <v>CSANRealizadoSet-2022</v>
      </c>
      <c r="C1521" t="s">
        <v>7</v>
      </c>
      <c r="D1521" t="s">
        <v>8</v>
      </c>
      <c r="E1521" t="s">
        <v>6</v>
      </c>
      <c r="F1521" t="s">
        <v>740</v>
      </c>
      <c r="G1521" t="s">
        <v>741</v>
      </c>
      <c r="H1521" t="s">
        <v>742</v>
      </c>
      <c r="I1521" t="s">
        <v>700</v>
      </c>
      <c r="J1521" t="s">
        <v>743</v>
      </c>
      <c r="K1521" s="1">
        <v>44834</v>
      </c>
      <c r="L1521">
        <v>-14886</v>
      </c>
      <c r="M1521">
        <v>42271004</v>
      </c>
      <c r="N1521">
        <v>3771433</v>
      </c>
      <c r="O1521">
        <v>0</v>
      </c>
      <c r="P1521">
        <v>-42271004</v>
      </c>
      <c r="Q1521">
        <v>-10490632</v>
      </c>
      <c r="R1521">
        <v>0</v>
      </c>
      <c r="S1521">
        <v>136083</v>
      </c>
      <c r="T1521">
        <v>8573565</v>
      </c>
      <c r="U1521">
        <v>15968552</v>
      </c>
      <c r="V1521">
        <v>526909</v>
      </c>
    </row>
    <row r="1522" spans="1:22" x14ac:dyDescent="0.3">
      <c r="A1522" t="str">
        <f t="shared" si="46"/>
        <v>CTCARealizado</v>
      </c>
      <c r="B1522" t="str">
        <f t="shared" si="47"/>
        <v>CTCARealizadoSet-2022</v>
      </c>
      <c r="C1522" t="s">
        <v>9</v>
      </c>
      <c r="D1522" t="s">
        <v>10</v>
      </c>
      <c r="E1522" t="s">
        <v>6</v>
      </c>
      <c r="F1522" t="s">
        <v>740</v>
      </c>
      <c r="G1522" t="s">
        <v>741</v>
      </c>
      <c r="H1522" t="s">
        <v>742</v>
      </c>
      <c r="I1522" t="s">
        <v>700</v>
      </c>
      <c r="J1522" t="s">
        <v>745</v>
      </c>
      <c r="K1522" s="1">
        <v>44834</v>
      </c>
      <c r="L1522">
        <v>25273</v>
      </c>
      <c r="M1522">
        <v>940358</v>
      </c>
      <c r="N1522">
        <v>401927</v>
      </c>
      <c r="O1522">
        <v>92149</v>
      </c>
      <c r="P1522">
        <v>-940358</v>
      </c>
      <c r="Q1522">
        <v>-76553</v>
      </c>
      <c r="R1522">
        <v>27934</v>
      </c>
      <c r="S1522">
        <v>4583</v>
      </c>
      <c r="T1522">
        <v>217051</v>
      </c>
      <c r="U1522">
        <v>839303</v>
      </c>
      <c r="V1522">
        <v>91533</v>
      </c>
    </row>
    <row r="1523" spans="1:22" x14ac:dyDescent="0.3">
      <c r="A1523" t="str">
        <f t="shared" si="46"/>
        <v>JALLRealizado</v>
      </c>
      <c r="B1523" t="str">
        <f t="shared" si="47"/>
        <v>JALLRealizadoSet-2022</v>
      </c>
      <c r="C1523" t="s">
        <v>11</v>
      </c>
      <c r="D1523" t="s">
        <v>12</v>
      </c>
      <c r="E1523" t="s">
        <v>6</v>
      </c>
      <c r="F1523" t="s">
        <v>740</v>
      </c>
      <c r="G1523" t="s">
        <v>741</v>
      </c>
      <c r="H1523" t="s">
        <v>742</v>
      </c>
      <c r="I1523" t="s">
        <v>700</v>
      </c>
      <c r="J1523" t="s">
        <v>745</v>
      </c>
      <c r="K1523" s="1">
        <v>44834</v>
      </c>
      <c r="L1523">
        <v>177509</v>
      </c>
      <c r="M1523">
        <v>5366048</v>
      </c>
      <c r="N1523">
        <v>2668028</v>
      </c>
      <c r="O1523">
        <v>104912</v>
      </c>
      <c r="P1523">
        <v>-5366048</v>
      </c>
      <c r="Q1523">
        <v>-763257</v>
      </c>
      <c r="R1523">
        <v>42306</v>
      </c>
      <c r="S1523">
        <v>12551</v>
      </c>
      <c r="T1523">
        <v>462727</v>
      </c>
      <c r="U1523">
        <v>1676446</v>
      </c>
      <c r="V1523">
        <v>486288</v>
      </c>
    </row>
    <row r="1524" spans="1:22" x14ac:dyDescent="0.3">
      <c r="A1524" t="str">
        <f t="shared" si="46"/>
        <v>NUTRRealizado</v>
      </c>
      <c r="B1524" t="str">
        <f t="shared" si="47"/>
        <v>NUTRRealizadoSet-2022</v>
      </c>
      <c r="C1524" t="s">
        <v>13</v>
      </c>
      <c r="D1524" t="s">
        <v>14</v>
      </c>
      <c r="E1524" t="s">
        <v>6</v>
      </c>
      <c r="F1524" t="s">
        <v>740</v>
      </c>
      <c r="G1524" t="s">
        <v>741</v>
      </c>
      <c r="H1524" t="s">
        <v>742</v>
      </c>
      <c r="I1524" t="s">
        <v>700</v>
      </c>
      <c r="J1524" t="s">
        <v>745</v>
      </c>
      <c r="K1524" s="1">
        <v>44834</v>
      </c>
      <c r="L1524">
        <v>1021</v>
      </c>
      <c r="M1524">
        <v>108800</v>
      </c>
      <c r="N1524">
        <v>70994</v>
      </c>
      <c r="O1524">
        <v>15198</v>
      </c>
      <c r="P1524">
        <v>-108800</v>
      </c>
      <c r="Q1524">
        <v>-40306</v>
      </c>
      <c r="R1524">
        <v>3704</v>
      </c>
      <c r="S1524">
        <v>3515</v>
      </c>
      <c r="T1524">
        <v>506</v>
      </c>
      <c r="U1524">
        <v>29036</v>
      </c>
      <c r="V1524">
        <v>47917</v>
      </c>
    </row>
    <row r="1525" spans="1:22" x14ac:dyDescent="0.3">
      <c r="A1525" t="str">
        <f t="shared" si="46"/>
        <v>FRTARealizado</v>
      </c>
      <c r="B1525" t="str">
        <f t="shared" si="47"/>
        <v>FRTARealizadoSet-2022</v>
      </c>
      <c r="C1525" t="s">
        <v>19</v>
      </c>
      <c r="D1525" t="s">
        <v>20</v>
      </c>
      <c r="E1525" t="s">
        <v>6</v>
      </c>
      <c r="F1525" t="s">
        <v>740</v>
      </c>
      <c r="G1525" t="s">
        <v>741</v>
      </c>
      <c r="H1525" t="s">
        <v>742</v>
      </c>
      <c r="I1525" t="s">
        <v>744</v>
      </c>
      <c r="J1525" t="s">
        <v>743</v>
      </c>
      <c r="K1525" s="1">
        <v>44834</v>
      </c>
      <c r="L1525">
        <v>-2857</v>
      </c>
      <c r="M1525">
        <v>14141</v>
      </c>
      <c r="N1525">
        <v>1505</v>
      </c>
      <c r="O1525">
        <v>0</v>
      </c>
      <c r="P1525">
        <v>-14141</v>
      </c>
      <c r="Q1525">
        <v>-78393</v>
      </c>
      <c r="R1525">
        <v>7259</v>
      </c>
      <c r="S1525">
        <v>87</v>
      </c>
      <c r="T1525">
        <v>17</v>
      </c>
      <c r="U1525">
        <v>-68217</v>
      </c>
      <c r="V1525">
        <v>-2845</v>
      </c>
    </row>
    <row r="1526" spans="1:22" x14ac:dyDescent="0.3">
      <c r="A1526" t="str">
        <f t="shared" si="46"/>
        <v>SMTORealizado</v>
      </c>
      <c r="B1526" t="str">
        <f t="shared" si="47"/>
        <v>SMTORealizadoSet-2022</v>
      </c>
      <c r="C1526" t="s">
        <v>15</v>
      </c>
      <c r="D1526" t="s">
        <v>16</v>
      </c>
      <c r="E1526" t="s">
        <v>6</v>
      </c>
      <c r="F1526" t="s">
        <v>740</v>
      </c>
      <c r="G1526" t="s">
        <v>741</v>
      </c>
      <c r="H1526" t="s">
        <v>742</v>
      </c>
      <c r="I1526" t="s">
        <v>701</v>
      </c>
      <c r="J1526" t="s">
        <v>746</v>
      </c>
      <c r="K1526" s="1">
        <v>44834</v>
      </c>
      <c r="L1526">
        <v>212596</v>
      </c>
      <c r="M1526">
        <v>17671072</v>
      </c>
      <c r="N1526">
        <v>5704830</v>
      </c>
      <c r="O1526">
        <v>408244</v>
      </c>
      <c r="P1526">
        <v>-17671072</v>
      </c>
      <c r="Q1526">
        <v>-3167817</v>
      </c>
      <c r="R1526">
        <v>209444</v>
      </c>
      <c r="S1526">
        <v>22023</v>
      </c>
      <c r="T1526">
        <v>1168559</v>
      </c>
      <c r="U1526">
        <v>5452022</v>
      </c>
      <c r="V1526">
        <v>1529634</v>
      </c>
    </row>
    <row r="1527" spans="1:22" x14ac:dyDescent="0.3">
      <c r="A1527" t="str">
        <f t="shared" si="46"/>
        <v>SLCERealizado</v>
      </c>
      <c r="B1527" t="str">
        <f t="shared" si="47"/>
        <v>SLCERealizadoSet-2022</v>
      </c>
      <c r="C1527" t="s">
        <v>17</v>
      </c>
      <c r="D1527" t="s">
        <v>18</v>
      </c>
      <c r="E1527" t="s">
        <v>6</v>
      </c>
      <c r="F1527" t="s">
        <v>740</v>
      </c>
      <c r="G1527" t="s">
        <v>741</v>
      </c>
      <c r="H1527" t="s">
        <v>742</v>
      </c>
      <c r="I1527" t="s">
        <v>700</v>
      </c>
      <c r="J1527" t="s">
        <v>743</v>
      </c>
      <c r="K1527" s="1">
        <v>44834</v>
      </c>
      <c r="L1527">
        <v>-63655</v>
      </c>
      <c r="M1527">
        <v>15275816</v>
      </c>
      <c r="N1527">
        <v>5274430</v>
      </c>
      <c r="O1527">
        <v>435593</v>
      </c>
      <c r="P1527">
        <v>-15275816</v>
      </c>
      <c r="Q1527">
        <v>-3542513</v>
      </c>
      <c r="R1527">
        <v>12129</v>
      </c>
      <c r="S1527">
        <v>29435</v>
      </c>
      <c r="T1527">
        <v>922596</v>
      </c>
      <c r="U1527">
        <v>4788889</v>
      </c>
      <c r="V1527">
        <v>1111347</v>
      </c>
    </row>
    <row r="1528" spans="1:22" x14ac:dyDescent="0.3">
      <c r="A1528" t="str">
        <f t="shared" si="46"/>
        <v>AALRRealizado</v>
      </c>
      <c r="B1528" t="str">
        <f t="shared" si="47"/>
        <v>AALRRealizadoSet-2022</v>
      </c>
      <c r="C1528" t="s">
        <v>621</v>
      </c>
      <c r="D1528" t="s">
        <v>622</v>
      </c>
      <c r="E1528" t="s">
        <v>610</v>
      </c>
      <c r="F1528" t="s">
        <v>740</v>
      </c>
      <c r="G1528" t="s">
        <v>741</v>
      </c>
      <c r="H1528" t="s">
        <v>742</v>
      </c>
      <c r="I1528" t="s">
        <v>700</v>
      </c>
      <c r="J1528" t="s">
        <v>746</v>
      </c>
      <c r="K1528" s="1">
        <v>44834</v>
      </c>
      <c r="L1528">
        <v>-75123</v>
      </c>
      <c r="M1528">
        <v>2220735</v>
      </c>
      <c r="N1528">
        <v>253753</v>
      </c>
      <c r="O1528">
        <v>14399</v>
      </c>
      <c r="P1528">
        <v>-2220735</v>
      </c>
      <c r="Q1528">
        <v>-405735</v>
      </c>
      <c r="R1528">
        <v>23847</v>
      </c>
      <c r="S1528">
        <v>3457</v>
      </c>
      <c r="T1528">
        <v>0</v>
      </c>
      <c r="U1528">
        <v>1072554</v>
      </c>
      <c r="V1528">
        <v>47666</v>
      </c>
    </row>
    <row r="1529" spans="1:22" x14ac:dyDescent="0.3">
      <c r="A1529" t="str">
        <f t="shared" si="46"/>
        <v>DASARealizado</v>
      </c>
      <c r="B1529" t="str">
        <f t="shared" si="47"/>
        <v>DASARealizadoSet-2022</v>
      </c>
      <c r="C1529" t="s">
        <v>623</v>
      </c>
      <c r="D1529" t="s">
        <v>624</v>
      </c>
      <c r="E1529" t="s">
        <v>610</v>
      </c>
      <c r="F1529" t="s">
        <v>740</v>
      </c>
      <c r="G1529" t="s">
        <v>741</v>
      </c>
      <c r="H1529" t="s">
        <v>742</v>
      </c>
      <c r="I1529" t="s">
        <v>700</v>
      </c>
      <c r="J1529" t="s">
        <v>743</v>
      </c>
      <c r="K1529" s="1">
        <v>44834</v>
      </c>
      <c r="L1529">
        <v>-89363</v>
      </c>
      <c r="M1529">
        <v>19159043</v>
      </c>
      <c r="N1529">
        <v>2807290</v>
      </c>
      <c r="O1529">
        <v>947067</v>
      </c>
      <c r="P1529">
        <v>-19159043</v>
      </c>
      <c r="Q1529">
        <v>-2842672</v>
      </c>
      <c r="R1529">
        <v>323944</v>
      </c>
      <c r="S1529">
        <v>50833</v>
      </c>
      <c r="T1529">
        <v>0</v>
      </c>
      <c r="U1529">
        <v>7352804</v>
      </c>
      <c r="V1529">
        <v>1219285</v>
      </c>
    </row>
    <row r="1530" spans="1:22" x14ac:dyDescent="0.3">
      <c r="A1530" t="str">
        <f t="shared" si="46"/>
        <v>FLRYRealizado</v>
      </c>
      <c r="B1530" t="str">
        <f t="shared" si="47"/>
        <v>FLRYRealizadoSet-2022</v>
      </c>
      <c r="C1530" t="s">
        <v>608</v>
      </c>
      <c r="D1530" t="s">
        <v>609</v>
      </c>
      <c r="E1530" t="s">
        <v>610</v>
      </c>
      <c r="F1530" t="s">
        <v>740</v>
      </c>
      <c r="G1530" t="s">
        <v>741</v>
      </c>
      <c r="H1530" t="s">
        <v>742</v>
      </c>
      <c r="I1530" t="s">
        <v>701</v>
      </c>
      <c r="J1530" t="s">
        <v>745</v>
      </c>
      <c r="K1530" s="1">
        <v>44834</v>
      </c>
      <c r="L1530">
        <v>96006</v>
      </c>
      <c r="M1530">
        <v>6388784</v>
      </c>
      <c r="N1530">
        <v>1482183</v>
      </c>
      <c r="O1530">
        <v>726448</v>
      </c>
      <c r="P1530">
        <v>-6388784</v>
      </c>
      <c r="Q1530">
        <v>-515303</v>
      </c>
      <c r="R1530">
        <v>209356</v>
      </c>
      <c r="S1530">
        <v>36128</v>
      </c>
      <c r="T1530">
        <v>136254</v>
      </c>
      <c r="U1530">
        <v>1914903</v>
      </c>
      <c r="V1530">
        <v>947768</v>
      </c>
    </row>
    <row r="1531" spans="1:22" x14ac:dyDescent="0.3">
      <c r="A1531" t="str">
        <f t="shared" si="46"/>
        <v>HAPVRealizado</v>
      </c>
      <c r="B1531" t="str">
        <f t="shared" si="47"/>
        <v>HAPVRealizadoSet-2022</v>
      </c>
      <c r="C1531" t="s">
        <v>611</v>
      </c>
      <c r="D1531" t="s">
        <v>612</v>
      </c>
      <c r="E1531" t="s">
        <v>610</v>
      </c>
      <c r="F1531" t="s">
        <v>740</v>
      </c>
      <c r="G1531" t="s">
        <v>741</v>
      </c>
      <c r="H1531" t="s">
        <v>742</v>
      </c>
      <c r="I1531" t="s">
        <v>700</v>
      </c>
      <c r="J1531" t="s">
        <v>746</v>
      </c>
      <c r="K1531" s="1">
        <v>44834</v>
      </c>
      <c r="L1531">
        <v>34158</v>
      </c>
      <c r="M1531">
        <v>55299801</v>
      </c>
      <c r="N1531">
        <v>204239</v>
      </c>
      <c r="O1531">
        <v>0</v>
      </c>
      <c r="P1531">
        <v>-55299801</v>
      </c>
      <c r="Q1531">
        <v>-937766</v>
      </c>
      <c r="R1531">
        <v>2852</v>
      </c>
      <c r="S1531">
        <v>1394</v>
      </c>
      <c r="T1531">
        <v>1989195</v>
      </c>
      <c r="U1531">
        <v>49053740</v>
      </c>
      <c r="V1531">
        <v>121594</v>
      </c>
    </row>
    <row r="1532" spans="1:22" x14ac:dyDescent="0.3">
      <c r="A1532" t="str">
        <f t="shared" si="46"/>
        <v>MATDRealizado</v>
      </c>
      <c r="B1532" t="str">
        <f t="shared" si="47"/>
        <v>MATDRealizadoSet-2022</v>
      </c>
      <c r="C1532" t="s">
        <v>613</v>
      </c>
      <c r="D1532" t="s">
        <v>614</v>
      </c>
      <c r="E1532" t="s">
        <v>610</v>
      </c>
      <c r="F1532" t="s">
        <v>740</v>
      </c>
      <c r="G1532" t="s">
        <v>741</v>
      </c>
      <c r="H1532" t="s">
        <v>742</v>
      </c>
      <c r="I1532" t="s">
        <v>701</v>
      </c>
      <c r="J1532" t="s">
        <v>745</v>
      </c>
      <c r="K1532" s="1">
        <v>44834</v>
      </c>
      <c r="L1532">
        <v>33725</v>
      </c>
      <c r="M1532">
        <v>3971160</v>
      </c>
      <c r="N1532">
        <v>860360</v>
      </c>
      <c r="O1532">
        <v>311186</v>
      </c>
      <c r="P1532">
        <v>-3971160</v>
      </c>
      <c r="Q1532">
        <v>-257764</v>
      </c>
      <c r="R1532">
        <v>41841</v>
      </c>
      <c r="S1532">
        <v>5518</v>
      </c>
      <c r="T1532">
        <v>239725</v>
      </c>
      <c r="U1532">
        <v>1639184</v>
      </c>
      <c r="V1532">
        <v>276420</v>
      </c>
    </row>
    <row r="1533" spans="1:22" x14ac:dyDescent="0.3">
      <c r="A1533" t="str">
        <f t="shared" si="46"/>
        <v>PARDRealizado</v>
      </c>
      <c r="B1533" t="str">
        <f t="shared" si="47"/>
        <v>PARDRealizadoSet-2022</v>
      </c>
      <c r="C1533" t="s">
        <v>615</v>
      </c>
      <c r="D1533" t="s">
        <v>616</v>
      </c>
      <c r="E1533" t="s">
        <v>610</v>
      </c>
      <c r="F1533" t="s">
        <v>740</v>
      </c>
      <c r="G1533" t="s">
        <v>741</v>
      </c>
      <c r="H1533" t="s">
        <v>742</v>
      </c>
      <c r="I1533" t="s">
        <v>701</v>
      </c>
      <c r="J1533" t="s">
        <v>745</v>
      </c>
      <c r="K1533" s="1">
        <v>44834</v>
      </c>
      <c r="L1533">
        <v>29747</v>
      </c>
      <c r="M1533">
        <v>2260537</v>
      </c>
      <c r="N1533">
        <v>549807</v>
      </c>
      <c r="O1533">
        <v>352438</v>
      </c>
      <c r="P1533">
        <v>-2260537</v>
      </c>
      <c r="Q1533">
        <v>-643925</v>
      </c>
      <c r="R1533">
        <v>77790</v>
      </c>
      <c r="S1533">
        <v>12904</v>
      </c>
      <c r="T1533">
        <v>356584</v>
      </c>
      <c r="U1533">
        <v>957428</v>
      </c>
      <c r="V1533">
        <v>434248</v>
      </c>
    </row>
    <row r="1534" spans="1:22" x14ac:dyDescent="0.3">
      <c r="A1534" t="str">
        <f t="shared" si="46"/>
        <v>ESPARealizado</v>
      </c>
      <c r="B1534" t="str">
        <f t="shared" si="47"/>
        <v>ESPARealizadoSet-2022</v>
      </c>
      <c r="C1534" t="s">
        <v>625</v>
      </c>
      <c r="D1534" t="s">
        <v>626</v>
      </c>
      <c r="E1534" t="s">
        <v>610</v>
      </c>
      <c r="F1534" t="s">
        <v>740</v>
      </c>
      <c r="G1534" t="s">
        <v>741</v>
      </c>
      <c r="H1534" t="s">
        <v>742</v>
      </c>
      <c r="I1534" t="s">
        <v>700</v>
      </c>
      <c r="J1534" t="s">
        <v>743</v>
      </c>
      <c r="K1534" s="1">
        <v>44834</v>
      </c>
      <c r="L1534">
        <v>-18821</v>
      </c>
      <c r="M1534">
        <v>1449204</v>
      </c>
      <c r="N1534">
        <v>8402</v>
      </c>
      <c r="O1534">
        <v>0</v>
      </c>
      <c r="P1534">
        <v>-1449204</v>
      </c>
      <c r="Q1534">
        <v>-12785</v>
      </c>
      <c r="R1534">
        <v>0</v>
      </c>
      <c r="S1534">
        <v>2804</v>
      </c>
      <c r="T1534">
        <v>244422</v>
      </c>
      <c r="U1534">
        <v>684239</v>
      </c>
      <c r="V1534">
        <v>-4215</v>
      </c>
    </row>
    <row r="1535" spans="1:22" x14ac:dyDescent="0.3">
      <c r="A1535" t="str">
        <f t="shared" si="46"/>
        <v>ODPVRealizado</v>
      </c>
      <c r="B1535" t="str">
        <f t="shared" si="47"/>
        <v>ODPVRealizadoSet-2022</v>
      </c>
      <c r="C1535" t="s">
        <v>617</v>
      </c>
      <c r="D1535" t="s">
        <v>618</v>
      </c>
      <c r="E1535" t="s">
        <v>610</v>
      </c>
      <c r="F1535" t="s">
        <v>740</v>
      </c>
      <c r="G1535" t="s">
        <v>741</v>
      </c>
      <c r="H1535" t="s">
        <v>742</v>
      </c>
      <c r="I1535" t="s">
        <v>701</v>
      </c>
      <c r="J1535" t="s">
        <v>745</v>
      </c>
      <c r="K1535" s="1">
        <v>44834</v>
      </c>
      <c r="L1535">
        <v>96188</v>
      </c>
      <c r="M1535">
        <v>2067227</v>
      </c>
      <c r="N1535">
        <v>558832</v>
      </c>
      <c r="O1535">
        <v>174407</v>
      </c>
      <c r="P1535">
        <v>-2067227</v>
      </c>
      <c r="Q1535">
        <v>-735418</v>
      </c>
      <c r="R1535">
        <v>46479</v>
      </c>
      <c r="S1535">
        <v>30976</v>
      </c>
      <c r="T1535">
        <v>170253</v>
      </c>
      <c r="U1535">
        <v>1206082</v>
      </c>
      <c r="V1535">
        <v>484162</v>
      </c>
    </row>
    <row r="1536" spans="1:22" x14ac:dyDescent="0.3">
      <c r="A1536" t="str">
        <f t="shared" si="46"/>
        <v>RDORRealizado</v>
      </c>
      <c r="B1536" t="str">
        <f t="shared" si="47"/>
        <v>RDORRealizadoSet-2022</v>
      </c>
      <c r="C1536" t="s">
        <v>619</v>
      </c>
      <c r="D1536" t="s">
        <v>620</v>
      </c>
      <c r="E1536" t="s">
        <v>610</v>
      </c>
      <c r="F1536" t="s">
        <v>740</v>
      </c>
      <c r="G1536" t="s">
        <v>741</v>
      </c>
      <c r="H1536" t="s">
        <v>742</v>
      </c>
      <c r="I1536" t="s">
        <v>701</v>
      </c>
      <c r="J1536" t="s">
        <v>743</v>
      </c>
      <c r="K1536" s="1">
        <v>44834</v>
      </c>
      <c r="L1536">
        <v>375327</v>
      </c>
      <c r="M1536">
        <v>45439234</v>
      </c>
      <c r="N1536">
        <v>16451505</v>
      </c>
      <c r="O1536">
        <v>4089533</v>
      </c>
      <c r="P1536">
        <v>-45439234</v>
      </c>
      <c r="Q1536">
        <v>-6097446</v>
      </c>
      <c r="R1536">
        <v>561452</v>
      </c>
      <c r="S1536">
        <v>253456</v>
      </c>
      <c r="T1536">
        <v>958417</v>
      </c>
      <c r="U1536">
        <v>13628540</v>
      </c>
      <c r="V1536">
        <v>3073936</v>
      </c>
    </row>
    <row r="1537" spans="1:22" x14ac:dyDescent="0.3">
      <c r="A1537" t="str">
        <f t="shared" si="46"/>
        <v>BMOBRealizado</v>
      </c>
      <c r="B1537" t="str">
        <f t="shared" si="47"/>
        <v>BMOBRealizadoSet-2022</v>
      </c>
      <c r="C1537" t="s">
        <v>149</v>
      </c>
      <c r="D1537" t="s">
        <v>150</v>
      </c>
      <c r="E1537" t="s">
        <v>151</v>
      </c>
      <c r="F1537" t="s">
        <v>740</v>
      </c>
      <c r="G1537" t="s">
        <v>741</v>
      </c>
      <c r="H1537" t="s">
        <v>742</v>
      </c>
      <c r="I1537" t="s">
        <v>700</v>
      </c>
      <c r="J1537" t="s">
        <v>745</v>
      </c>
      <c r="K1537" s="1">
        <v>44834</v>
      </c>
      <c r="L1537">
        <v>37055</v>
      </c>
      <c r="M1537">
        <v>1118021</v>
      </c>
      <c r="N1537">
        <v>536881</v>
      </c>
      <c r="O1537">
        <v>46305</v>
      </c>
      <c r="P1537">
        <v>-1118021</v>
      </c>
      <c r="Q1537">
        <v>-33919</v>
      </c>
      <c r="R1537">
        <v>15035</v>
      </c>
      <c r="S1537">
        <v>4281</v>
      </c>
      <c r="T1537">
        <v>134218</v>
      </c>
      <c r="U1537">
        <v>1063707</v>
      </c>
      <c r="V1537">
        <v>43920</v>
      </c>
    </row>
    <row r="1538" spans="1:22" x14ac:dyDescent="0.3">
      <c r="A1538" t="str">
        <f t="shared" ref="A1538:A1601" si="48">_xlfn.CONCAT(D1538,F1538)</f>
        <v>BRQBRealizado</v>
      </c>
      <c r="B1538" t="str">
        <f t="shared" ref="B1538:B1601" si="49">_xlfn.CONCAT(D1538,F1538,PROPER(TEXT(K1538,"mmm-aaaa")))</f>
        <v>BRQBRealizadoSet-2022</v>
      </c>
      <c r="C1538" t="s">
        <v>152</v>
      </c>
      <c r="D1538" t="s">
        <v>153</v>
      </c>
      <c r="E1538" t="s">
        <v>151</v>
      </c>
      <c r="F1538" t="s">
        <v>740</v>
      </c>
      <c r="G1538" t="s">
        <v>741</v>
      </c>
      <c r="H1538" t="s">
        <v>742</v>
      </c>
      <c r="I1538" t="s">
        <v>700</v>
      </c>
      <c r="J1538" t="s">
        <v>745</v>
      </c>
      <c r="K1538" s="1">
        <v>44834</v>
      </c>
      <c r="L1538">
        <v>56898</v>
      </c>
      <c r="M1538">
        <v>368617</v>
      </c>
      <c r="N1538">
        <v>232188</v>
      </c>
      <c r="O1538">
        <v>99417</v>
      </c>
      <c r="P1538">
        <v>-368617</v>
      </c>
      <c r="Q1538">
        <v>-118992</v>
      </c>
      <c r="R1538">
        <v>50710</v>
      </c>
      <c r="S1538">
        <v>25520</v>
      </c>
      <c r="T1538">
        <v>46035</v>
      </c>
      <c r="U1538">
        <v>172412</v>
      </c>
      <c r="V1538">
        <v>174368</v>
      </c>
    </row>
    <row r="1539" spans="1:22" x14ac:dyDescent="0.3">
      <c r="A1539" t="str">
        <f t="shared" si="48"/>
        <v>FLEXRealizado</v>
      </c>
      <c r="B1539" t="str">
        <f t="shared" si="49"/>
        <v>FLEXRealizadoSet-2022</v>
      </c>
      <c r="C1539" t="s">
        <v>164</v>
      </c>
      <c r="D1539" t="s">
        <v>165</v>
      </c>
      <c r="E1539" t="s">
        <v>151</v>
      </c>
      <c r="F1539" t="s">
        <v>740</v>
      </c>
      <c r="G1539" t="s">
        <v>741</v>
      </c>
      <c r="H1539" t="s">
        <v>742</v>
      </c>
      <c r="I1539" t="s">
        <v>701</v>
      </c>
      <c r="J1539" t="s">
        <v>743</v>
      </c>
      <c r="K1539" s="1">
        <v>44834</v>
      </c>
      <c r="L1539">
        <v>-101549</v>
      </c>
      <c r="M1539">
        <v>301828</v>
      </c>
      <c r="N1539">
        <v>163555</v>
      </c>
      <c r="O1539">
        <v>110526</v>
      </c>
      <c r="P1539">
        <v>-301828</v>
      </c>
      <c r="Q1539">
        <v>-408174</v>
      </c>
      <c r="R1539">
        <v>94905</v>
      </c>
      <c r="S1539">
        <v>184081</v>
      </c>
      <c r="T1539">
        <v>1010</v>
      </c>
      <c r="U1539">
        <v>-183308</v>
      </c>
      <c r="V1539">
        <v>91102</v>
      </c>
    </row>
    <row r="1540" spans="1:22" x14ac:dyDescent="0.3">
      <c r="A1540" t="str">
        <f t="shared" si="48"/>
        <v>LWSARealizado</v>
      </c>
      <c r="B1540" t="str">
        <f t="shared" si="49"/>
        <v>LWSARealizadoSet-2022</v>
      </c>
      <c r="C1540" t="s">
        <v>154</v>
      </c>
      <c r="D1540" t="s">
        <v>155</v>
      </c>
      <c r="E1540" t="s">
        <v>151</v>
      </c>
      <c r="F1540" t="s">
        <v>740</v>
      </c>
      <c r="G1540" t="s">
        <v>741</v>
      </c>
      <c r="H1540" t="s">
        <v>742</v>
      </c>
      <c r="I1540" t="s">
        <v>744</v>
      </c>
      <c r="J1540" t="s">
        <v>746</v>
      </c>
      <c r="K1540" s="1">
        <v>44834</v>
      </c>
      <c r="L1540">
        <v>-6378</v>
      </c>
      <c r="M1540">
        <v>3763469</v>
      </c>
      <c r="N1540">
        <v>1373182</v>
      </c>
      <c r="O1540">
        <v>24262</v>
      </c>
      <c r="P1540">
        <v>-3763469</v>
      </c>
      <c r="Q1540">
        <v>-278676</v>
      </c>
      <c r="R1540">
        <v>0</v>
      </c>
      <c r="S1540">
        <v>4031</v>
      </c>
      <c r="T1540">
        <v>4425</v>
      </c>
      <c r="U1540">
        <v>2959841</v>
      </c>
      <c r="V1540">
        <v>93364</v>
      </c>
    </row>
    <row r="1541" spans="1:22" x14ac:dyDescent="0.3">
      <c r="A1541" t="str">
        <f t="shared" si="48"/>
        <v>CASHRealizado</v>
      </c>
      <c r="B1541" t="str">
        <f t="shared" si="49"/>
        <v>CASHRealizadoSet-2022</v>
      </c>
      <c r="C1541" t="s">
        <v>162</v>
      </c>
      <c r="D1541" t="s">
        <v>163</v>
      </c>
      <c r="E1541" t="s">
        <v>151</v>
      </c>
      <c r="F1541" t="s">
        <v>740</v>
      </c>
      <c r="G1541" t="s">
        <v>741</v>
      </c>
      <c r="H1541" t="s">
        <v>742</v>
      </c>
      <c r="I1541" t="s">
        <v>700</v>
      </c>
      <c r="J1541" t="s">
        <v>745</v>
      </c>
      <c r="K1541" s="1">
        <v>44834</v>
      </c>
      <c r="L1541">
        <v>-17669</v>
      </c>
      <c r="M1541">
        <v>948172</v>
      </c>
      <c r="N1541">
        <v>458278</v>
      </c>
      <c r="O1541">
        <v>16444</v>
      </c>
      <c r="P1541">
        <v>-948172</v>
      </c>
      <c r="Q1541">
        <v>-57472</v>
      </c>
      <c r="R1541">
        <v>22008</v>
      </c>
      <c r="S1541">
        <v>2927</v>
      </c>
      <c r="T1541">
        <v>0</v>
      </c>
      <c r="U1541">
        <v>776485</v>
      </c>
      <c r="V1541">
        <v>64411</v>
      </c>
    </row>
    <row r="1542" spans="1:22" x14ac:dyDescent="0.3">
      <c r="A1542" t="str">
        <f t="shared" si="48"/>
        <v>POSIRealizado</v>
      </c>
      <c r="B1542" t="str">
        <f t="shared" si="49"/>
        <v>POSIRealizadoSet-2022</v>
      </c>
      <c r="C1542" t="s">
        <v>156</v>
      </c>
      <c r="D1542" t="s">
        <v>157</v>
      </c>
      <c r="E1542" t="s">
        <v>151</v>
      </c>
      <c r="F1542" t="s">
        <v>740</v>
      </c>
      <c r="G1542" t="s">
        <v>741</v>
      </c>
      <c r="H1542" t="s">
        <v>742</v>
      </c>
      <c r="I1542" t="s">
        <v>701</v>
      </c>
      <c r="J1542" t="s">
        <v>743</v>
      </c>
      <c r="K1542" s="1">
        <v>44834</v>
      </c>
      <c r="L1542">
        <v>48771</v>
      </c>
      <c r="M1542">
        <v>3941134</v>
      </c>
      <c r="N1542">
        <v>3003231</v>
      </c>
      <c r="O1542">
        <v>605357</v>
      </c>
      <c r="P1542">
        <v>-3941134</v>
      </c>
      <c r="Q1542">
        <v>-1787461</v>
      </c>
      <c r="R1542">
        <v>42416</v>
      </c>
      <c r="S1542">
        <v>13768</v>
      </c>
      <c r="T1542">
        <v>361363</v>
      </c>
      <c r="U1542">
        <v>1326577</v>
      </c>
      <c r="V1542">
        <v>964045</v>
      </c>
    </row>
    <row r="1543" spans="1:22" x14ac:dyDescent="0.3">
      <c r="A1543" t="str">
        <f t="shared" si="48"/>
        <v>SQIARealizado</v>
      </c>
      <c r="B1543" t="str">
        <f t="shared" si="49"/>
        <v>SQIARealizadoSet-2022</v>
      </c>
      <c r="C1543" t="s">
        <v>158</v>
      </c>
      <c r="D1543" t="s">
        <v>159</v>
      </c>
      <c r="E1543" t="s">
        <v>151</v>
      </c>
      <c r="F1543" t="s">
        <v>740</v>
      </c>
      <c r="G1543" t="s">
        <v>741</v>
      </c>
      <c r="H1543" t="s">
        <v>742</v>
      </c>
      <c r="I1543" t="s">
        <v>700</v>
      </c>
      <c r="J1543" t="s">
        <v>745</v>
      </c>
      <c r="K1543" s="1">
        <v>44834</v>
      </c>
      <c r="L1543">
        <v>2709</v>
      </c>
      <c r="M1543">
        <v>1224967</v>
      </c>
      <c r="N1543">
        <v>159940</v>
      </c>
      <c r="O1543">
        <v>20610</v>
      </c>
      <c r="P1543">
        <v>-1224967</v>
      </c>
      <c r="Q1543">
        <v>-155517</v>
      </c>
      <c r="R1543">
        <v>35791</v>
      </c>
      <c r="S1543">
        <v>1380</v>
      </c>
      <c r="T1543">
        <v>46915</v>
      </c>
      <c r="U1543">
        <v>783626</v>
      </c>
      <c r="V1543">
        <v>74186</v>
      </c>
    </row>
    <row r="1544" spans="1:22" x14ac:dyDescent="0.3">
      <c r="A1544" t="str">
        <f t="shared" si="48"/>
        <v>TOTSRealizado</v>
      </c>
      <c r="B1544" t="str">
        <f t="shared" si="49"/>
        <v>TOTSRealizadoSet-2022</v>
      </c>
      <c r="C1544" t="s">
        <v>160</v>
      </c>
      <c r="D1544" t="s">
        <v>161</v>
      </c>
      <c r="E1544" t="s">
        <v>151</v>
      </c>
      <c r="F1544" t="s">
        <v>740</v>
      </c>
      <c r="G1544" t="s">
        <v>741</v>
      </c>
      <c r="H1544" t="s">
        <v>742</v>
      </c>
      <c r="I1544" t="s">
        <v>700</v>
      </c>
      <c r="J1544" t="s">
        <v>743</v>
      </c>
      <c r="K1544" s="1">
        <v>44834</v>
      </c>
      <c r="L1544">
        <v>148838</v>
      </c>
      <c r="M1544">
        <v>7079575</v>
      </c>
      <c r="N1544">
        <v>2700263</v>
      </c>
      <c r="O1544">
        <v>380550</v>
      </c>
      <c r="P1544">
        <v>-7079575</v>
      </c>
      <c r="Q1544">
        <v>-491585</v>
      </c>
      <c r="R1544">
        <v>212816</v>
      </c>
      <c r="S1544">
        <v>57239</v>
      </c>
      <c r="T1544">
        <v>483214</v>
      </c>
      <c r="U1544">
        <v>4441635</v>
      </c>
      <c r="V1544">
        <v>618589</v>
      </c>
    </row>
    <row r="1545" spans="1:22" x14ac:dyDescent="0.3">
      <c r="A1545" t="str">
        <f t="shared" si="48"/>
        <v>AZULRealizado</v>
      </c>
      <c r="B1545" t="str">
        <f t="shared" si="49"/>
        <v>AZULRealizadoSet-2022</v>
      </c>
      <c r="C1545" t="s">
        <v>397</v>
      </c>
      <c r="D1545" t="s">
        <v>398</v>
      </c>
      <c r="E1545" t="s">
        <v>388</v>
      </c>
      <c r="F1545" t="s">
        <v>740</v>
      </c>
      <c r="G1545" t="s">
        <v>741</v>
      </c>
      <c r="H1545" t="s">
        <v>742</v>
      </c>
      <c r="I1545" t="s">
        <v>744</v>
      </c>
      <c r="J1545" t="s">
        <v>743</v>
      </c>
      <c r="K1545" s="1">
        <v>44834</v>
      </c>
      <c r="L1545">
        <v>-2014994</v>
      </c>
      <c r="M1545">
        <v>1083769</v>
      </c>
      <c r="N1545">
        <v>321806</v>
      </c>
      <c r="O1545">
        <v>5572</v>
      </c>
      <c r="P1545">
        <v>-1083769</v>
      </c>
      <c r="Q1545">
        <v>-49167</v>
      </c>
      <c r="R1545">
        <v>3873</v>
      </c>
      <c r="S1545">
        <v>744</v>
      </c>
      <c r="T1545">
        <v>0</v>
      </c>
      <c r="U1545">
        <v>-20130507</v>
      </c>
      <c r="V1545">
        <v>-1704096</v>
      </c>
    </row>
    <row r="1546" spans="1:22" x14ac:dyDescent="0.3">
      <c r="A1546" t="str">
        <f t="shared" si="48"/>
        <v>CCRORealizado</v>
      </c>
      <c r="B1546" t="str">
        <f t="shared" si="49"/>
        <v>CCRORealizadoSet-2022</v>
      </c>
      <c r="C1546" t="s">
        <v>386</v>
      </c>
      <c r="D1546" t="s">
        <v>387</v>
      </c>
      <c r="E1546" t="s">
        <v>388</v>
      </c>
      <c r="F1546" t="s">
        <v>740</v>
      </c>
      <c r="G1546" t="s">
        <v>741</v>
      </c>
      <c r="H1546" t="s">
        <v>742</v>
      </c>
      <c r="I1546" t="s">
        <v>701</v>
      </c>
      <c r="J1546" t="s">
        <v>743</v>
      </c>
      <c r="K1546" s="1">
        <v>44834</v>
      </c>
      <c r="L1546">
        <v>606452</v>
      </c>
      <c r="M1546">
        <v>21093687</v>
      </c>
      <c r="N1546">
        <v>3026252</v>
      </c>
      <c r="O1546">
        <v>719022</v>
      </c>
      <c r="P1546">
        <v>-21093687</v>
      </c>
      <c r="Q1546">
        <v>-1354152</v>
      </c>
      <c r="R1546">
        <v>148589</v>
      </c>
      <c r="S1546">
        <v>4320</v>
      </c>
      <c r="T1546">
        <v>986166</v>
      </c>
      <c r="U1546">
        <v>12334278</v>
      </c>
      <c r="V1546">
        <v>32417</v>
      </c>
    </row>
    <row r="1547" spans="1:22" x14ac:dyDescent="0.3">
      <c r="A1547" t="str">
        <f t="shared" si="48"/>
        <v>GOLLRealizado</v>
      </c>
      <c r="B1547" t="str">
        <f t="shared" si="49"/>
        <v>GOLLRealizadoSet-2022</v>
      </c>
      <c r="C1547" t="s">
        <v>399</v>
      </c>
      <c r="D1547" t="s">
        <v>400</v>
      </c>
      <c r="E1547" t="s">
        <v>388</v>
      </c>
      <c r="F1547" t="s">
        <v>740</v>
      </c>
      <c r="G1547" t="s">
        <v>741</v>
      </c>
      <c r="H1547" t="s">
        <v>742</v>
      </c>
      <c r="I1547" t="s">
        <v>744</v>
      </c>
      <c r="J1547" t="s">
        <v>743</v>
      </c>
      <c r="K1547" s="1">
        <v>44834</v>
      </c>
      <c r="L1547">
        <v>-1548869</v>
      </c>
      <c r="M1547">
        <v>7104938</v>
      </c>
      <c r="N1547">
        <v>100333</v>
      </c>
      <c r="O1547">
        <v>0</v>
      </c>
      <c r="P1547">
        <v>-7104938</v>
      </c>
      <c r="Q1547">
        <v>-485530</v>
      </c>
      <c r="R1547">
        <v>75</v>
      </c>
      <c r="S1547">
        <v>604</v>
      </c>
      <c r="T1547">
        <v>0</v>
      </c>
      <c r="U1547">
        <v>-21723443</v>
      </c>
      <c r="V1547">
        <v>-1251366</v>
      </c>
    </row>
    <row r="1548" spans="1:22" x14ac:dyDescent="0.3">
      <c r="A1548" t="str">
        <f t="shared" si="48"/>
        <v>IVPRRealizado</v>
      </c>
      <c r="B1548" t="str">
        <f t="shared" si="49"/>
        <v>IVPRRealizadoSet-2022</v>
      </c>
      <c r="C1548" t="s">
        <v>401</v>
      </c>
      <c r="D1548" t="s">
        <v>402</v>
      </c>
      <c r="E1548" t="s">
        <v>388</v>
      </c>
      <c r="F1548" t="s">
        <v>740</v>
      </c>
      <c r="G1548" t="s">
        <v>741</v>
      </c>
      <c r="H1548" t="s">
        <v>742</v>
      </c>
      <c r="I1548" t="s">
        <v>701</v>
      </c>
      <c r="J1548" t="s">
        <v>743</v>
      </c>
      <c r="K1548" s="1">
        <v>44834</v>
      </c>
      <c r="L1548">
        <v>119011</v>
      </c>
      <c r="M1548">
        <v>1334395</v>
      </c>
      <c r="N1548">
        <v>727637</v>
      </c>
      <c r="O1548">
        <v>167952</v>
      </c>
      <c r="P1548">
        <v>-1334395</v>
      </c>
      <c r="Q1548">
        <v>-281948</v>
      </c>
      <c r="R1548">
        <v>4813</v>
      </c>
      <c r="S1548">
        <v>419</v>
      </c>
      <c r="T1548">
        <v>0</v>
      </c>
      <c r="U1548">
        <v>-1346943</v>
      </c>
      <c r="V1548">
        <v>131377</v>
      </c>
    </row>
    <row r="1549" spans="1:22" x14ac:dyDescent="0.3">
      <c r="A1549" t="str">
        <f t="shared" si="48"/>
        <v>RAILRealizado</v>
      </c>
      <c r="B1549" t="str">
        <f t="shared" si="49"/>
        <v>RAILRealizadoSet-2022</v>
      </c>
      <c r="C1549" t="s">
        <v>393</v>
      </c>
      <c r="D1549" t="s">
        <v>394</v>
      </c>
      <c r="E1549" t="s">
        <v>388</v>
      </c>
      <c r="F1549" t="s">
        <v>740</v>
      </c>
      <c r="G1549" t="s">
        <v>741</v>
      </c>
      <c r="H1549" t="s">
        <v>742</v>
      </c>
      <c r="I1549" t="s">
        <v>700</v>
      </c>
      <c r="J1549" t="s">
        <v>743</v>
      </c>
      <c r="K1549" s="1">
        <v>44834</v>
      </c>
      <c r="L1549">
        <v>306723</v>
      </c>
      <c r="M1549">
        <v>23332539</v>
      </c>
      <c r="N1549">
        <v>2301804</v>
      </c>
      <c r="O1549">
        <v>52760</v>
      </c>
      <c r="P1549">
        <v>-23332539</v>
      </c>
      <c r="Q1549">
        <v>-931895</v>
      </c>
      <c r="R1549">
        <v>3725</v>
      </c>
      <c r="S1549">
        <v>0</v>
      </c>
      <c r="T1549">
        <v>-23043</v>
      </c>
      <c r="U1549">
        <v>15061025</v>
      </c>
      <c r="V1549">
        <v>326852</v>
      </c>
    </row>
    <row r="1550" spans="1:22" x14ac:dyDescent="0.3">
      <c r="A1550" t="str">
        <f t="shared" si="48"/>
        <v>STBPRealizado</v>
      </c>
      <c r="B1550" t="str">
        <f t="shared" si="49"/>
        <v>STBPRealizadoSet-2022</v>
      </c>
      <c r="C1550" t="s">
        <v>389</v>
      </c>
      <c r="D1550" t="s">
        <v>390</v>
      </c>
      <c r="E1550" t="s">
        <v>388</v>
      </c>
      <c r="F1550" t="s">
        <v>740</v>
      </c>
      <c r="G1550" t="s">
        <v>741</v>
      </c>
      <c r="H1550" t="s">
        <v>742</v>
      </c>
      <c r="I1550" t="s">
        <v>744</v>
      </c>
      <c r="J1550" t="s">
        <v>746</v>
      </c>
      <c r="K1550" s="1">
        <v>44834</v>
      </c>
      <c r="L1550">
        <v>109772</v>
      </c>
      <c r="M1550">
        <v>4527670</v>
      </c>
      <c r="N1550">
        <v>708513</v>
      </c>
      <c r="O1550">
        <v>151382</v>
      </c>
      <c r="P1550">
        <v>-4527670</v>
      </c>
      <c r="Q1550">
        <v>-407254</v>
      </c>
      <c r="R1550">
        <v>66433</v>
      </c>
      <c r="S1550">
        <v>27725</v>
      </c>
      <c r="T1550">
        <v>68884</v>
      </c>
      <c r="U1550">
        <v>2139972</v>
      </c>
      <c r="V1550">
        <v>346725</v>
      </c>
    </row>
    <row r="1551" spans="1:22" x14ac:dyDescent="0.3">
      <c r="A1551" t="str">
        <f t="shared" si="48"/>
        <v>TPISRealizado</v>
      </c>
      <c r="B1551" t="str">
        <f t="shared" si="49"/>
        <v>TPISRealizadoSet-2022</v>
      </c>
      <c r="C1551" t="s">
        <v>395</v>
      </c>
      <c r="D1551" t="s">
        <v>396</v>
      </c>
      <c r="E1551" t="s">
        <v>388</v>
      </c>
      <c r="F1551" t="s">
        <v>740</v>
      </c>
      <c r="G1551" t="s">
        <v>741</v>
      </c>
      <c r="H1551" t="s">
        <v>742</v>
      </c>
      <c r="I1551" t="s">
        <v>700</v>
      </c>
      <c r="J1551" t="s">
        <v>743</v>
      </c>
      <c r="K1551" s="1">
        <v>44834</v>
      </c>
      <c r="L1551">
        <v>-56712</v>
      </c>
      <c r="M1551">
        <v>997934</v>
      </c>
      <c r="N1551">
        <v>63748</v>
      </c>
      <c r="O1551">
        <v>210317</v>
      </c>
      <c r="P1551">
        <v>-997934</v>
      </c>
      <c r="Q1551">
        <v>-23109</v>
      </c>
      <c r="R1551">
        <v>1531</v>
      </c>
      <c r="S1551">
        <v>1170</v>
      </c>
      <c r="T1551">
        <v>32506</v>
      </c>
      <c r="U1551">
        <v>926523</v>
      </c>
      <c r="V1551">
        <v>-57104</v>
      </c>
    </row>
    <row r="1552" spans="1:22" x14ac:dyDescent="0.3">
      <c r="A1552" t="str">
        <f t="shared" si="48"/>
        <v>VAMORealizado</v>
      </c>
      <c r="B1552" t="str">
        <f t="shared" si="49"/>
        <v>VAMORealizadoSet-2022</v>
      </c>
      <c r="C1552" t="s">
        <v>391</v>
      </c>
      <c r="D1552" t="s">
        <v>392</v>
      </c>
      <c r="E1552" t="s">
        <v>388</v>
      </c>
      <c r="F1552" t="s">
        <v>740</v>
      </c>
      <c r="G1552" t="s">
        <v>741</v>
      </c>
      <c r="H1552" t="s">
        <v>742</v>
      </c>
      <c r="I1552" t="s">
        <v>700</v>
      </c>
      <c r="J1552" t="s">
        <v>746</v>
      </c>
      <c r="K1552" s="1">
        <v>44834</v>
      </c>
      <c r="L1552">
        <v>150009</v>
      </c>
      <c r="M1552">
        <v>14118283</v>
      </c>
      <c r="N1552">
        <v>3750238</v>
      </c>
      <c r="O1552">
        <v>428178</v>
      </c>
      <c r="P1552">
        <v>-14118283</v>
      </c>
      <c r="Q1552">
        <v>-2352598</v>
      </c>
      <c r="R1552">
        <v>26709</v>
      </c>
      <c r="S1552">
        <v>425</v>
      </c>
      <c r="T1552">
        <v>243155</v>
      </c>
      <c r="U1552">
        <v>3655761</v>
      </c>
      <c r="V1552">
        <v>503375</v>
      </c>
    </row>
    <row r="1553" spans="1:22" x14ac:dyDescent="0.3">
      <c r="A1553" t="str">
        <f t="shared" si="48"/>
        <v>AMBPRealizado</v>
      </c>
      <c r="B1553" t="str">
        <f t="shared" si="49"/>
        <v>AMBPRealizadoSet-2022</v>
      </c>
      <c r="C1553" t="s">
        <v>580</v>
      </c>
      <c r="D1553" t="s">
        <v>581</v>
      </c>
      <c r="E1553" t="s">
        <v>582</v>
      </c>
      <c r="F1553" t="s">
        <v>740</v>
      </c>
      <c r="G1553" t="s">
        <v>741</v>
      </c>
      <c r="H1553" t="s">
        <v>742</v>
      </c>
      <c r="I1553" t="s">
        <v>701</v>
      </c>
      <c r="J1553" t="s">
        <v>743</v>
      </c>
      <c r="K1553" s="1">
        <v>44834</v>
      </c>
      <c r="L1553">
        <v>9858</v>
      </c>
      <c r="M1553">
        <v>3351377</v>
      </c>
      <c r="N1553">
        <v>219749</v>
      </c>
      <c r="O1553">
        <v>1037</v>
      </c>
      <c r="P1553">
        <v>-3351377</v>
      </c>
      <c r="Q1553">
        <v>-92871</v>
      </c>
      <c r="R1553">
        <v>2567</v>
      </c>
      <c r="S1553">
        <v>1941</v>
      </c>
      <c r="T1553">
        <v>267781</v>
      </c>
      <c r="U1553">
        <v>1033459</v>
      </c>
      <c r="V1553">
        <v>82468</v>
      </c>
    </row>
    <row r="1554" spans="1:22" x14ac:dyDescent="0.3">
      <c r="A1554" t="str">
        <f t="shared" si="48"/>
        <v>CASNRealizado</v>
      </c>
      <c r="B1554" t="str">
        <f t="shared" si="49"/>
        <v>CASNRealizadoSet-2022</v>
      </c>
      <c r="C1554" t="s">
        <v>583</v>
      </c>
      <c r="D1554" t="s">
        <v>584</v>
      </c>
      <c r="E1554" t="s">
        <v>582</v>
      </c>
      <c r="F1554" t="s">
        <v>740</v>
      </c>
      <c r="G1554" t="s">
        <v>741</v>
      </c>
      <c r="H1554" t="s">
        <v>742</v>
      </c>
      <c r="I1554" t="s">
        <v>701</v>
      </c>
      <c r="J1554" t="s">
        <v>743</v>
      </c>
      <c r="K1554" s="1">
        <v>44834</v>
      </c>
      <c r="L1554">
        <v>34329</v>
      </c>
      <c r="M1554">
        <v>4233374</v>
      </c>
      <c r="N1554">
        <v>519100</v>
      </c>
      <c r="O1554">
        <v>278051</v>
      </c>
      <c r="P1554">
        <v>-4233374</v>
      </c>
      <c r="Q1554">
        <v>-625479</v>
      </c>
      <c r="R1554">
        <v>71941</v>
      </c>
      <c r="S1554">
        <v>62851</v>
      </c>
      <c r="T1554">
        <v>441152</v>
      </c>
      <c r="U1554">
        <v>1847577</v>
      </c>
      <c r="V1554">
        <v>370745</v>
      </c>
    </row>
    <row r="1555" spans="1:22" x14ac:dyDescent="0.3">
      <c r="A1555" t="str">
        <f t="shared" si="48"/>
        <v>CEGRRealizado</v>
      </c>
      <c r="B1555" t="str">
        <f t="shared" si="49"/>
        <v>CEGRRealizadoSet-2022</v>
      </c>
      <c r="C1555" t="s">
        <v>585</v>
      </c>
      <c r="D1555" t="s">
        <v>586</v>
      </c>
      <c r="E1555" t="s">
        <v>582</v>
      </c>
      <c r="F1555" t="s">
        <v>740</v>
      </c>
      <c r="G1555" t="s">
        <v>741</v>
      </c>
      <c r="H1555" t="s">
        <v>742</v>
      </c>
      <c r="I1555" t="s">
        <v>701</v>
      </c>
      <c r="J1555" t="s">
        <v>746</v>
      </c>
      <c r="K1555" s="1">
        <v>44834</v>
      </c>
      <c r="L1555">
        <v>156175</v>
      </c>
      <c r="M1555">
        <v>4111487</v>
      </c>
      <c r="N1555">
        <v>1218935</v>
      </c>
      <c r="O1555">
        <v>828291</v>
      </c>
      <c r="P1555">
        <v>-4111487</v>
      </c>
      <c r="Q1555">
        <v>-1173796</v>
      </c>
      <c r="R1555">
        <v>11054</v>
      </c>
      <c r="S1555">
        <v>0</v>
      </c>
      <c r="T1555">
        <v>438213</v>
      </c>
      <c r="U1555">
        <v>1315724</v>
      </c>
      <c r="V1555">
        <v>1684040</v>
      </c>
    </row>
    <row r="1556" spans="1:22" x14ac:dyDescent="0.3">
      <c r="A1556" t="str">
        <f t="shared" si="48"/>
        <v>SBSPRealizado</v>
      </c>
      <c r="B1556" t="str">
        <f t="shared" si="49"/>
        <v>SBSPRealizadoSet-2022</v>
      </c>
      <c r="C1556" t="s">
        <v>587</v>
      </c>
      <c r="D1556" t="s">
        <v>588</v>
      </c>
      <c r="E1556" t="s">
        <v>582</v>
      </c>
      <c r="F1556" t="s">
        <v>740</v>
      </c>
      <c r="G1556" t="s">
        <v>741</v>
      </c>
      <c r="H1556" t="s">
        <v>742</v>
      </c>
      <c r="I1556" t="s">
        <v>700</v>
      </c>
      <c r="J1556" t="s">
        <v>743</v>
      </c>
      <c r="K1556" s="1">
        <v>44834</v>
      </c>
      <c r="L1556">
        <v>1081060</v>
      </c>
      <c r="M1556">
        <v>55994109</v>
      </c>
      <c r="N1556">
        <v>7138423</v>
      </c>
      <c r="O1556">
        <v>3612382</v>
      </c>
      <c r="P1556">
        <v>-55994109</v>
      </c>
      <c r="Q1556">
        <v>-4836659</v>
      </c>
      <c r="R1556">
        <v>526851</v>
      </c>
      <c r="S1556">
        <v>283342</v>
      </c>
      <c r="T1556">
        <v>9829855</v>
      </c>
      <c r="U1556">
        <v>27355286</v>
      </c>
      <c r="V1556">
        <v>5987739</v>
      </c>
    </row>
    <row r="1557" spans="1:22" x14ac:dyDescent="0.3">
      <c r="A1557" t="str">
        <f t="shared" si="48"/>
        <v>CSMGRealizado</v>
      </c>
      <c r="B1557" t="str">
        <f t="shared" si="49"/>
        <v>CSMGRealizadoSet-2022</v>
      </c>
      <c r="C1557" t="s">
        <v>589</v>
      </c>
      <c r="D1557" t="s">
        <v>590</v>
      </c>
      <c r="E1557" t="s">
        <v>582</v>
      </c>
      <c r="F1557" t="s">
        <v>740</v>
      </c>
      <c r="G1557" t="s">
        <v>741</v>
      </c>
      <c r="H1557" t="s">
        <v>742</v>
      </c>
      <c r="I1557" t="s">
        <v>701</v>
      </c>
      <c r="J1557" t="s">
        <v>745</v>
      </c>
      <c r="K1557" s="1">
        <v>44834</v>
      </c>
      <c r="L1557">
        <v>227168</v>
      </c>
      <c r="M1557">
        <v>12454700</v>
      </c>
      <c r="N1557">
        <v>1811463</v>
      </c>
      <c r="O1557">
        <v>1182300</v>
      </c>
      <c r="P1557">
        <v>-12454700</v>
      </c>
      <c r="Q1557">
        <v>-1849344</v>
      </c>
      <c r="R1557">
        <v>185093</v>
      </c>
      <c r="S1557">
        <v>221206</v>
      </c>
      <c r="T1557">
        <v>3404279</v>
      </c>
      <c r="U1557">
        <v>7191002</v>
      </c>
      <c r="V1557">
        <v>1602113</v>
      </c>
    </row>
    <row r="1558" spans="1:22" x14ac:dyDescent="0.3">
      <c r="A1558" t="str">
        <f t="shared" si="48"/>
        <v>SAPRRealizado</v>
      </c>
      <c r="B1558" t="str">
        <f t="shared" si="49"/>
        <v>SAPRRealizadoSet-2022</v>
      </c>
      <c r="C1558" t="s">
        <v>591</v>
      </c>
      <c r="D1558" t="s">
        <v>592</v>
      </c>
      <c r="E1558" t="s">
        <v>582</v>
      </c>
      <c r="F1558" t="s">
        <v>740</v>
      </c>
      <c r="G1558" t="s">
        <v>741</v>
      </c>
      <c r="H1558" t="s">
        <v>742</v>
      </c>
      <c r="I1558" t="s">
        <v>701</v>
      </c>
      <c r="J1558" t="s">
        <v>743</v>
      </c>
      <c r="K1558" s="1">
        <v>44834</v>
      </c>
      <c r="L1558">
        <v>274928</v>
      </c>
      <c r="M1558">
        <v>16167348</v>
      </c>
      <c r="N1558">
        <v>2416476</v>
      </c>
      <c r="O1558">
        <v>1124215</v>
      </c>
      <c r="P1558">
        <v>-16167348</v>
      </c>
      <c r="Q1558">
        <v>-1514504</v>
      </c>
      <c r="R1558">
        <v>84567</v>
      </c>
      <c r="S1558">
        <v>95199</v>
      </c>
      <c r="T1558">
        <v>3633064</v>
      </c>
      <c r="U1558">
        <v>8408834</v>
      </c>
      <c r="V1558">
        <v>1432464</v>
      </c>
    </row>
    <row r="1559" spans="1:22" x14ac:dyDescent="0.3">
      <c r="A1559" t="str">
        <f t="shared" si="48"/>
        <v>IGSNRealizado</v>
      </c>
      <c r="B1559" t="str">
        <f t="shared" si="49"/>
        <v>IGSNRealizadoSet-2022</v>
      </c>
      <c r="C1559" t="s">
        <v>593</v>
      </c>
      <c r="D1559" t="s">
        <v>594</v>
      </c>
      <c r="E1559" t="s">
        <v>582</v>
      </c>
      <c r="F1559" t="s">
        <v>740</v>
      </c>
      <c r="G1559" t="s">
        <v>741</v>
      </c>
      <c r="H1559" t="s">
        <v>742</v>
      </c>
      <c r="I1559" t="s">
        <v>700</v>
      </c>
      <c r="J1559" t="s">
        <v>743</v>
      </c>
      <c r="K1559" s="1">
        <v>44834</v>
      </c>
      <c r="L1559">
        <v>-82186</v>
      </c>
      <c r="M1559">
        <v>4792054</v>
      </c>
      <c r="N1559">
        <v>647779</v>
      </c>
      <c r="O1559">
        <v>521453</v>
      </c>
      <c r="P1559">
        <v>-4792054</v>
      </c>
      <c r="Q1559">
        <v>-86640</v>
      </c>
      <c r="R1559">
        <v>0</v>
      </c>
      <c r="S1559">
        <v>1844</v>
      </c>
      <c r="T1559">
        <v>-34067</v>
      </c>
      <c r="U1559">
        <v>3262074</v>
      </c>
      <c r="V1559">
        <v>815</v>
      </c>
    </row>
    <row r="1560" spans="1:22" x14ac:dyDescent="0.3">
      <c r="A1560" t="str">
        <f t="shared" si="48"/>
        <v>ORVRRealizado</v>
      </c>
      <c r="B1560" t="str">
        <f t="shared" si="49"/>
        <v>ORVRRealizadoSet-2022</v>
      </c>
      <c r="C1560" t="s">
        <v>595</v>
      </c>
      <c r="D1560" t="s">
        <v>596</v>
      </c>
      <c r="E1560" t="s">
        <v>582</v>
      </c>
      <c r="F1560" t="s">
        <v>740</v>
      </c>
      <c r="G1560" t="s">
        <v>741</v>
      </c>
      <c r="H1560" t="s">
        <v>742</v>
      </c>
      <c r="I1560" t="s">
        <v>700</v>
      </c>
      <c r="J1560" t="s">
        <v>743</v>
      </c>
      <c r="K1560" s="1">
        <v>44834</v>
      </c>
      <c r="L1560">
        <v>-31093</v>
      </c>
      <c r="M1560">
        <v>1241611</v>
      </c>
      <c r="N1560">
        <v>4105</v>
      </c>
      <c r="O1560">
        <v>0</v>
      </c>
      <c r="P1560">
        <v>-1241611</v>
      </c>
      <c r="Q1560">
        <v>-9591</v>
      </c>
      <c r="R1560">
        <v>0</v>
      </c>
      <c r="S1560">
        <v>0</v>
      </c>
      <c r="T1560">
        <v>0</v>
      </c>
      <c r="U1560">
        <v>412995</v>
      </c>
      <c r="V1560">
        <v>5996</v>
      </c>
    </row>
    <row r="1561" spans="1:22" x14ac:dyDescent="0.3">
      <c r="A1561" t="str">
        <f t="shared" si="48"/>
        <v>ALSORealizado</v>
      </c>
      <c r="B1561" t="str">
        <f t="shared" si="49"/>
        <v>ALSORealizadoSet-2022</v>
      </c>
      <c r="C1561" t="s">
        <v>243</v>
      </c>
      <c r="D1561" t="s">
        <v>244</v>
      </c>
      <c r="E1561" t="s">
        <v>245</v>
      </c>
      <c r="F1561" t="s">
        <v>740</v>
      </c>
      <c r="G1561" t="s">
        <v>741</v>
      </c>
      <c r="H1561" t="s">
        <v>742</v>
      </c>
      <c r="I1561" t="s">
        <v>701</v>
      </c>
      <c r="J1561" t="s">
        <v>743</v>
      </c>
      <c r="K1561" s="1">
        <v>44834</v>
      </c>
      <c r="L1561">
        <v>93358</v>
      </c>
      <c r="M1561">
        <v>9849621</v>
      </c>
      <c r="N1561">
        <v>2388977</v>
      </c>
      <c r="O1561">
        <v>39592</v>
      </c>
      <c r="P1561">
        <v>-9849621</v>
      </c>
      <c r="Q1561">
        <v>-580565</v>
      </c>
      <c r="R1561">
        <v>0</v>
      </c>
      <c r="S1561">
        <v>6532</v>
      </c>
      <c r="T1561">
        <v>278761</v>
      </c>
      <c r="U1561">
        <v>6924053</v>
      </c>
      <c r="V1561">
        <v>48723</v>
      </c>
    </row>
    <row r="1562" spans="1:22" x14ac:dyDescent="0.3">
      <c r="A1562" t="str">
        <f t="shared" si="48"/>
        <v>CRFBRealizado</v>
      </c>
      <c r="B1562" t="str">
        <f t="shared" si="49"/>
        <v>CRFBRealizadoSet-2022</v>
      </c>
      <c r="C1562" t="s">
        <v>246</v>
      </c>
      <c r="D1562" t="s">
        <v>247</v>
      </c>
      <c r="E1562" t="s">
        <v>245</v>
      </c>
      <c r="F1562" t="s">
        <v>740</v>
      </c>
      <c r="G1562" t="s">
        <v>741</v>
      </c>
      <c r="H1562" t="s">
        <v>742</v>
      </c>
      <c r="I1562" t="s">
        <v>701</v>
      </c>
      <c r="J1562" t="s">
        <v>745</v>
      </c>
      <c r="K1562" s="1">
        <v>44834</v>
      </c>
      <c r="L1562">
        <v>323000</v>
      </c>
      <c r="M1562">
        <v>45266000</v>
      </c>
      <c r="N1562">
        <v>12534000</v>
      </c>
      <c r="O1562">
        <v>2749000</v>
      </c>
      <c r="P1562">
        <v>-45266000</v>
      </c>
      <c r="Q1562">
        <v>-19739000</v>
      </c>
      <c r="R1562">
        <v>513000</v>
      </c>
      <c r="S1562">
        <v>183000</v>
      </c>
      <c r="T1562">
        <v>6917000</v>
      </c>
      <c r="U1562">
        <v>19994000</v>
      </c>
      <c r="V1562">
        <v>16210000</v>
      </c>
    </row>
    <row r="1563" spans="1:22" x14ac:dyDescent="0.3">
      <c r="A1563" t="str">
        <f t="shared" si="48"/>
        <v>BRMLRealizado</v>
      </c>
      <c r="B1563" t="str">
        <f t="shared" si="49"/>
        <v>BRMLRealizadoSet-2022</v>
      </c>
      <c r="C1563" t="s">
        <v>248</v>
      </c>
      <c r="D1563" t="s">
        <v>249</v>
      </c>
      <c r="E1563" t="s">
        <v>245</v>
      </c>
      <c r="F1563" t="s">
        <v>740</v>
      </c>
      <c r="G1563" t="s">
        <v>741</v>
      </c>
      <c r="H1563" t="s">
        <v>742</v>
      </c>
      <c r="I1563" t="s">
        <v>701</v>
      </c>
      <c r="J1563" t="s">
        <v>743</v>
      </c>
      <c r="K1563" s="1">
        <v>44834</v>
      </c>
      <c r="L1563">
        <v>127513</v>
      </c>
      <c r="M1563">
        <v>14856303</v>
      </c>
      <c r="N1563">
        <v>1114895</v>
      </c>
      <c r="O1563">
        <v>139583</v>
      </c>
      <c r="P1563">
        <v>-14856303</v>
      </c>
      <c r="Q1563">
        <v>-484698</v>
      </c>
      <c r="R1563">
        <v>53458</v>
      </c>
      <c r="S1563">
        <v>5518</v>
      </c>
      <c r="T1563">
        <v>566294</v>
      </c>
      <c r="U1563">
        <v>11071947</v>
      </c>
      <c r="V1563">
        <v>103704</v>
      </c>
    </row>
    <row r="1564" spans="1:22" x14ac:dyDescent="0.3">
      <c r="A1564" t="str">
        <f t="shared" si="48"/>
        <v>GMATRealizado</v>
      </c>
      <c r="B1564" t="str">
        <f t="shared" si="49"/>
        <v>GMATRealizadoSet-2022</v>
      </c>
      <c r="C1564" t="s">
        <v>250</v>
      </c>
      <c r="D1564" t="s">
        <v>251</v>
      </c>
      <c r="E1564" t="s">
        <v>245</v>
      </c>
      <c r="F1564" t="s">
        <v>740</v>
      </c>
      <c r="G1564" t="s">
        <v>741</v>
      </c>
      <c r="H1564" t="s">
        <v>742</v>
      </c>
      <c r="I1564" t="s">
        <v>700</v>
      </c>
      <c r="J1564" t="s">
        <v>743</v>
      </c>
      <c r="K1564" s="1">
        <v>44834</v>
      </c>
      <c r="L1564">
        <v>287252</v>
      </c>
      <c r="M1564">
        <v>7154111</v>
      </c>
      <c r="N1564">
        <v>178062</v>
      </c>
      <c r="O1564">
        <v>0</v>
      </c>
      <c r="P1564">
        <v>-7154111</v>
      </c>
      <c r="Q1564">
        <v>-5434</v>
      </c>
      <c r="R1564">
        <v>5330</v>
      </c>
      <c r="S1564">
        <v>104</v>
      </c>
      <c r="T1564">
        <v>2323181</v>
      </c>
      <c r="U1564">
        <v>7148327</v>
      </c>
      <c r="V1564">
        <v>281806</v>
      </c>
    </row>
    <row r="1565" spans="1:22" x14ac:dyDescent="0.3">
      <c r="A1565" t="str">
        <f t="shared" si="48"/>
        <v>OFSARealizado</v>
      </c>
      <c r="B1565" t="str">
        <f t="shared" si="49"/>
        <v>OFSARealizadoSet-2022</v>
      </c>
      <c r="C1565" t="s">
        <v>252</v>
      </c>
      <c r="D1565" t="s">
        <v>253</v>
      </c>
      <c r="E1565" t="s">
        <v>245</v>
      </c>
      <c r="F1565" t="s">
        <v>740</v>
      </c>
      <c r="G1565" t="s">
        <v>741</v>
      </c>
      <c r="H1565" t="s">
        <v>742</v>
      </c>
      <c r="I1565" t="s">
        <v>701</v>
      </c>
      <c r="J1565" t="s">
        <v>743</v>
      </c>
      <c r="K1565" s="1">
        <v>44834</v>
      </c>
      <c r="L1565">
        <v>44795</v>
      </c>
      <c r="M1565">
        <v>727480</v>
      </c>
      <c r="N1565">
        <v>25714</v>
      </c>
      <c r="O1565">
        <v>0</v>
      </c>
      <c r="P1565">
        <v>-727480</v>
      </c>
      <c r="Q1565">
        <v>-1287</v>
      </c>
      <c r="R1565">
        <v>1070</v>
      </c>
      <c r="S1565">
        <v>131</v>
      </c>
      <c r="T1565">
        <v>164912</v>
      </c>
      <c r="U1565">
        <v>726058</v>
      </c>
      <c r="V1565">
        <v>44398</v>
      </c>
    </row>
    <row r="1566" spans="1:22" x14ac:dyDescent="0.3">
      <c r="A1566" t="str">
        <f t="shared" si="48"/>
        <v>LLISRealizado</v>
      </c>
      <c r="B1566" t="str">
        <f t="shared" si="49"/>
        <v>LLISRealizadoSet-2022</v>
      </c>
      <c r="C1566" t="s">
        <v>254</v>
      </c>
      <c r="D1566" t="s">
        <v>255</v>
      </c>
      <c r="E1566" t="s">
        <v>245</v>
      </c>
      <c r="F1566" t="s">
        <v>740</v>
      </c>
      <c r="G1566" t="s">
        <v>741</v>
      </c>
      <c r="H1566" t="s">
        <v>742</v>
      </c>
      <c r="I1566" t="s">
        <v>744</v>
      </c>
      <c r="J1566" t="s">
        <v>743</v>
      </c>
      <c r="K1566" s="1">
        <v>44834</v>
      </c>
      <c r="L1566">
        <v>-66708</v>
      </c>
      <c r="M1566">
        <v>1544094</v>
      </c>
      <c r="N1566">
        <v>504159</v>
      </c>
      <c r="O1566">
        <v>232520</v>
      </c>
      <c r="P1566">
        <v>-1544094</v>
      </c>
      <c r="Q1566">
        <v>-724519</v>
      </c>
      <c r="R1566">
        <v>60890</v>
      </c>
      <c r="S1566">
        <v>29312</v>
      </c>
      <c r="T1566">
        <v>0</v>
      </c>
      <c r="U1566">
        <v>-697151</v>
      </c>
      <c r="V1566">
        <v>287279</v>
      </c>
    </row>
    <row r="1567" spans="1:22" x14ac:dyDescent="0.3">
      <c r="A1567" t="str">
        <f t="shared" si="48"/>
        <v>BRKMRealizado</v>
      </c>
      <c r="B1567" t="str">
        <f t="shared" si="49"/>
        <v>BRKMRealizadoSet-2022</v>
      </c>
      <c r="C1567" t="s">
        <v>569</v>
      </c>
      <c r="D1567" t="s">
        <v>570</v>
      </c>
      <c r="E1567" t="s">
        <v>571</v>
      </c>
      <c r="F1567" t="s">
        <v>740</v>
      </c>
      <c r="G1567" t="s">
        <v>741</v>
      </c>
      <c r="H1567" t="s">
        <v>742</v>
      </c>
      <c r="I1567" t="s">
        <v>700</v>
      </c>
      <c r="J1567" t="s">
        <v>745</v>
      </c>
      <c r="K1567" s="1">
        <v>44834</v>
      </c>
      <c r="L1567">
        <v>-1102988</v>
      </c>
      <c r="M1567">
        <v>76065242</v>
      </c>
      <c r="N1567">
        <v>24318520</v>
      </c>
      <c r="O1567">
        <v>5359178</v>
      </c>
      <c r="P1567">
        <v>-76065242</v>
      </c>
      <c r="Q1567">
        <v>-21977094</v>
      </c>
      <c r="R1567">
        <v>622419</v>
      </c>
      <c r="S1567">
        <v>431320</v>
      </c>
      <c r="T1567">
        <v>2242911</v>
      </c>
      <c r="U1567">
        <v>8689362</v>
      </c>
      <c r="V1567">
        <v>17936219</v>
      </c>
    </row>
    <row r="1568" spans="1:22" x14ac:dyDescent="0.3">
      <c r="A1568" t="str">
        <f t="shared" si="48"/>
        <v>FHERRealizado</v>
      </c>
      <c r="B1568" t="str">
        <f t="shared" si="49"/>
        <v>FHERRealizadoSet-2022</v>
      </c>
      <c r="C1568" t="s">
        <v>576</v>
      </c>
      <c r="D1568" t="s">
        <v>577</v>
      </c>
      <c r="E1568" t="s">
        <v>571</v>
      </c>
      <c r="F1568" t="s">
        <v>740</v>
      </c>
      <c r="G1568" t="s">
        <v>741</v>
      </c>
      <c r="H1568" t="s">
        <v>742</v>
      </c>
      <c r="I1568" t="s">
        <v>700</v>
      </c>
      <c r="J1568" t="s">
        <v>743</v>
      </c>
      <c r="K1568" s="1">
        <v>44834</v>
      </c>
      <c r="L1568">
        <v>-110768</v>
      </c>
      <c r="M1568">
        <v>3059685</v>
      </c>
      <c r="N1568">
        <v>2316459</v>
      </c>
      <c r="O1568">
        <v>508117</v>
      </c>
      <c r="P1568">
        <v>-3059685</v>
      </c>
      <c r="Q1568">
        <v>-1473963</v>
      </c>
      <c r="R1568">
        <v>15611</v>
      </c>
      <c r="S1568">
        <v>2263</v>
      </c>
      <c r="T1568">
        <v>0</v>
      </c>
      <c r="U1568">
        <v>442020</v>
      </c>
      <c r="V1568">
        <v>1804594</v>
      </c>
    </row>
    <row r="1569" spans="1:22" x14ac:dyDescent="0.3">
      <c r="A1569" t="str">
        <f t="shared" si="48"/>
        <v>SNSYRealizado</v>
      </c>
      <c r="B1569" t="str">
        <f t="shared" si="49"/>
        <v>SNSYRealizadoSet-2022</v>
      </c>
      <c r="C1569" t="s">
        <v>578</v>
      </c>
      <c r="D1569" t="s">
        <v>579</v>
      </c>
      <c r="E1569" t="s">
        <v>571</v>
      </c>
      <c r="F1569" t="s">
        <v>740</v>
      </c>
      <c r="G1569" t="s">
        <v>741</v>
      </c>
      <c r="H1569" t="s">
        <v>742</v>
      </c>
      <c r="I1569" t="s">
        <v>744</v>
      </c>
      <c r="J1569" t="s">
        <v>743</v>
      </c>
      <c r="K1569" s="1">
        <v>44834</v>
      </c>
      <c r="L1569">
        <v>-42799</v>
      </c>
      <c r="M1569">
        <v>312996</v>
      </c>
      <c r="N1569">
        <v>164596</v>
      </c>
      <c r="O1569">
        <v>88306</v>
      </c>
      <c r="P1569">
        <v>-312996</v>
      </c>
      <c r="Q1569">
        <v>-219761</v>
      </c>
      <c r="R1569">
        <v>67907</v>
      </c>
      <c r="S1569">
        <v>19040</v>
      </c>
      <c r="T1569">
        <v>0</v>
      </c>
      <c r="U1569">
        <v>-1607735</v>
      </c>
      <c r="V1569">
        <v>144872</v>
      </c>
    </row>
    <row r="1570" spans="1:22" x14ac:dyDescent="0.3">
      <c r="A1570" t="str">
        <f t="shared" si="48"/>
        <v>CRPGRealizado</v>
      </c>
      <c r="B1570" t="str">
        <f t="shared" si="49"/>
        <v>CRPGRealizadoSet-2022</v>
      </c>
      <c r="C1570" t="s">
        <v>572</v>
      </c>
      <c r="D1570" t="s">
        <v>573</v>
      </c>
      <c r="E1570" t="s">
        <v>571</v>
      </c>
      <c r="F1570" t="s">
        <v>740</v>
      </c>
      <c r="G1570" t="s">
        <v>741</v>
      </c>
      <c r="H1570" t="s">
        <v>742</v>
      </c>
      <c r="I1570" t="s">
        <v>701</v>
      </c>
      <c r="J1570" t="s">
        <v>746</v>
      </c>
      <c r="K1570" s="1">
        <v>44834</v>
      </c>
      <c r="L1570">
        <v>28437</v>
      </c>
      <c r="M1570">
        <v>1173439</v>
      </c>
      <c r="N1570">
        <v>682188</v>
      </c>
      <c r="O1570">
        <v>182078</v>
      </c>
      <c r="P1570">
        <v>-1173439</v>
      </c>
      <c r="Q1570">
        <v>-138858</v>
      </c>
      <c r="R1570">
        <v>20705</v>
      </c>
      <c r="S1570">
        <v>5660</v>
      </c>
      <c r="T1570">
        <v>610505</v>
      </c>
      <c r="U1570">
        <v>911266</v>
      </c>
      <c r="V1570">
        <v>216086</v>
      </c>
    </row>
    <row r="1571" spans="1:22" x14ac:dyDescent="0.3">
      <c r="A1571" t="str">
        <f t="shared" si="48"/>
        <v>UNIPRealizado</v>
      </c>
      <c r="B1571" t="str">
        <f t="shared" si="49"/>
        <v>UNIPRealizadoSet-2022</v>
      </c>
      <c r="C1571" t="s">
        <v>574</v>
      </c>
      <c r="D1571" t="s">
        <v>575</v>
      </c>
      <c r="E1571" t="s">
        <v>571</v>
      </c>
      <c r="F1571" t="s">
        <v>740</v>
      </c>
      <c r="G1571" t="s">
        <v>741</v>
      </c>
      <c r="H1571" t="s">
        <v>742</v>
      </c>
      <c r="I1571" t="s">
        <v>701</v>
      </c>
      <c r="J1571" t="s">
        <v>743</v>
      </c>
      <c r="K1571" s="1">
        <v>44834</v>
      </c>
      <c r="L1571">
        <v>197841</v>
      </c>
      <c r="M1571">
        <v>5323961</v>
      </c>
      <c r="N1571">
        <v>686211</v>
      </c>
      <c r="O1571">
        <v>528669</v>
      </c>
      <c r="P1571">
        <v>-5323961</v>
      </c>
      <c r="Q1571">
        <v>-821761</v>
      </c>
      <c r="R1571">
        <v>52147</v>
      </c>
      <c r="S1571">
        <v>281528</v>
      </c>
      <c r="T1571">
        <v>919223</v>
      </c>
      <c r="U1571">
        <v>2818632</v>
      </c>
      <c r="V1571">
        <v>621640</v>
      </c>
    </row>
    <row r="1572" spans="1:22" x14ac:dyDescent="0.3">
      <c r="A1572" t="str">
        <f t="shared" si="48"/>
        <v>CSABRealizado</v>
      </c>
      <c r="B1572" t="str">
        <f t="shared" si="49"/>
        <v>CSABRealizadoSet-2022</v>
      </c>
      <c r="C1572" t="s">
        <v>604</v>
      </c>
      <c r="D1572" t="s">
        <v>605</v>
      </c>
      <c r="E1572" t="s">
        <v>599</v>
      </c>
      <c r="F1572" t="s">
        <v>740</v>
      </c>
      <c r="G1572" t="s">
        <v>741</v>
      </c>
      <c r="H1572" t="s">
        <v>742</v>
      </c>
      <c r="I1572" t="s">
        <v>700</v>
      </c>
      <c r="J1572" t="s">
        <v>743</v>
      </c>
      <c r="K1572" s="1">
        <v>44834</v>
      </c>
      <c r="L1572">
        <v>2955</v>
      </c>
      <c r="M1572">
        <v>387651</v>
      </c>
      <c r="N1572">
        <v>70925</v>
      </c>
      <c r="O1572">
        <v>0</v>
      </c>
      <c r="P1572">
        <v>-387651</v>
      </c>
      <c r="Q1572">
        <v>-18535</v>
      </c>
      <c r="R1572">
        <v>0</v>
      </c>
      <c r="S1572">
        <v>0</v>
      </c>
      <c r="T1572">
        <v>79245</v>
      </c>
      <c r="U1572">
        <v>190979</v>
      </c>
      <c r="V1572">
        <v>0</v>
      </c>
    </row>
    <row r="1573" spans="1:22" x14ac:dyDescent="0.3">
      <c r="A1573" t="str">
        <f t="shared" si="48"/>
        <v>IRBRRealizado</v>
      </c>
      <c r="B1573" t="str">
        <f t="shared" si="49"/>
        <v>IRBRRealizadoSet-2022</v>
      </c>
      <c r="C1573" t="s">
        <v>606</v>
      </c>
      <c r="D1573" t="s">
        <v>607</v>
      </c>
      <c r="E1573" t="s">
        <v>599</v>
      </c>
      <c r="F1573" t="s">
        <v>740</v>
      </c>
      <c r="G1573" t="s">
        <v>741</v>
      </c>
      <c r="H1573" t="s">
        <v>742</v>
      </c>
      <c r="I1573" t="s">
        <v>700</v>
      </c>
      <c r="J1573" t="s">
        <v>743</v>
      </c>
      <c r="K1573" s="1">
        <v>44834</v>
      </c>
      <c r="L1573">
        <v>-298750</v>
      </c>
      <c r="M1573">
        <v>23027712</v>
      </c>
      <c r="N1573">
        <v>14022940</v>
      </c>
      <c r="O1573">
        <v>0</v>
      </c>
      <c r="P1573">
        <v>-23027712</v>
      </c>
      <c r="Q1573">
        <v>-17255172</v>
      </c>
      <c r="R1573">
        <v>0</v>
      </c>
      <c r="S1573">
        <v>0</v>
      </c>
      <c r="T1573">
        <v>151235</v>
      </c>
      <c r="U1573">
        <v>4106821</v>
      </c>
      <c r="V1573">
        <v>0</v>
      </c>
    </row>
    <row r="1574" spans="1:22" x14ac:dyDescent="0.3">
      <c r="A1574" t="str">
        <f t="shared" si="48"/>
        <v>PSSARealizado</v>
      </c>
      <c r="B1574" t="str">
        <f t="shared" si="49"/>
        <v>PSSARealizadoSet-2022</v>
      </c>
      <c r="C1574" t="s">
        <v>597</v>
      </c>
      <c r="D1574" t="s">
        <v>598</v>
      </c>
      <c r="E1574" t="s">
        <v>599</v>
      </c>
      <c r="F1574" t="s">
        <v>740</v>
      </c>
      <c r="G1574" t="s">
        <v>741</v>
      </c>
      <c r="H1574" t="s">
        <v>742</v>
      </c>
      <c r="I1574" t="s">
        <v>700</v>
      </c>
      <c r="J1574" t="s">
        <v>743</v>
      </c>
      <c r="K1574" s="1">
        <v>44834</v>
      </c>
      <c r="L1574">
        <v>272736</v>
      </c>
      <c r="M1574">
        <v>11771367</v>
      </c>
      <c r="N1574">
        <v>891159</v>
      </c>
      <c r="O1574">
        <v>0</v>
      </c>
      <c r="P1574">
        <v>-11771367</v>
      </c>
      <c r="Q1574">
        <v>-1035160</v>
      </c>
      <c r="R1574">
        <v>0</v>
      </c>
      <c r="S1574">
        <v>1571</v>
      </c>
      <c r="T1574">
        <v>1007409</v>
      </c>
      <c r="U1574">
        <v>9953773</v>
      </c>
      <c r="V1574">
        <v>220035</v>
      </c>
    </row>
    <row r="1575" spans="1:22" x14ac:dyDescent="0.3">
      <c r="A1575" t="str">
        <f t="shared" si="48"/>
        <v>QUALRealizado</v>
      </c>
      <c r="B1575" t="str">
        <f t="shared" si="49"/>
        <v>QUALRealizadoSet-2022</v>
      </c>
      <c r="C1575" t="s">
        <v>600</v>
      </c>
      <c r="D1575" t="s">
        <v>601</v>
      </c>
      <c r="E1575" t="s">
        <v>599</v>
      </c>
      <c r="F1575" t="s">
        <v>740</v>
      </c>
      <c r="G1575" t="s">
        <v>741</v>
      </c>
      <c r="H1575" t="s">
        <v>742</v>
      </c>
      <c r="I1575" t="s">
        <v>701</v>
      </c>
      <c r="J1575" t="s">
        <v>745</v>
      </c>
      <c r="K1575" s="1">
        <v>44834</v>
      </c>
      <c r="L1575">
        <v>49232</v>
      </c>
      <c r="M1575">
        <v>3982176</v>
      </c>
      <c r="N1575">
        <v>399260</v>
      </c>
      <c r="O1575">
        <v>66920</v>
      </c>
      <c r="P1575">
        <v>-3982176</v>
      </c>
      <c r="Q1575">
        <v>-269885</v>
      </c>
      <c r="R1575">
        <v>48948</v>
      </c>
      <c r="S1575">
        <v>23347</v>
      </c>
      <c r="T1575">
        <v>387868</v>
      </c>
      <c r="U1575">
        <v>1447136</v>
      </c>
      <c r="V1575">
        <v>167727</v>
      </c>
    </row>
    <row r="1576" spans="1:22" x14ac:dyDescent="0.3">
      <c r="A1576" t="str">
        <f t="shared" si="48"/>
        <v>WIZSRealizado</v>
      </c>
      <c r="B1576" t="str">
        <f t="shared" si="49"/>
        <v>WIZSRealizadoSet-2022</v>
      </c>
      <c r="C1576" t="s">
        <v>602</v>
      </c>
      <c r="D1576" t="s">
        <v>603</v>
      </c>
      <c r="E1576" t="s">
        <v>599</v>
      </c>
      <c r="F1576" t="s">
        <v>740</v>
      </c>
      <c r="G1576" t="s">
        <v>741</v>
      </c>
      <c r="H1576" t="s">
        <v>742</v>
      </c>
      <c r="I1576" t="s">
        <v>701</v>
      </c>
      <c r="J1576" t="s">
        <v>746</v>
      </c>
      <c r="K1576" s="1">
        <v>44834</v>
      </c>
      <c r="L1576">
        <v>52249</v>
      </c>
      <c r="M1576">
        <v>1311710</v>
      </c>
      <c r="N1576">
        <v>119629</v>
      </c>
      <c r="O1576">
        <v>12909</v>
      </c>
      <c r="P1576">
        <v>-1311710</v>
      </c>
      <c r="Q1576">
        <v>-356242</v>
      </c>
      <c r="R1576">
        <v>22257</v>
      </c>
      <c r="S1576">
        <v>6130</v>
      </c>
      <c r="T1576">
        <v>361840</v>
      </c>
      <c r="U1576">
        <v>435294</v>
      </c>
      <c r="V1576">
        <v>57946</v>
      </c>
    </row>
    <row r="1577" spans="1:22" x14ac:dyDescent="0.3">
      <c r="A1577" t="str">
        <f t="shared" si="48"/>
        <v>RRRPRealizado</v>
      </c>
      <c r="B1577" t="str">
        <f t="shared" si="49"/>
        <v>RRRPRealizadoSet-2022</v>
      </c>
      <c r="C1577" t="s">
        <v>563</v>
      </c>
      <c r="D1577" t="s">
        <v>564</v>
      </c>
      <c r="E1577" t="s">
        <v>560</v>
      </c>
      <c r="F1577" t="s">
        <v>740</v>
      </c>
      <c r="G1577" t="s">
        <v>741</v>
      </c>
      <c r="H1577" t="s">
        <v>742</v>
      </c>
      <c r="I1577" t="s">
        <v>700</v>
      </c>
      <c r="J1577" t="s">
        <v>743</v>
      </c>
      <c r="K1577" s="1">
        <v>44834</v>
      </c>
      <c r="L1577">
        <v>431856</v>
      </c>
      <c r="M1577">
        <v>5374265</v>
      </c>
      <c r="N1577">
        <v>874087</v>
      </c>
      <c r="O1577">
        <v>30956</v>
      </c>
      <c r="P1577">
        <v>-5374265</v>
      </c>
      <c r="Q1577">
        <v>-118613</v>
      </c>
      <c r="R1577">
        <v>28358</v>
      </c>
      <c r="S1577">
        <v>0</v>
      </c>
      <c r="T1577">
        <v>0</v>
      </c>
      <c r="U1577">
        <v>4318783</v>
      </c>
      <c r="V1577">
        <v>437487</v>
      </c>
    </row>
    <row r="1578" spans="1:22" x14ac:dyDescent="0.3">
      <c r="A1578" t="str">
        <f t="shared" si="48"/>
        <v>OPCTRealizado</v>
      </c>
      <c r="B1578" t="str">
        <f t="shared" si="49"/>
        <v>OPCTRealizadoSet-2022</v>
      </c>
      <c r="C1578" t="s">
        <v>565</v>
      </c>
      <c r="D1578" t="s">
        <v>566</v>
      </c>
      <c r="E1578" t="s">
        <v>560</v>
      </c>
      <c r="F1578" t="s">
        <v>740</v>
      </c>
      <c r="G1578" t="s">
        <v>741</v>
      </c>
      <c r="H1578" t="s">
        <v>742</v>
      </c>
      <c r="I1578" t="s">
        <v>700</v>
      </c>
      <c r="J1578" t="s">
        <v>743</v>
      </c>
      <c r="K1578" s="1">
        <v>44834</v>
      </c>
      <c r="L1578">
        <v>-36080</v>
      </c>
      <c r="M1578">
        <v>1805980</v>
      </c>
      <c r="N1578">
        <v>329870</v>
      </c>
      <c r="O1578">
        <v>181583</v>
      </c>
      <c r="P1578">
        <v>-1805980</v>
      </c>
      <c r="Q1578">
        <v>-383195</v>
      </c>
      <c r="R1578">
        <v>49517</v>
      </c>
      <c r="S1578">
        <v>14909</v>
      </c>
      <c r="T1578">
        <v>0</v>
      </c>
      <c r="U1578">
        <v>751063</v>
      </c>
      <c r="V1578">
        <v>207872</v>
      </c>
    </row>
    <row r="1579" spans="1:22" x14ac:dyDescent="0.3">
      <c r="A1579" t="str">
        <f t="shared" si="48"/>
        <v>PRIORealizado</v>
      </c>
      <c r="B1579" t="str">
        <f t="shared" si="49"/>
        <v>PRIORealizadoSet-2022</v>
      </c>
      <c r="C1579" t="s">
        <v>558</v>
      </c>
      <c r="D1579" t="s">
        <v>559</v>
      </c>
      <c r="E1579" t="s">
        <v>560</v>
      </c>
      <c r="F1579" t="s">
        <v>740</v>
      </c>
      <c r="G1579" t="s">
        <v>741</v>
      </c>
      <c r="H1579" t="s">
        <v>742</v>
      </c>
      <c r="I1579" t="s">
        <v>701</v>
      </c>
      <c r="J1579" t="s">
        <v>743</v>
      </c>
      <c r="K1579" s="1">
        <v>44834</v>
      </c>
      <c r="L1579">
        <v>792314</v>
      </c>
      <c r="M1579">
        <v>9481811</v>
      </c>
      <c r="N1579">
        <v>17375</v>
      </c>
      <c r="O1579">
        <v>0</v>
      </c>
      <c r="P1579">
        <v>-9481811</v>
      </c>
      <c r="Q1579">
        <v>-18207</v>
      </c>
      <c r="R1579">
        <v>17145</v>
      </c>
      <c r="S1579">
        <v>763</v>
      </c>
      <c r="T1579">
        <v>255381</v>
      </c>
      <c r="U1579">
        <v>9237921</v>
      </c>
      <c r="V1579">
        <v>795286</v>
      </c>
    </row>
    <row r="1580" spans="1:22" x14ac:dyDescent="0.3">
      <c r="A1580" t="str">
        <f t="shared" si="48"/>
        <v>PETRRealizado</v>
      </c>
      <c r="B1580" t="str">
        <f t="shared" si="49"/>
        <v>PETRRealizadoSet-2022</v>
      </c>
      <c r="C1580" t="s">
        <v>561</v>
      </c>
      <c r="D1580" t="s">
        <v>562</v>
      </c>
      <c r="E1580" t="s">
        <v>560</v>
      </c>
      <c r="F1580" t="s">
        <v>740</v>
      </c>
      <c r="G1580" t="s">
        <v>741</v>
      </c>
      <c r="H1580" t="s">
        <v>742</v>
      </c>
      <c r="I1580" t="s">
        <v>700</v>
      </c>
      <c r="J1580" t="s">
        <v>745</v>
      </c>
      <c r="K1580" s="1">
        <v>44834</v>
      </c>
      <c r="L1580">
        <v>46096000</v>
      </c>
      <c r="M1580">
        <v>1255036000</v>
      </c>
      <c r="N1580">
        <v>182919000</v>
      </c>
      <c r="O1580">
        <v>86359000</v>
      </c>
      <c r="P1580">
        <v>-1255036000</v>
      </c>
      <c r="Q1580">
        <v>-270733000</v>
      </c>
      <c r="R1580">
        <v>7479000</v>
      </c>
      <c r="S1580">
        <v>6114000</v>
      </c>
      <c r="T1580">
        <v>133236000</v>
      </c>
      <c r="U1580">
        <v>372498000</v>
      </c>
      <c r="V1580">
        <v>163747000</v>
      </c>
    </row>
    <row r="1581" spans="1:22" x14ac:dyDescent="0.3">
      <c r="A1581" t="str">
        <f t="shared" si="48"/>
        <v>RPMGRealizado</v>
      </c>
      <c r="B1581" t="str">
        <f t="shared" si="49"/>
        <v>RPMGRealizadoSet-2022</v>
      </c>
      <c r="C1581" t="s">
        <v>567</v>
      </c>
      <c r="D1581" t="s">
        <v>568</v>
      </c>
      <c r="E1581" t="s">
        <v>560</v>
      </c>
      <c r="F1581" t="s">
        <v>740</v>
      </c>
      <c r="G1581" t="s">
        <v>741</v>
      </c>
      <c r="H1581" t="s">
        <v>742</v>
      </c>
      <c r="I1581" t="s">
        <v>744</v>
      </c>
      <c r="J1581" t="s">
        <v>743</v>
      </c>
      <c r="K1581" s="1">
        <v>44834</v>
      </c>
      <c r="L1581">
        <v>-377767</v>
      </c>
      <c r="M1581">
        <v>5027037</v>
      </c>
      <c r="N1581">
        <v>4688582</v>
      </c>
      <c r="O1581">
        <v>858476</v>
      </c>
      <c r="P1581">
        <v>-5027037</v>
      </c>
      <c r="Q1581">
        <v>-8638069</v>
      </c>
      <c r="R1581">
        <v>12669</v>
      </c>
      <c r="S1581">
        <v>8258077</v>
      </c>
      <c r="T1581">
        <v>0</v>
      </c>
      <c r="U1581">
        <v>-4233001</v>
      </c>
      <c r="V1581">
        <v>1473710</v>
      </c>
    </row>
    <row r="1582" spans="1:22" x14ac:dyDescent="0.3">
      <c r="A1582" t="str">
        <f t="shared" si="48"/>
        <v>DTCYRealizado</v>
      </c>
      <c r="B1582" t="str">
        <f t="shared" si="49"/>
        <v>DTCYRealizadoSet-2022</v>
      </c>
      <c r="C1582" t="s">
        <v>663</v>
      </c>
      <c r="D1582" t="s">
        <v>664</v>
      </c>
      <c r="E1582" t="s">
        <v>658</v>
      </c>
      <c r="F1582" t="s">
        <v>740</v>
      </c>
      <c r="G1582" t="s">
        <v>741</v>
      </c>
      <c r="H1582" t="s">
        <v>742</v>
      </c>
      <c r="I1582" t="s">
        <v>744</v>
      </c>
      <c r="J1582" t="s">
        <v>743</v>
      </c>
      <c r="K1582" s="1">
        <v>44834</v>
      </c>
      <c r="L1582">
        <v>-51</v>
      </c>
      <c r="M1582">
        <v>10675</v>
      </c>
      <c r="N1582">
        <v>3350</v>
      </c>
      <c r="O1582">
        <v>4969</v>
      </c>
      <c r="P1582">
        <v>-10675</v>
      </c>
      <c r="Q1582">
        <v>-8033</v>
      </c>
      <c r="R1582">
        <v>660</v>
      </c>
      <c r="S1582">
        <v>6119</v>
      </c>
      <c r="T1582">
        <v>0</v>
      </c>
      <c r="U1582">
        <v>-2337</v>
      </c>
      <c r="V1582">
        <v>2842</v>
      </c>
    </row>
    <row r="1583" spans="1:22" x14ac:dyDescent="0.3">
      <c r="A1583" t="str">
        <f t="shared" si="48"/>
        <v>TELBRealizado</v>
      </c>
      <c r="B1583" t="str">
        <f t="shared" si="49"/>
        <v>TELBRealizadoSet-2022</v>
      </c>
      <c r="C1583" t="s">
        <v>661</v>
      </c>
      <c r="D1583" t="s">
        <v>662</v>
      </c>
      <c r="E1583" t="s">
        <v>658</v>
      </c>
      <c r="F1583" t="s">
        <v>740</v>
      </c>
      <c r="G1583" t="s">
        <v>741</v>
      </c>
      <c r="H1583" t="s">
        <v>742</v>
      </c>
      <c r="I1583" t="s">
        <v>700</v>
      </c>
      <c r="J1583" t="s">
        <v>743</v>
      </c>
      <c r="K1583" s="1">
        <v>44834</v>
      </c>
      <c r="L1583">
        <v>-26941</v>
      </c>
      <c r="M1583">
        <v>4010208</v>
      </c>
      <c r="N1583">
        <v>1510956</v>
      </c>
      <c r="O1583">
        <v>118884</v>
      </c>
      <c r="P1583">
        <v>-4010208</v>
      </c>
      <c r="Q1583">
        <v>-303396</v>
      </c>
      <c r="R1583">
        <v>17241</v>
      </c>
      <c r="S1583">
        <v>8009</v>
      </c>
      <c r="T1583">
        <v>0</v>
      </c>
      <c r="U1583">
        <v>1657472</v>
      </c>
      <c r="V1583">
        <v>101711</v>
      </c>
    </row>
    <row r="1584" spans="1:22" x14ac:dyDescent="0.3">
      <c r="A1584" t="str">
        <f t="shared" si="48"/>
        <v>VIVTRealizado</v>
      </c>
      <c r="B1584" t="str">
        <f t="shared" si="49"/>
        <v>VIVTRealizadoSet-2022</v>
      </c>
      <c r="C1584" t="s">
        <v>656</v>
      </c>
      <c r="D1584" t="s">
        <v>657</v>
      </c>
      <c r="E1584" t="s">
        <v>658</v>
      </c>
      <c r="F1584" t="s">
        <v>740</v>
      </c>
      <c r="G1584" t="s">
        <v>741</v>
      </c>
      <c r="H1584" t="s">
        <v>742</v>
      </c>
      <c r="I1584" t="s">
        <v>744</v>
      </c>
      <c r="J1584" t="s">
        <v>743</v>
      </c>
      <c r="K1584" s="1">
        <v>44834</v>
      </c>
      <c r="L1584">
        <v>1439793</v>
      </c>
      <c r="M1584">
        <v>119691818</v>
      </c>
      <c r="N1584">
        <v>19432872</v>
      </c>
      <c r="O1584">
        <v>8714738</v>
      </c>
      <c r="P1584">
        <v>-119691818</v>
      </c>
      <c r="Q1584">
        <v>-23375978</v>
      </c>
      <c r="R1584">
        <v>1006143</v>
      </c>
      <c r="S1584">
        <v>1252671</v>
      </c>
      <c r="T1584">
        <v>3559478</v>
      </c>
      <c r="U1584">
        <v>69092665</v>
      </c>
      <c r="V1584">
        <v>11584269</v>
      </c>
    </row>
    <row r="1585" spans="1:22" x14ac:dyDescent="0.3">
      <c r="A1585" t="str">
        <f t="shared" si="48"/>
        <v>TIMSRealizado</v>
      </c>
      <c r="B1585" t="str">
        <f t="shared" si="49"/>
        <v>TIMSRealizadoSet-2022</v>
      </c>
      <c r="C1585" t="s">
        <v>659</v>
      </c>
      <c r="D1585" t="s">
        <v>660</v>
      </c>
      <c r="E1585" t="s">
        <v>658</v>
      </c>
      <c r="F1585" t="s">
        <v>740</v>
      </c>
      <c r="G1585" t="s">
        <v>741</v>
      </c>
      <c r="H1585" t="s">
        <v>742</v>
      </c>
      <c r="I1585" t="s">
        <v>744</v>
      </c>
      <c r="J1585" t="s">
        <v>745</v>
      </c>
      <c r="K1585" s="1">
        <v>44834</v>
      </c>
      <c r="L1585">
        <v>447664</v>
      </c>
      <c r="M1585">
        <v>50860034</v>
      </c>
      <c r="N1585">
        <v>8128081</v>
      </c>
      <c r="O1585">
        <v>3405564</v>
      </c>
      <c r="P1585">
        <v>-50860034</v>
      </c>
      <c r="Q1585">
        <v>-9169529</v>
      </c>
      <c r="R1585">
        <v>319880</v>
      </c>
      <c r="S1585">
        <v>1917695</v>
      </c>
      <c r="T1585">
        <v>11236551</v>
      </c>
      <c r="U1585">
        <v>25295789</v>
      </c>
      <c r="V1585">
        <v>5067516</v>
      </c>
    </row>
    <row r="1586" spans="1:22" x14ac:dyDescent="0.3">
      <c r="A1586" t="str">
        <f t="shared" si="48"/>
        <v>BIOMRealizado</v>
      </c>
      <c r="B1586" t="str">
        <f t="shared" si="49"/>
        <v>BIOMRealizadoSet-2022</v>
      </c>
      <c r="C1586" t="s">
        <v>470</v>
      </c>
      <c r="D1586" t="s">
        <v>471</v>
      </c>
      <c r="E1586" t="s">
        <v>469</v>
      </c>
      <c r="F1586" t="s">
        <v>740</v>
      </c>
      <c r="G1586" t="s">
        <v>741</v>
      </c>
      <c r="H1586" t="s">
        <v>742</v>
      </c>
      <c r="I1586" t="s">
        <v>700</v>
      </c>
      <c r="J1586" t="s">
        <v>743</v>
      </c>
      <c r="K1586" s="1">
        <v>44834</v>
      </c>
      <c r="L1586">
        <v>-25136</v>
      </c>
      <c r="M1586">
        <v>345470</v>
      </c>
      <c r="N1586">
        <v>119344</v>
      </c>
      <c r="O1586">
        <v>27584</v>
      </c>
      <c r="P1586">
        <v>-345470</v>
      </c>
      <c r="Q1586">
        <v>-79870</v>
      </c>
      <c r="R1586">
        <v>5273</v>
      </c>
      <c r="S1586">
        <v>930</v>
      </c>
      <c r="T1586">
        <v>0</v>
      </c>
      <c r="U1586">
        <v>121364</v>
      </c>
      <c r="V1586">
        <v>30741</v>
      </c>
    </row>
    <row r="1587" spans="1:22" x14ac:dyDescent="0.3">
      <c r="A1587" t="str">
        <f t="shared" si="48"/>
        <v>BOBRRealizado</v>
      </c>
      <c r="B1587" t="str">
        <f t="shared" si="49"/>
        <v>BOBRRealizadoSet-2022</v>
      </c>
      <c r="C1587" t="s">
        <v>474</v>
      </c>
      <c r="D1587" t="s">
        <v>475</v>
      </c>
      <c r="E1587" t="s">
        <v>469</v>
      </c>
      <c r="F1587" t="s">
        <v>740</v>
      </c>
      <c r="G1587" t="s">
        <v>741</v>
      </c>
      <c r="H1587" t="s">
        <v>742</v>
      </c>
      <c r="I1587" t="s">
        <v>701</v>
      </c>
      <c r="J1587" t="s">
        <v>743</v>
      </c>
      <c r="K1587" s="1">
        <v>44834</v>
      </c>
      <c r="L1587">
        <v>15714</v>
      </c>
      <c r="M1587">
        <v>897220</v>
      </c>
      <c r="N1587">
        <v>419729</v>
      </c>
      <c r="O1587">
        <v>197461</v>
      </c>
      <c r="P1587">
        <v>-897220</v>
      </c>
      <c r="Q1587">
        <v>-678763</v>
      </c>
      <c r="R1587">
        <v>32293</v>
      </c>
      <c r="S1587">
        <v>77894</v>
      </c>
      <c r="T1587">
        <v>0</v>
      </c>
      <c r="U1587">
        <v>-179288</v>
      </c>
      <c r="V1587">
        <v>387148</v>
      </c>
    </row>
    <row r="1588" spans="1:22" x14ac:dyDescent="0.3">
      <c r="A1588" t="str">
        <f t="shared" si="48"/>
        <v>HYPERealizado</v>
      </c>
      <c r="B1588" t="str">
        <f t="shared" si="49"/>
        <v>HYPERealizadoSet-2022</v>
      </c>
      <c r="C1588" t="s">
        <v>467</v>
      </c>
      <c r="D1588" t="s">
        <v>468</v>
      </c>
      <c r="E1588" t="s">
        <v>469</v>
      </c>
      <c r="F1588" t="s">
        <v>740</v>
      </c>
      <c r="G1588" t="s">
        <v>741</v>
      </c>
      <c r="H1588" t="s">
        <v>742</v>
      </c>
      <c r="I1588" t="s">
        <v>700</v>
      </c>
      <c r="J1588" t="s">
        <v>746</v>
      </c>
      <c r="K1588" s="1">
        <v>44834</v>
      </c>
      <c r="L1588">
        <v>465367</v>
      </c>
      <c r="M1588">
        <v>21663007</v>
      </c>
      <c r="N1588">
        <v>5289864</v>
      </c>
      <c r="O1588">
        <v>2217377</v>
      </c>
      <c r="P1588">
        <v>-21663007</v>
      </c>
      <c r="Q1588">
        <v>-3524434</v>
      </c>
      <c r="R1588">
        <v>246462</v>
      </c>
      <c r="S1588">
        <v>25008</v>
      </c>
      <c r="T1588">
        <v>4349494</v>
      </c>
      <c r="U1588">
        <v>10492687</v>
      </c>
      <c r="V1588">
        <v>2059299</v>
      </c>
    </row>
    <row r="1589" spans="1:22" x14ac:dyDescent="0.3">
      <c r="A1589" t="str">
        <f t="shared" si="48"/>
        <v>NTCORealizado</v>
      </c>
      <c r="B1589" t="str">
        <f t="shared" si="49"/>
        <v>NTCORealizadoSet-2022</v>
      </c>
      <c r="C1589" t="s">
        <v>472</v>
      </c>
      <c r="D1589" t="s">
        <v>473</v>
      </c>
      <c r="E1589" t="s">
        <v>469</v>
      </c>
      <c r="F1589" t="s">
        <v>740</v>
      </c>
      <c r="G1589" t="s">
        <v>741</v>
      </c>
      <c r="H1589" t="s">
        <v>742</v>
      </c>
      <c r="I1589" t="s">
        <v>744</v>
      </c>
      <c r="J1589" t="s">
        <v>743</v>
      </c>
      <c r="K1589" s="1">
        <v>44834</v>
      </c>
      <c r="L1589">
        <v>-559777</v>
      </c>
      <c r="M1589">
        <v>23230116</v>
      </c>
      <c r="N1589">
        <v>191072</v>
      </c>
      <c r="O1589">
        <v>0</v>
      </c>
      <c r="P1589">
        <v>-23230116</v>
      </c>
      <c r="Q1589">
        <v>-220661</v>
      </c>
      <c r="R1589">
        <v>2805</v>
      </c>
      <c r="S1589">
        <v>586</v>
      </c>
      <c r="T1589">
        <v>866840</v>
      </c>
      <c r="U1589">
        <v>22984957</v>
      </c>
      <c r="V1589">
        <v>-495108</v>
      </c>
    </row>
    <row r="1590" spans="1:22" x14ac:dyDescent="0.3">
      <c r="A1590" t="str">
        <f t="shared" si="48"/>
        <v>PLASRealizado</v>
      </c>
      <c r="B1590" t="str">
        <f t="shared" si="49"/>
        <v>PLASRealizadoSet-2022</v>
      </c>
      <c r="C1590" t="s">
        <v>333</v>
      </c>
      <c r="D1590" t="s">
        <v>334</v>
      </c>
      <c r="E1590" t="s">
        <v>328</v>
      </c>
      <c r="F1590" t="s">
        <v>740</v>
      </c>
      <c r="G1590" t="s">
        <v>741</v>
      </c>
      <c r="H1590" t="s">
        <v>742</v>
      </c>
      <c r="I1590" t="s">
        <v>744</v>
      </c>
      <c r="J1590" t="s">
        <v>743</v>
      </c>
      <c r="K1590" s="1">
        <v>44834</v>
      </c>
      <c r="L1590">
        <v>-23516</v>
      </c>
      <c r="M1590">
        <v>8387</v>
      </c>
      <c r="N1590">
        <v>8380</v>
      </c>
      <c r="O1590">
        <v>0</v>
      </c>
      <c r="P1590">
        <v>-8387</v>
      </c>
      <c r="Q1590">
        <v>-183</v>
      </c>
      <c r="R1590">
        <v>0</v>
      </c>
      <c r="S1590">
        <v>183</v>
      </c>
      <c r="T1590">
        <v>0</v>
      </c>
      <c r="U1590">
        <v>-371809</v>
      </c>
      <c r="V1590">
        <v>-23643</v>
      </c>
    </row>
    <row r="1591" spans="1:22" x14ac:dyDescent="0.3">
      <c r="A1591" t="str">
        <f t="shared" si="48"/>
        <v>PTCARealizado</v>
      </c>
      <c r="B1591" t="str">
        <f t="shared" si="49"/>
        <v>PTCARealizadoSet-2022</v>
      </c>
      <c r="C1591" t="s">
        <v>326</v>
      </c>
      <c r="D1591" t="s">
        <v>327</v>
      </c>
      <c r="E1591" t="s">
        <v>328</v>
      </c>
      <c r="F1591" t="s">
        <v>740</v>
      </c>
      <c r="G1591" t="s">
        <v>741</v>
      </c>
      <c r="H1591" t="s">
        <v>742</v>
      </c>
      <c r="I1591" t="s">
        <v>744</v>
      </c>
      <c r="J1591" t="s">
        <v>746</v>
      </c>
      <c r="K1591" s="1">
        <v>44834</v>
      </c>
      <c r="L1591">
        <v>6855</v>
      </c>
      <c r="M1591">
        <v>214196</v>
      </c>
      <c r="N1591">
        <v>152705</v>
      </c>
      <c r="O1591">
        <v>45391</v>
      </c>
      <c r="P1591">
        <v>-214196</v>
      </c>
      <c r="Q1591">
        <v>-86563</v>
      </c>
      <c r="R1591">
        <v>6404</v>
      </c>
      <c r="S1591">
        <v>0</v>
      </c>
      <c r="T1591">
        <v>46488</v>
      </c>
      <c r="U1591">
        <v>75532</v>
      </c>
      <c r="V1591">
        <v>69078</v>
      </c>
    </row>
    <row r="1592" spans="1:22" x14ac:dyDescent="0.3">
      <c r="A1592" t="str">
        <f t="shared" si="48"/>
        <v>WEGERealizado</v>
      </c>
      <c r="B1592" t="str">
        <f t="shared" si="49"/>
        <v>WEGERealizadoSet-2022</v>
      </c>
      <c r="C1592" t="s">
        <v>329</v>
      </c>
      <c r="D1592" t="s">
        <v>330</v>
      </c>
      <c r="E1592" t="s">
        <v>328</v>
      </c>
      <c r="F1592" t="s">
        <v>740</v>
      </c>
      <c r="G1592" t="s">
        <v>741</v>
      </c>
      <c r="H1592" t="s">
        <v>742</v>
      </c>
      <c r="I1592" t="s">
        <v>744</v>
      </c>
      <c r="J1592" t="s">
        <v>743</v>
      </c>
      <c r="K1592" s="1">
        <v>44834</v>
      </c>
      <c r="L1592">
        <v>1158032</v>
      </c>
      <c r="M1592">
        <v>14115374</v>
      </c>
      <c r="N1592">
        <v>1166398</v>
      </c>
      <c r="O1592">
        <v>0</v>
      </c>
      <c r="P1592">
        <v>-14115374</v>
      </c>
      <c r="Q1592">
        <v>-216193</v>
      </c>
      <c r="R1592">
        <v>18530</v>
      </c>
      <c r="S1592">
        <v>27381</v>
      </c>
      <c r="T1592">
        <v>3485565</v>
      </c>
      <c r="U1592">
        <v>13894451</v>
      </c>
      <c r="V1592">
        <v>1159399</v>
      </c>
    </row>
    <row r="1593" spans="1:22" x14ac:dyDescent="0.3">
      <c r="A1593" t="str">
        <f t="shared" si="48"/>
        <v>WLMMRealizado</v>
      </c>
      <c r="B1593" t="str">
        <f t="shared" si="49"/>
        <v>WLMMRealizadoSet-2022</v>
      </c>
      <c r="C1593" t="s">
        <v>331</v>
      </c>
      <c r="D1593" t="s">
        <v>332</v>
      </c>
      <c r="E1593" t="s">
        <v>328</v>
      </c>
      <c r="F1593" t="s">
        <v>740</v>
      </c>
      <c r="G1593" t="s">
        <v>741</v>
      </c>
      <c r="H1593" t="s">
        <v>742</v>
      </c>
      <c r="I1593" t="s">
        <v>744</v>
      </c>
      <c r="J1593" t="s">
        <v>745</v>
      </c>
      <c r="K1593" s="1">
        <v>44834</v>
      </c>
      <c r="L1593">
        <v>32238</v>
      </c>
      <c r="M1593">
        <v>689333</v>
      </c>
      <c r="N1593">
        <v>354063</v>
      </c>
      <c r="O1593">
        <v>121104</v>
      </c>
      <c r="P1593">
        <v>-689333</v>
      </c>
      <c r="Q1593">
        <v>-68275</v>
      </c>
      <c r="R1593">
        <v>22854</v>
      </c>
      <c r="S1593">
        <v>8685</v>
      </c>
      <c r="T1593">
        <v>193819</v>
      </c>
      <c r="U1593">
        <v>605078</v>
      </c>
      <c r="V1593">
        <v>635980</v>
      </c>
    </row>
    <row r="1594" spans="1:22" x14ac:dyDescent="0.3">
      <c r="A1594" t="str">
        <f t="shared" si="48"/>
        <v>ATMPRealizado</v>
      </c>
      <c r="B1594" t="str">
        <f t="shared" si="49"/>
        <v>ATMPRealizadoSet-2022</v>
      </c>
      <c r="C1594" t="s">
        <v>261</v>
      </c>
      <c r="D1594" t="s">
        <v>262</v>
      </c>
      <c r="E1594" t="s">
        <v>258</v>
      </c>
      <c r="F1594" t="s">
        <v>740</v>
      </c>
      <c r="G1594" t="s">
        <v>741</v>
      </c>
      <c r="H1594" t="s">
        <v>742</v>
      </c>
      <c r="I1594" t="s">
        <v>744</v>
      </c>
      <c r="J1594" t="s">
        <v>743</v>
      </c>
      <c r="K1594" s="1">
        <v>44834</v>
      </c>
      <c r="L1594">
        <v>-111356</v>
      </c>
      <c r="M1594">
        <v>499269</v>
      </c>
      <c r="N1594">
        <v>1209</v>
      </c>
      <c r="O1594">
        <v>0</v>
      </c>
      <c r="P1594">
        <v>-499269</v>
      </c>
      <c r="Q1594">
        <v>-119098</v>
      </c>
      <c r="R1594">
        <v>1697</v>
      </c>
      <c r="S1594">
        <v>4107</v>
      </c>
      <c r="T1594">
        <v>0</v>
      </c>
      <c r="U1594">
        <v>-275079</v>
      </c>
      <c r="V1594">
        <v>-99508</v>
      </c>
    </row>
    <row r="1595" spans="1:22" x14ac:dyDescent="0.3">
      <c r="A1595" t="str">
        <f t="shared" si="48"/>
        <v>ELMDRealizado</v>
      </c>
      <c r="B1595" t="str">
        <f t="shared" si="49"/>
        <v>ELMDRealizadoSet-2022</v>
      </c>
      <c r="C1595" t="s">
        <v>259</v>
      </c>
      <c r="D1595" t="s">
        <v>260</v>
      </c>
      <c r="E1595" t="s">
        <v>258</v>
      </c>
      <c r="F1595" t="s">
        <v>740</v>
      </c>
      <c r="G1595" t="s">
        <v>741</v>
      </c>
      <c r="H1595" t="s">
        <v>742</v>
      </c>
      <c r="I1595" t="s">
        <v>700</v>
      </c>
      <c r="J1595" t="s">
        <v>745</v>
      </c>
      <c r="K1595" s="1">
        <v>44834</v>
      </c>
      <c r="L1595">
        <v>7764</v>
      </c>
      <c r="M1595">
        <v>1511978</v>
      </c>
      <c r="N1595">
        <v>191382</v>
      </c>
      <c r="O1595">
        <v>88115</v>
      </c>
      <c r="P1595">
        <v>-1511978</v>
      </c>
      <c r="Q1595">
        <v>-391411</v>
      </c>
      <c r="R1595">
        <v>14314</v>
      </c>
      <c r="S1595">
        <v>2405</v>
      </c>
      <c r="T1595">
        <v>-10587</v>
      </c>
      <c r="U1595">
        <v>739445</v>
      </c>
      <c r="V1595">
        <v>88864</v>
      </c>
    </row>
    <row r="1596" spans="1:22" x14ac:dyDescent="0.3">
      <c r="A1596" t="str">
        <f t="shared" si="48"/>
        <v>QUSWRealizado</v>
      </c>
      <c r="B1596" t="str">
        <f t="shared" si="49"/>
        <v>QUSWRealizadoSet-2022</v>
      </c>
      <c r="C1596" t="s">
        <v>256</v>
      </c>
      <c r="D1596" t="s">
        <v>257</v>
      </c>
      <c r="E1596" t="s">
        <v>258</v>
      </c>
      <c r="F1596" t="s">
        <v>740</v>
      </c>
      <c r="G1596" t="s">
        <v>741</v>
      </c>
      <c r="H1596" t="s">
        <v>742</v>
      </c>
      <c r="I1596" t="s">
        <v>744</v>
      </c>
      <c r="J1596" t="s">
        <v>743</v>
      </c>
      <c r="K1596" s="1">
        <v>44834</v>
      </c>
      <c r="L1596">
        <v>1932379</v>
      </c>
      <c r="M1596">
        <v>195872486</v>
      </c>
      <c r="N1596">
        <v>25014560</v>
      </c>
      <c r="O1596">
        <v>10901242</v>
      </c>
      <c r="P1596">
        <v>-195872486</v>
      </c>
      <c r="Q1596">
        <v>-36452789</v>
      </c>
      <c r="R1596">
        <v>4890668</v>
      </c>
      <c r="S1596">
        <v>982076</v>
      </c>
      <c r="T1596">
        <v>20792458</v>
      </c>
      <c r="U1596">
        <v>63788283</v>
      </c>
      <c r="V1596">
        <v>13266843</v>
      </c>
    </row>
    <row r="1597" spans="1:22" x14ac:dyDescent="0.3">
      <c r="A1597" t="str">
        <f t="shared" si="48"/>
        <v>KEPLRealizado</v>
      </c>
      <c r="B1597" t="str">
        <f t="shared" si="49"/>
        <v>KEPLRealizadoSet-2022</v>
      </c>
      <c r="C1597" t="s">
        <v>335</v>
      </c>
      <c r="D1597" t="s">
        <v>336</v>
      </c>
      <c r="E1597" t="s">
        <v>337</v>
      </c>
      <c r="F1597" t="s">
        <v>740</v>
      </c>
      <c r="G1597" t="s">
        <v>741</v>
      </c>
      <c r="H1597" t="s">
        <v>742</v>
      </c>
      <c r="I1597" t="s">
        <v>700</v>
      </c>
      <c r="J1597" t="s">
        <v>745</v>
      </c>
      <c r="K1597" s="1">
        <v>44834</v>
      </c>
      <c r="L1597">
        <v>115648</v>
      </c>
      <c r="M1597">
        <v>655326</v>
      </c>
      <c r="N1597">
        <v>24410</v>
      </c>
      <c r="O1597">
        <v>0</v>
      </c>
      <c r="P1597">
        <v>-655326</v>
      </c>
      <c r="Q1597">
        <v>-17617</v>
      </c>
      <c r="R1597">
        <v>4129</v>
      </c>
      <c r="S1597">
        <v>1665</v>
      </c>
      <c r="T1597">
        <v>193917</v>
      </c>
      <c r="U1597">
        <v>631379</v>
      </c>
      <c r="V1597">
        <v>117067</v>
      </c>
    </row>
    <row r="1598" spans="1:22" x14ac:dyDescent="0.3">
      <c r="A1598" t="str">
        <f t="shared" si="48"/>
        <v>MGELRealizado</v>
      </c>
      <c r="B1598" t="str">
        <f t="shared" si="49"/>
        <v>MGELRealizadoSet-2022</v>
      </c>
      <c r="C1598" t="s">
        <v>342</v>
      </c>
      <c r="D1598" t="s">
        <v>343</v>
      </c>
      <c r="E1598" t="s">
        <v>337</v>
      </c>
      <c r="F1598" t="s">
        <v>740</v>
      </c>
      <c r="G1598" t="s">
        <v>741</v>
      </c>
      <c r="H1598" t="s">
        <v>742</v>
      </c>
      <c r="I1598" t="s">
        <v>701</v>
      </c>
      <c r="J1598" t="s">
        <v>743</v>
      </c>
      <c r="K1598" s="1">
        <v>44834</v>
      </c>
      <c r="L1598">
        <v>584</v>
      </c>
      <c r="M1598">
        <v>674410</v>
      </c>
      <c r="N1598">
        <v>372736</v>
      </c>
      <c r="O1598">
        <v>104506</v>
      </c>
      <c r="P1598">
        <v>-674410</v>
      </c>
      <c r="Q1598">
        <v>-194574</v>
      </c>
      <c r="R1598">
        <v>21754</v>
      </c>
      <c r="S1598">
        <v>2583</v>
      </c>
      <c r="T1598">
        <v>0</v>
      </c>
      <c r="U1598">
        <v>-189125</v>
      </c>
      <c r="V1598">
        <v>232965</v>
      </c>
    </row>
    <row r="1599" spans="1:22" x14ac:dyDescent="0.3">
      <c r="A1599" t="str">
        <f t="shared" si="48"/>
        <v>GOAURealizado</v>
      </c>
      <c r="B1599" t="str">
        <f t="shared" si="49"/>
        <v>GOAURealizadoSet-2022</v>
      </c>
      <c r="C1599" t="s">
        <v>338</v>
      </c>
      <c r="D1599" t="s">
        <v>339</v>
      </c>
      <c r="E1599" t="s">
        <v>337</v>
      </c>
      <c r="F1599" t="s">
        <v>740</v>
      </c>
      <c r="G1599" t="s">
        <v>741</v>
      </c>
      <c r="H1599" t="s">
        <v>742</v>
      </c>
      <c r="I1599" t="s">
        <v>701</v>
      </c>
      <c r="J1599" t="s">
        <v>743</v>
      </c>
      <c r="K1599" s="1">
        <v>44834</v>
      </c>
      <c r="L1599">
        <v>1007092</v>
      </c>
      <c r="M1599">
        <v>16729896</v>
      </c>
      <c r="N1599">
        <v>486517</v>
      </c>
      <c r="O1599">
        <v>0</v>
      </c>
      <c r="P1599">
        <v>-16729896</v>
      </c>
      <c r="Q1599">
        <v>-34787</v>
      </c>
      <c r="R1599">
        <v>0</v>
      </c>
      <c r="S1599">
        <v>4373</v>
      </c>
      <c r="T1599">
        <v>4283314</v>
      </c>
      <c r="U1599">
        <v>16694955</v>
      </c>
      <c r="V1599">
        <v>992413</v>
      </c>
    </row>
    <row r="1600" spans="1:22" x14ac:dyDescent="0.3">
      <c r="A1600" t="str">
        <f t="shared" si="48"/>
        <v>TKNORealizado</v>
      </c>
      <c r="B1600" t="str">
        <f t="shared" si="49"/>
        <v>TKNORealizadoSet-2022</v>
      </c>
      <c r="C1600" t="s">
        <v>340</v>
      </c>
      <c r="D1600" t="s">
        <v>341</v>
      </c>
      <c r="E1600" t="s">
        <v>337</v>
      </c>
      <c r="F1600" t="s">
        <v>740</v>
      </c>
      <c r="G1600" t="s">
        <v>741</v>
      </c>
      <c r="H1600" t="s">
        <v>742</v>
      </c>
      <c r="I1600" t="s">
        <v>700</v>
      </c>
      <c r="J1600" t="s">
        <v>743</v>
      </c>
      <c r="K1600" s="1">
        <v>44834</v>
      </c>
      <c r="L1600">
        <v>13176</v>
      </c>
      <c r="M1600">
        <v>371651</v>
      </c>
      <c r="N1600">
        <v>227589</v>
      </c>
      <c r="O1600">
        <v>78181</v>
      </c>
      <c r="P1600">
        <v>-371651</v>
      </c>
      <c r="Q1600">
        <v>-92926</v>
      </c>
      <c r="R1600">
        <v>9602</v>
      </c>
      <c r="S1600">
        <v>1568</v>
      </c>
      <c r="T1600">
        <v>58181</v>
      </c>
      <c r="U1600">
        <v>264665</v>
      </c>
      <c r="V1600">
        <v>83163</v>
      </c>
    </row>
    <row r="1601" spans="1:22" x14ac:dyDescent="0.3">
      <c r="A1601" t="str">
        <f t="shared" si="48"/>
        <v>BMKSRealizado</v>
      </c>
      <c r="B1601" t="str">
        <f t="shared" si="49"/>
        <v>BMKSRealizadoSet-2022</v>
      </c>
      <c r="C1601" t="s">
        <v>91</v>
      </c>
      <c r="D1601" t="s">
        <v>92</v>
      </c>
      <c r="E1601" t="s">
        <v>93</v>
      </c>
      <c r="F1601" t="s">
        <v>740</v>
      </c>
      <c r="G1601" t="s">
        <v>741</v>
      </c>
      <c r="H1601" t="s">
        <v>742</v>
      </c>
      <c r="I1601" t="s">
        <v>700</v>
      </c>
      <c r="J1601" t="s">
        <v>745</v>
      </c>
      <c r="K1601" s="1">
        <v>44834</v>
      </c>
      <c r="L1601">
        <v>8919</v>
      </c>
      <c r="M1601">
        <v>228968</v>
      </c>
      <c r="N1601">
        <v>181142</v>
      </c>
      <c r="O1601">
        <v>6733</v>
      </c>
      <c r="P1601">
        <v>-228968</v>
      </c>
      <c r="Q1601">
        <v>-5029</v>
      </c>
      <c r="R1601">
        <v>680</v>
      </c>
      <c r="S1601">
        <v>1651</v>
      </c>
      <c r="T1601">
        <v>26602</v>
      </c>
      <c r="U1601">
        <v>206103</v>
      </c>
      <c r="V1601">
        <v>5935</v>
      </c>
    </row>
    <row r="1602" spans="1:22" x14ac:dyDescent="0.3">
      <c r="A1602" t="str">
        <f t="shared" ref="A1602:A1638" si="50">_xlfn.CONCAT(D1602,F1602)</f>
        <v>ESTRRealizado</v>
      </c>
      <c r="B1602" t="str">
        <f t="shared" ref="B1602:B1638" si="51">_xlfn.CONCAT(D1602,F1602,PROPER(TEXT(K1602,"mmm-aaaa")))</f>
        <v>ESTRRealizadoSet-2022</v>
      </c>
      <c r="C1602" t="s">
        <v>98</v>
      </c>
      <c r="D1602" t="s">
        <v>99</v>
      </c>
      <c r="E1602" t="s">
        <v>93</v>
      </c>
      <c r="F1602" t="s">
        <v>740</v>
      </c>
      <c r="G1602" t="s">
        <v>741</v>
      </c>
      <c r="H1602" t="s">
        <v>742</v>
      </c>
      <c r="I1602" t="s">
        <v>744</v>
      </c>
      <c r="J1602" t="s">
        <v>743</v>
      </c>
      <c r="K1602" s="1">
        <v>44834</v>
      </c>
      <c r="L1602">
        <v>-13829</v>
      </c>
      <c r="M1602">
        <v>139486</v>
      </c>
      <c r="N1602">
        <v>29680</v>
      </c>
      <c r="O1602">
        <v>111060</v>
      </c>
      <c r="P1602">
        <v>-139486</v>
      </c>
      <c r="Q1602">
        <v>-533508</v>
      </c>
      <c r="R1602">
        <v>49340</v>
      </c>
      <c r="S1602">
        <v>291993</v>
      </c>
      <c r="T1602">
        <v>28460</v>
      </c>
      <c r="U1602">
        <v>-489405</v>
      </c>
      <c r="V1602">
        <v>9600</v>
      </c>
    </row>
    <row r="1603" spans="1:22" x14ac:dyDescent="0.3">
      <c r="A1603" t="str">
        <f t="shared" si="50"/>
        <v>SMFTRealizado</v>
      </c>
      <c r="B1603" t="str">
        <f t="shared" si="51"/>
        <v>SMFTRealizadoSet-2022</v>
      </c>
      <c r="C1603" t="s">
        <v>94</v>
      </c>
      <c r="D1603" t="s">
        <v>95</v>
      </c>
      <c r="E1603" t="s">
        <v>93</v>
      </c>
      <c r="F1603" t="s">
        <v>740</v>
      </c>
      <c r="G1603" t="s">
        <v>741</v>
      </c>
      <c r="H1603" t="s">
        <v>742</v>
      </c>
      <c r="I1603" t="s">
        <v>701</v>
      </c>
      <c r="J1603" t="s">
        <v>743</v>
      </c>
      <c r="K1603" s="1">
        <v>44834</v>
      </c>
      <c r="L1603">
        <v>7833</v>
      </c>
      <c r="M1603">
        <v>7249059</v>
      </c>
      <c r="N1603">
        <v>2478668</v>
      </c>
      <c r="O1603">
        <v>133092</v>
      </c>
      <c r="P1603">
        <v>-7249059</v>
      </c>
      <c r="Q1603">
        <v>-589642</v>
      </c>
      <c r="R1603">
        <v>43449</v>
      </c>
      <c r="S1603">
        <v>22976</v>
      </c>
      <c r="T1603">
        <v>0</v>
      </c>
      <c r="U1603">
        <v>4147929</v>
      </c>
      <c r="V1603">
        <v>280854</v>
      </c>
    </row>
    <row r="1604" spans="1:22" x14ac:dyDescent="0.3">
      <c r="A1604" t="str">
        <f t="shared" si="50"/>
        <v>SHOWRealizado</v>
      </c>
      <c r="B1604" t="str">
        <f t="shared" si="51"/>
        <v>SHOWRealizadoSet-2022</v>
      </c>
      <c r="C1604" t="s">
        <v>96</v>
      </c>
      <c r="D1604" t="s">
        <v>97</v>
      </c>
      <c r="E1604" t="s">
        <v>93</v>
      </c>
      <c r="F1604" t="s">
        <v>740</v>
      </c>
      <c r="G1604" t="s">
        <v>741</v>
      </c>
      <c r="H1604" t="s">
        <v>742</v>
      </c>
      <c r="I1604" t="s">
        <v>700</v>
      </c>
      <c r="J1604" t="s">
        <v>743</v>
      </c>
      <c r="K1604" s="1">
        <v>44834</v>
      </c>
      <c r="L1604">
        <v>-10013</v>
      </c>
      <c r="M1604">
        <v>600261</v>
      </c>
      <c r="N1604">
        <v>281355</v>
      </c>
      <c r="O1604">
        <v>100651</v>
      </c>
      <c r="P1604">
        <v>-600261</v>
      </c>
      <c r="Q1604">
        <v>-258916</v>
      </c>
      <c r="R1604">
        <v>4568</v>
      </c>
      <c r="S1604">
        <v>3349</v>
      </c>
      <c r="T1604">
        <v>-9665</v>
      </c>
      <c r="U1604">
        <v>141721</v>
      </c>
      <c r="V1604">
        <v>28245</v>
      </c>
    </row>
    <row r="1605" spans="1:22" x14ac:dyDescent="0.3">
      <c r="A1605" t="str">
        <f t="shared" si="50"/>
        <v>BAHIRealizado</v>
      </c>
      <c r="B1605" t="str">
        <f t="shared" si="51"/>
        <v>BAHIRealizadoSet-2022</v>
      </c>
      <c r="C1605" t="s">
        <v>288</v>
      </c>
      <c r="D1605" t="s">
        <v>289</v>
      </c>
      <c r="E1605" t="s">
        <v>287</v>
      </c>
      <c r="F1605" t="s">
        <v>740</v>
      </c>
      <c r="G1605" t="s">
        <v>747</v>
      </c>
      <c r="H1605" t="s">
        <v>742</v>
      </c>
      <c r="I1605" t="s">
        <v>700</v>
      </c>
      <c r="J1605" t="s">
        <v>743</v>
      </c>
      <c r="K1605" s="1">
        <v>44834</v>
      </c>
      <c r="L1605">
        <v>-27106</v>
      </c>
      <c r="M1605">
        <v>165265</v>
      </c>
      <c r="N1605">
        <v>6146</v>
      </c>
      <c r="O1605">
        <v>430</v>
      </c>
      <c r="P1605">
        <v>-165265</v>
      </c>
      <c r="Q1605">
        <v>-9298</v>
      </c>
      <c r="R1605">
        <v>1650</v>
      </c>
      <c r="S1605">
        <v>190</v>
      </c>
      <c r="T1605">
        <v>0</v>
      </c>
      <c r="U1605">
        <v>106101</v>
      </c>
      <c r="V1605">
        <v>-26746</v>
      </c>
    </row>
    <row r="1606" spans="1:22" x14ac:dyDescent="0.3">
      <c r="A1606" t="str">
        <f t="shared" si="50"/>
        <v>COGNRealizado</v>
      </c>
      <c r="B1606" t="str">
        <f t="shared" si="51"/>
        <v>COGNRealizadoSet-2022</v>
      </c>
      <c r="C1606" t="s">
        <v>290</v>
      </c>
      <c r="D1606" t="s">
        <v>291</v>
      </c>
      <c r="E1606" t="s">
        <v>287</v>
      </c>
      <c r="F1606" t="s">
        <v>740</v>
      </c>
      <c r="G1606" t="s">
        <v>747</v>
      </c>
      <c r="H1606" t="s">
        <v>742</v>
      </c>
      <c r="I1606" t="s">
        <v>700</v>
      </c>
      <c r="J1606" t="s">
        <v>743</v>
      </c>
      <c r="K1606" s="1">
        <v>44834</v>
      </c>
      <c r="L1606">
        <v>-211313</v>
      </c>
      <c r="M1606">
        <v>17045163</v>
      </c>
      <c r="N1606">
        <v>1923996</v>
      </c>
      <c r="O1606">
        <v>0</v>
      </c>
      <c r="P1606">
        <v>-17045163</v>
      </c>
      <c r="Q1606">
        <v>-2043791</v>
      </c>
      <c r="R1606">
        <v>2468</v>
      </c>
      <c r="S1606">
        <v>9367</v>
      </c>
      <c r="T1606">
        <v>0</v>
      </c>
      <c r="U1606">
        <v>12389875</v>
      </c>
      <c r="V1606">
        <v>-178017</v>
      </c>
    </row>
    <row r="1607" spans="1:22" x14ac:dyDescent="0.3">
      <c r="A1607" t="str">
        <f t="shared" si="50"/>
        <v>YDUQRealizado</v>
      </c>
      <c r="B1607" t="str">
        <f t="shared" si="51"/>
        <v>YDUQRealizadoSet-2022</v>
      </c>
      <c r="C1607" t="s">
        <v>285</v>
      </c>
      <c r="D1607" t="s">
        <v>286</v>
      </c>
      <c r="E1607" t="s">
        <v>287</v>
      </c>
      <c r="F1607" t="s">
        <v>740</v>
      </c>
      <c r="G1607" t="s">
        <v>747</v>
      </c>
      <c r="H1607" t="s">
        <v>742</v>
      </c>
      <c r="I1607" t="s">
        <v>744</v>
      </c>
      <c r="J1607" t="s">
        <v>746</v>
      </c>
      <c r="K1607" s="1">
        <v>44834</v>
      </c>
      <c r="L1607">
        <v>14625</v>
      </c>
      <c r="M1607">
        <v>7211873</v>
      </c>
      <c r="N1607">
        <v>213734</v>
      </c>
      <c r="O1607">
        <v>0</v>
      </c>
      <c r="P1607">
        <v>-7211873</v>
      </c>
      <c r="Q1607">
        <v>-471681</v>
      </c>
      <c r="R1607">
        <v>296</v>
      </c>
      <c r="S1607">
        <v>2660</v>
      </c>
      <c r="T1607">
        <v>1225413</v>
      </c>
      <c r="U1607">
        <v>3024088</v>
      </c>
      <c r="V1607">
        <v>165402</v>
      </c>
    </row>
    <row r="1608" spans="1:22" x14ac:dyDescent="0.3">
      <c r="A1608" t="str">
        <f t="shared" si="50"/>
        <v>ANIMRealizado</v>
      </c>
      <c r="B1608" t="str">
        <f t="shared" si="51"/>
        <v>ANIMRealizadoSet-2022</v>
      </c>
      <c r="C1608" t="s">
        <v>229</v>
      </c>
      <c r="D1608" t="s">
        <v>230</v>
      </c>
      <c r="E1608" t="s">
        <v>231</v>
      </c>
      <c r="F1608" t="s">
        <v>740</v>
      </c>
      <c r="G1608" t="s">
        <v>747</v>
      </c>
      <c r="H1608" t="s">
        <v>742</v>
      </c>
      <c r="I1608" t="s">
        <v>744</v>
      </c>
      <c r="J1608" t="s">
        <v>746</v>
      </c>
      <c r="K1608" s="1">
        <v>44834</v>
      </c>
      <c r="L1608">
        <v>-46725</v>
      </c>
      <c r="M1608">
        <v>4360072</v>
      </c>
      <c r="N1608">
        <v>311394</v>
      </c>
      <c r="O1608">
        <v>214213</v>
      </c>
      <c r="P1608">
        <v>-4360072</v>
      </c>
      <c r="Q1608">
        <v>-897313</v>
      </c>
      <c r="R1608">
        <v>31722</v>
      </c>
      <c r="S1608">
        <v>3905</v>
      </c>
      <c r="T1608">
        <v>36742</v>
      </c>
      <c r="U1608">
        <v>2638055</v>
      </c>
      <c r="V1608">
        <v>29661</v>
      </c>
    </row>
    <row r="1609" spans="1:22" x14ac:dyDescent="0.3">
      <c r="A1609" t="str">
        <f t="shared" si="50"/>
        <v>CSEDRealizado</v>
      </c>
      <c r="B1609" t="str">
        <f t="shared" si="51"/>
        <v>CSEDRealizadoSet-2022</v>
      </c>
      <c r="C1609" t="s">
        <v>232</v>
      </c>
      <c r="D1609" t="s">
        <v>233</v>
      </c>
      <c r="E1609" t="s">
        <v>231</v>
      </c>
      <c r="F1609" t="s">
        <v>740</v>
      </c>
      <c r="G1609" t="s">
        <v>747</v>
      </c>
      <c r="H1609" t="s">
        <v>742</v>
      </c>
      <c r="I1609" t="s">
        <v>744</v>
      </c>
      <c r="J1609" t="s">
        <v>746</v>
      </c>
      <c r="K1609" s="1">
        <v>44834</v>
      </c>
      <c r="L1609">
        <v>3818</v>
      </c>
      <c r="M1609">
        <v>1967748</v>
      </c>
      <c r="N1609">
        <v>641318</v>
      </c>
      <c r="O1609">
        <v>50922</v>
      </c>
      <c r="P1609">
        <v>-1967748</v>
      </c>
      <c r="Q1609">
        <v>-133275</v>
      </c>
      <c r="R1609">
        <v>59380</v>
      </c>
      <c r="S1609">
        <v>9207</v>
      </c>
      <c r="T1609">
        <v>51677</v>
      </c>
      <c r="U1609">
        <v>1439340</v>
      </c>
      <c r="V1609">
        <v>118105</v>
      </c>
    </row>
    <row r="1610" spans="1:22" x14ac:dyDescent="0.3">
      <c r="A1610" t="str">
        <f t="shared" si="50"/>
        <v>SEERRealizado</v>
      </c>
      <c r="B1610" t="str">
        <f t="shared" si="51"/>
        <v>SEERRealizadoSet-2022</v>
      </c>
      <c r="C1610" t="s">
        <v>234</v>
      </c>
      <c r="D1610" t="s">
        <v>235</v>
      </c>
      <c r="E1610" t="s">
        <v>231</v>
      </c>
      <c r="F1610" t="s">
        <v>740</v>
      </c>
      <c r="G1610" t="s">
        <v>747</v>
      </c>
      <c r="H1610" t="s">
        <v>742</v>
      </c>
      <c r="I1610" t="s">
        <v>744</v>
      </c>
      <c r="J1610" t="s">
        <v>746</v>
      </c>
      <c r="K1610" s="1">
        <v>44834</v>
      </c>
      <c r="L1610">
        <v>-39345</v>
      </c>
      <c r="M1610">
        <v>2500867</v>
      </c>
      <c r="N1610">
        <v>325861</v>
      </c>
      <c r="O1610">
        <v>198684</v>
      </c>
      <c r="P1610">
        <v>-2500867</v>
      </c>
      <c r="Q1610">
        <v>-231211</v>
      </c>
      <c r="R1610">
        <v>60411</v>
      </c>
      <c r="S1610">
        <v>4911</v>
      </c>
      <c r="T1610">
        <v>473130</v>
      </c>
      <c r="U1610">
        <v>1363922</v>
      </c>
      <c r="V1610">
        <v>153095</v>
      </c>
    </row>
    <row r="1611" spans="1:22" x14ac:dyDescent="0.3">
      <c r="A1611" t="str">
        <f t="shared" si="50"/>
        <v>BRFSRealizado</v>
      </c>
      <c r="B1611" t="str">
        <f t="shared" si="51"/>
        <v>BRFSRealizadoSet-2022</v>
      </c>
      <c r="C1611" t="s">
        <v>239</v>
      </c>
      <c r="D1611" t="s">
        <v>240</v>
      </c>
      <c r="E1611" t="s">
        <v>238</v>
      </c>
      <c r="F1611" t="s">
        <v>740</v>
      </c>
      <c r="G1611" t="s">
        <v>747</v>
      </c>
      <c r="H1611" t="s">
        <v>742</v>
      </c>
      <c r="I1611" t="s">
        <v>700</v>
      </c>
      <c r="J1611" t="s">
        <v>743</v>
      </c>
      <c r="K1611" s="1">
        <v>44834</v>
      </c>
      <c r="L1611">
        <v>-122570</v>
      </c>
      <c r="M1611">
        <v>60385097</v>
      </c>
      <c r="N1611">
        <v>20403541</v>
      </c>
      <c r="O1611">
        <v>6075669</v>
      </c>
      <c r="P1611">
        <v>-60385097</v>
      </c>
      <c r="Q1611">
        <v>-26663905</v>
      </c>
      <c r="R1611">
        <v>281335</v>
      </c>
      <c r="S1611">
        <v>191962</v>
      </c>
      <c r="T1611">
        <v>0</v>
      </c>
      <c r="U1611">
        <v>12000440</v>
      </c>
      <c r="V1611">
        <v>12150323</v>
      </c>
    </row>
    <row r="1612" spans="1:22" x14ac:dyDescent="0.3">
      <c r="A1612" t="str">
        <f t="shared" si="50"/>
        <v>JOPARealizado</v>
      </c>
      <c r="B1612" t="str">
        <f t="shared" si="51"/>
        <v>JOPARealizadoSet-2022</v>
      </c>
      <c r="C1612" t="s">
        <v>236</v>
      </c>
      <c r="D1612" t="s">
        <v>237</v>
      </c>
      <c r="E1612" t="s">
        <v>238</v>
      </c>
      <c r="F1612" t="s">
        <v>740</v>
      </c>
      <c r="G1612" t="s">
        <v>747</v>
      </c>
      <c r="H1612" t="s">
        <v>742</v>
      </c>
      <c r="I1612" t="s">
        <v>744</v>
      </c>
      <c r="J1612" t="s">
        <v>746</v>
      </c>
      <c r="K1612" s="1">
        <v>44834</v>
      </c>
      <c r="L1612">
        <v>7930</v>
      </c>
      <c r="M1612">
        <v>2268949</v>
      </c>
      <c r="N1612">
        <v>1729065</v>
      </c>
      <c r="O1612">
        <v>462006</v>
      </c>
      <c r="P1612">
        <v>-2268949</v>
      </c>
      <c r="Q1612">
        <v>-943333</v>
      </c>
      <c r="R1612">
        <v>16608</v>
      </c>
      <c r="S1612">
        <v>9513</v>
      </c>
      <c r="T1612">
        <v>269810</v>
      </c>
      <c r="U1612">
        <v>571085</v>
      </c>
      <c r="V1612">
        <v>671863</v>
      </c>
    </row>
    <row r="1613" spans="1:22" x14ac:dyDescent="0.3">
      <c r="A1613" t="str">
        <f t="shared" si="50"/>
        <v>MNPRRealizado</v>
      </c>
      <c r="B1613" t="str">
        <f t="shared" si="51"/>
        <v>MNPRRealizadoSet-2022</v>
      </c>
      <c r="C1613" t="s">
        <v>241</v>
      </c>
      <c r="D1613" t="s">
        <v>242</v>
      </c>
      <c r="E1613" t="s">
        <v>238</v>
      </c>
      <c r="F1613" t="s">
        <v>740</v>
      </c>
      <c r="G1613" t="s">
        <v>747</v>
      </c>
      <c r="H1613" t="s">
        <v>742</v>
      </c>
      <c r="I1613" t="s">
        <v>701</v>
      </c>
      <c r="J1613" t="s">
        <v>743</v>
      </c>
      <c r="K1613" s="1">
        <v>44834</v>
      </c>
      <c r="L1613">
        <v>7272</v>
      </c>
      <c r="M1613">
        <v>21030</v>
      </c>
      <c r="N1613">
        <v>2</v>
      </c>
      <c r="O1613">
        <v>0</v>
      </c>
      <c r="P1613">
        <v>-21030</v>
      </c>
      <c r="Q1613">
        <v>-1382</v>
      </c>
      <c r="R1613">
        <v>158</v>
      </c>
      <c r="S1613">
        <v>31</v>
      </c>
      <c r="T1613">
        <v>5846</v>
      </c>
      <c r="U1613">
        <v>-319878</v>
      </c>
      <c r="V1613">
        <v>9070</v>
      </c>
    </row>
    <row r="1614" spans="1:22" x14ac:dyDescent="0.3">
      <c r="A1614" t="str">
        <f t="shared" si="50"/>
        <v>IGTIRealizado</v>
      </c>
      <c r="B1614" t="str">
        <f t="shared" si="51"/>
        <v>IGTIRealizadoSet-2022</v>
      </c>
      <c r="C1614" t="s">
        <v>403</v>
      </c>
      <c r="D1614" t="s">
        <v>404</v>
      </c>
      <c r="E1614" t="s">
        <v>405</v>
      </c>
      <c r="F1614" t="s">
        <v>740</v>
      </c>
      <c r="G1614" t="s">
        <v>747</v>
      </c>
      <c r="H1614" t="s">
        <v>742</v>
      </c>
      <c r="I1614" t="s">
        <v>744</v>
      </c>
      <c r="J1614" t="s">
        <v>746</v>
      </c>
      <c r="K1614" s="1">
        <v>44834</v>
      </c>
      <c r="L1614">
        <v>64814</v>
      </c>
      <c r="M1614">
        <v>4188635</v>
      </c>
      <c r="N1614">
        <v>633724</v>
      </c>
      <c r="O1614">
        <v>0</v>
      </c>
      <c r="P1614">
        <v>-4188635</v>
      </c>
      <c r="Q1614">
        <v>-132756</v>
      </c>
      <c r="R1614">
        <v>4302</v>
      </c>
      <c r="S1614">
        <v>833</v>
      </c>
      <c r="T1614">
        <v>891884</v>
      </c>
      <c r="U1614">
        <v>4002907</v>
      </c>
      <c r="V1614">
        <v>4767</v>
      </c>
    </row>
    <row r="1615" spans="1:22" x14ac:dyDescent="0.3">
      <c r="A1615" t="str">
        <f t="shared" si="50"/>
        <v>PDTCRealizado</v>
      </c>
      <c r="B1615" t="str">
        <f t="shared" si="51"/>
        <v>PDTCRealizadoSet-2022</v>
      </c>
      <c r="C1615" t="s">
        <v>406</v>
      </c>
      <c r="D1615" t="s">
        <v>407</v>
      </c>
      <c r="E1615" t="s">
        <v>405</v>
      </c>
      <c r="F1615" t="s">
        <v>740</v>
      </c>
      <c r="G1615" t="s">
        <v>747</v>
      </c>
      <c r="H1615" t="s">
        <v>742</v>
      </c>
      <c r="I1615" t="s">
        <v>700</v>
      </c>
      <c r="J1615" t="s">
        <v>743</v>
      </c>
      <c r="K1615" s="1">
        <v>44834</v>
      </c>
      <c r="L1615">
        <v>12218</v>
      </c>
      <c r="M1615">
        <v>157471</v>
      </c>
      <c r="N1615">
        <v>1948</v>
      </c>
      <c r="O1615">
        <v>0</v>
      </c>
      <c r="P1615">
        <v>-157471</v>
      </c>
      <c r="Q1615">
        <v>-407</v>
      </c>
      <c r="R1615">
        <v>254</v>
      </c>
      <c r="S1615">
        <v>45</v>
      </c>
      <c r="T1615">
        <v>0</v>
      </c>
      <c r="U1615">
        <v>130596</v>
      </c>
      <c r="V1615">
        <v>12352</v>
      </c>
    </row>
    <row r="1616" spans="1:22" x14ac:dyDescent="0.3">
      <c r="A1616" t="str">
        <f t="shared" si="50"/>
        <v>RPADRealizado</v>
      </c>
      <c r="B1616" t="str">
        <f t="shared" si="51"/>
        <v>RPADRealizadoSet-2022</v>
      </c>
      <c r="C1616" t="s">
        <v>319</v>
      </c>
      <c r="D1616" t="s">
        <v>320</v>
      </c>
      <c r="E1616" t="s">
        <v>321</v>
      </c>
      <c r="F1616" t="s">
        <v>740</v>
      </c>
      <c r="G1616" t="s">
        <v>747</v>
      </c>
      <c r="H1616" t="s">
        <v>742</v>
      </c>
      <c r="I1616" t="s">
        <v>744</v>
      </c>
      <c r="J1616" t="s">
        <v>746</v>
      </c>
      <c r="K1616" s="1">
        <v>44834</v>
      </c>
      <c r="L1616">
        <v>41358</v>
      </c>
      <c r="M1616">
        <v>1076697</v>
      </c>
      <c r="N1616">
        <v>66933</v>
      </c>
      <c r="O1616">
        <v>0</v>
      </c>
      <c r="P1616">
        <v>-1076697</v>
      </c>
      <c r="Q1616">
        <v>-4546</v>
      </c>
      <c r="R1616">
        <v>9</v>
      </c>
      <c r="S1616">
        <v>853</v>
      </c>
      <c r="T1616">
        <v>562664</v>
      </c>
      <c r="U1616">
        <v>1072035</v>
      </c>
      <c r="V1616">
        <v>39551</v>
      </c>
    </row>
    <row r="1617" spans="1:22" x14ac:dyDescent="0.3">
      <c r="A1617" t="str">
        <f t="shared" si="50"/>
        <v>BRGERealizado</v>
      </c>
      <c r="B1617" t="str">
        <f t="shared" si="51"/>
        <v>BRGERealizadoSet-2022</v>
      </c>
      <c r="C1617" t="s">
        <v>322</v>
      </c>
      <c r="D1617" t="s">
        <v>323</v>
      </c>
      <c r="E1617" t="s">
        <v>321</v>
      </c>
      <c r="F1617" t="s">
        <v>740</v>
      </c>
      <c r="G1617" t="s">
        <v>747</v>
      </c>
      <c r="H1617" t="s">
        <v>742</v>
      </c>
      <c r="I1617" t="s">
        <v>744</v>
      </c>
      <c r="J1617" t="s">
        <v>746</v>
      </c>
      <c r="K1617" s="1">
        <v>44834</v>
      </c>
      <c r="L1617">
        <v>52037</v>
      </c>
      <c r="M1617">
        <v>1296787</v>
      </c>
      <c r="N1617">
        <v>130600</v>
      </c>
      <c r="O1617">
        <v>0</v>
      </c>
      <c r="P1617">
        <v>-1296787</v>
      </c>
      <c r="Q1617">
        <v>-6294</v>
      </c>
      <c r="R1617">
        <v>0</v>
      </c>
      <c r="S1617">
        <v>1988</v>
      </c>
      <c r="T1617">
        <v>704867</v>
      </c>
      <c r="U1617">
        <v>1290420</v>
      </c>
      <c r="V1617">
        <v>48684</v>
      </c>
    </row>
    <row r="1618" spans="1:22" x14ac:dyDescent="0.3">
      <c r="A1618" t="str">
        <f t="shared" si="50"/>
        <v>ITSARealizado</v>
      </c>
      <c r="B1618" t="str">
        <f t="shared" si="51"/>
        <v>ITSARealizadoSet-2022</v>
      </c>
      <c r="C1618" t="s">
        <v>324</v>
      </c>
      <c r="D1618" t="s">
        <v>325</v>
      </c>
      <c r="E1618" t="s">
        <v>321</v>
      </c>
      <c r="F1618" t="s">
        <v>740</v>
      </c>
      <c r="G1618" t="s">
        <v>747</v>
      </c>
      <c r="H1618" t="s">
        <v>742</v>
      </c>
      <c r="I1618" t="s">
        <v>700</v>
      </c>
      <c r="J1618" t="s">
        <v>745</v>
      </c>
      <c r="K1618" s="1">
        <v>44834</v>
      </c>
      <c r="L1618">
        <v>3555000</v>
      </c>
      <c r="M1618">
        <v>82627000</v>
      </c>
      <c r="N1618">
        <v>5531000</v>
      </c>
      <c r="O1618">
        <v>755000</v>
      </c>
      <c r="P1618">
        <v>-82627000</v>
      </c>
      <c r="Q1618">
        <v>-4042000</v>
      </c>
      <c r="R1618">
        <v>44000</v>
      </c>
      <c r="S1618">
        <v>34000</v>
      </c>
      <c r="T1618">
        <v>23235000</v>
      </c>
      <c r="U1618">
        <v>70827000</v>
      </c>
      <c r="V1618">
        <v>3663000</v>
      </c>
    </row>
    <row r="1619" spans="1:22" x14ac:dyDescent="0.3">
      <c r="A1619" t="str">
        <f t="shared" si="50"/>
        <v>VALERealizado</v>
      </c>
      <c r="B1619" t="str">
        <f t="shared" si="51"/>
        <v>VALERealizadoSet-2022</v>
      </c>
      <c r="C1619" t="s">
        <v>464</v>
      </c>
      <c r="D1619" t="s">
        <v>465</v>
      </c>
      <c r="E1619" t="s">
        <v>466</v>
      </c>
      <c r="F1619" t="s">
        <v>740</v>
      </c>
      <c r="G1619" t="s">
        <v>747</v>
      </c>
      <c r="H1619" t="s">
        <v>742</v>
      </c>
      <c r="I1619" t="s">
        <v>700</v>
      </c>
      <c r="J1619" t="s">
        <v>745</v>
      </c>
      <c r="K1619" s="1">
        <v>44834</v>
      </c>
      <c r="L1619">
        <v>23286000</v>
      </c>
      <c r="M1619">
        <v>411421000</v>
      </c>
      <c r="N1619">
        <v>73053000</v>
      </c>
      <c r="O1619">
        <v>51299000</v>
      </c>
      <c r="P1619">
        <v>-411421000</v>
      </c>
      <c r="Q1619">
        <v>-74716000</v>
      </c>
      <c r="R1619">
        <v>2987000</v>
      </c>
      <c r="S1619">
        <v>2938000</v>
      </c>
      <c r="T1619">
        <v>35717000</v>
      </c>
      <c r="U1619">
        <v>179538000</v>
      </c>
      <c r="V1619">
        <v>39200000</v>
      </c>
    </row>
    <row r="1620" spans="1:22" x14ac:dyDescent="0.3">
      <c r="A1620" t="str">
        <f t="shared" si="50"/>
        <v>KLBNRealizado</v>
      </c>
      <c r="B1620" t="str">
        <f t="shared" si="51"/>
        <v>KLBNRealizadoSet-2022</v>
      </c>
      <c r="C1620" t="s">
        <v>553</v>
      </c>
      <c r="D1620" t="s">
        <v>554</v>
      </c>
      <c r="E1620" t="s">
        <v>555</v>
      </c>
      <c r="F1620" t="s">
        <v>740</v>
      </c>
      <c r="G1620" t="s">
        <v>747</v>
      </c>
      <c r="H1620" t="s">
        <v>742</v>
      </c>
      <c r="I1620" t="s">
        <v>700</v>
      </c>
      <c r="J1620" t="s">
        <v>743</v>
      </c>
      <c r="K1620" s="1">
        <v>44834</v>
      </c>
      <c r="L1620">
        <v>1919848</v>
      </c>
      <c r="M1620">
        <v>43601585</v>
      </c>
      <c r="N1620">
        <v>11284914</v>
      </c>
      <c r="O1620">
        <v>2823354</v>
      </c>
      <c r="P1620">
        <v>-43601585</v>
      </c>
      <c r="Q1620">
        <v>-5082962</v>
      </c>
      <c r="R1620">
        <v>523495</v>
      </c>
      <c r="S1620">
        <v>425128</v>
      </c>
      <c r="T1620">
        <v>1091712</v>
      </c>
      <c r="U1620">
        <v>9002800</v>
      </c>
      <c r="V1620">
        <v>5250745</v>
      </c>
    </row>
    <row r="1621" spans="1:22" x14ac:dyDescent="0.3">
      <c r="A1621" t="str">
        <f t="shared" si="50"/>
        <v>SUZBRealizado</v>
      </c>
      <c r="B1621" t="str">
        <f t="shared" si="51"/>
        <v>SUZBRealizadoSet-2022</v>
      </c>
      <c r="C1621" t="s">
        <v>556</v>
      </c>
      <c r="D1621" t="s">
        <v>557</v>
      </c>
      <c r="E1621" t="s">
        <v>555</v>
      </c>
      <c r="F1621" t="s">
        <v>740</v>
      </c>
      <c r="G1621" t="s">
        <v>747</v>
      </c>
      <c r="H1621" t="s">
        <v>742</v>
      </c>
      <c r="I1621" t="s">
        <v>700</v>
      </c>
      <c r="J1621" t="s">
        <v>746</v>
      </c>
      <c r="K1621" s="1">
        <v>44834</v>
      </c>
      <c r="L1621">
        <v>5444887</v>
      </c>
      <c r="M1621">
        <v>130803822</v>
      </c>
      <c r="N1621">
        <v>17784636</v>
      </c>
      <c r="O1621">
        <v>5922198</v>
      </c>
      <c r="P1621">
        <v>-130803822</v>
      </c>
      <c r="Q1621">
        <v>-20269530</v>
      </c>
      <c r="R1621">
        <v>585154</v>
      </c>
      <c r="S1621">
        <v>174410</v>
      </c>
      <c r="T1621">
        <v>3040935</v>
      </c>
      <c r="U1621">
        <v>27951653</v>
      </c>
      <c r="V1621">
        <v>8333546</v>
      </c>
    </row>
    <row r="1622" spans="1:22" x14ac:dyDescent="0.3">
      <c r="A1622" t="str">
        <f t="shared" si="50"/>
        <v>ENATRealizado</v>
      </c>
      <c r="B1622" t="str">
        <f t="shared" si="51"/>
        <v>ENATRealizadoSet-2022</v>
      </c>
      <c r="C1622" t="s">
        <v>347</v>
      </c>
      <c r="D1622" t="s">
        <v>348</v>
      </c>
      <c r="E1622" t="s">
        <v>349</v>
      </c>
      <c r="F1622" t="s">
        <v>740</v>
      </c>
      <c r="G1622" t="s">
        <v>747</v>
      </c>
      <c r="H1622" t="s">
        <v>742</v>
      </c>
      <c r="I1622" t="s">
        <v>744</v>
      </c>
      <c r="J1622" t="s">
        <v>746</v>
      </c>
      <c r="K1622" s="1">
        <v>44834</v>
      </c>
      <c r="L1622">
        <v>18894</v>
      </c>
      <c r="M1622">
        <v>4004364</v>
      </c>
      <c r="N1622">
        <v>72937</v>
      </c>
      <c r="O1622">
        <v>0</v>
      </c>
      <c r="P1622">
        <v>-4004364</v>
      </c>
      <c r="Q1622">
        <v>-21958</v>
      </c>
      <c r="R1622">
        <v>119</v>
      </c>
      <c r="S1622">
        <v>60</v>
      </c>
      <c r="T1622">
        <v>1522006</v>
      </c>
      <c r="U1622">
        <v>3982406</v>
      </c>
      <c r="V1622">
        <v>18791</v>
      </c>
    </row>
    <row r="1623" spans="1:22" x14ac:dyDescent="0.3">
      <c r="A1623" t="str">
        <f t="shared" si="50"/>
        <v>UGPARealizado</v>
      </c>
      <c r="B1623" t="str">
        <f t="shared" si="51"/>
        <v>UGPARealizadoSet-2022</v>
      </c>
      <c r="C1623" t="s">
        <v>350</v>
      </c>
      <c r="D1623" t="s">
        <v>351</v>
      </c>
      <c r="E1623" t="s">
        <v>349</v>
      </c>
      <c r="F1623" t="s">
        <v>740</v>
      </c>
      <c r="G1623" t="s">
        <v>747</v>
      </c>
      <c r="H1623" t="s">
        <v>742</v>
      </c>
      <c r="I1623" t="s">
        <v>744</v>
      </c>
      <c r="J1623" t="s">
        <v>746</v>
      </c>
      <c r="K1623" s="1">
        <v>44834</v>
      </c>
      <c r="L1623">
        <v>73101</v>
      </c>
      <c r="M1623">
        <v>13624276</v>
      </c>
      <c r="N1623">
        <v>1013246</v>
      </c>
      <c r="O1623">
        <v>60914</v>
      </c>
      <c r="P1623">
        <v>-13624276</v>
      </c>
      <c r="Q1623">
        <v>-2424875</v>
      </c>
      <c r="R1623">
        <v>64261</v>
      </c>
      <c r="S1623">
        <v>1608</v>
      </c>
      <c r="T1623">
        <v>4866409</v>
      </c>
      <c r="U1623">
        <v>10911405</v>
      </c>
      <c r="V1623">
        <v>158257</v>
      </c>
    </row>
    <row r="1624" spans="1:22" x14ac:dyDescent="0.3">
      <c r="A1624" t="str">
        <f t="shared" si="50"/>
        <v>CIELRealizado</v>
      </c>
      <c r="B1624" t="str">
        <f t="shared" si="51"/>
        <v>CIELRealizadoSet-2022</v>
      </c>
      <c r="C1624" t="s">
        <v>484</v>
      </c>
      <c r="D1624" t="s">
        <v>485</v>
      </c>
      <c r="E1624" t="s">
        <v>486</v>
      </c>
      <c r="F1624" t="s">
        <v>740</v>
      </c>
      <c r="G1624" t="s">
        <v>747</v>
      </c>
      <c r="H1624" t="s">
        <v>742</v>
      </c>
      <c r="I1624" t="s">
        <v>701</v>
      </c>
      <c r="J1624" t="s">
        <v>743</v>
      </c>
      <c r="K1624" s="1">
        <v>44834</v>
      </c>
      <c r="L1624">
        <v>421741</v>
      </c>
      <c r="M1624">
        <v>105463879</v>
      </c>
      <c r="N1624">
        <v>94110897</v>
      </c>
      <c r="O1624">
        <v>84755456</v>
      </c>
      <c r="P1624">
        <v>-105463879</v>
      </c>
      <c r="Q1624">
        <v>-89149479</v>
      </c>
      <c r="R1624">
        <v>0</v>
      </c>
      <c r="S1624">
        <v>189842</v>
      </c>
      <c r="T1624">
        <v>5346348</v>
      </c>
      <c r="U1624">
        <v>10832500</v>
      </c>
      <c r="V1624">
        <v>1628975</v>
      </c>
    </row>
    <row r="1625" spans="1:22" x14ac:dyDescent="0.3">
      <c r="A1625" t="str">
        <f t="shared" si="50"/>
        <v>CVCBRealizado</v>
      </c>
      <c r="B1625" t="str">
        <f t="shared" si="51"/>
        <v>CVCBRealizadoSet-2022</v>
      </c>
      <c r="C1625" t="s">
        <v>479</v>
      </c>
      <c r="D1625" t="s">
        <v>480</v>
      </c>
      <c r="E1625" t="s">
        <v>481</v>
      </c>
      <c r="F1625" t="s">
        <v>740</v>
      </c>
      <c r="G1625" t="s">
        <v>747</v>
      </c>
      <c r="H1625" t="s">
        <v>742</v>
      </c>
      <c r="I1625" t="s">
        <v>700</v>
      </c>
      <c r="J1625" t="s">
        <v>743</v>
      </c>
      <c r="K1625" s="1">
        <v>44834</v>
      </c>
      <c r="L1625">
        <v>-75049</v>
      </c>
      <c r="M1625">
        <v>3617878</v>
      </c>
      <c r="N1625">
        <v>1675116</v>
      </c>
      <c r="O1625">
        <v>651300</v>
      </c>
      <c r="P1625">
        <v>-3617878</v>
      </c>
      <c r="Q1625">
        <v>-2683707</v>
      </c>
      <c r="R1625">
        <v>111409</v>
      </c>
      <c r="S1625">
        <v>20524</v>
      </c>
      <c r="T1625">
        <v>-120</v>
      </c>
      <c r="U1625">
        <v>416109</v>
      </c>
      <c r="V1625">
        <v>188504</v>
      </c>
    </row>
    <row r="1626" spans="1:22" x14ac:dyDescent="0.3">
      <c r="A1626" t="str">
        <f t="shared" si="50"/>
        <v>HOOTRealizado</v>
      </c>
      <c r="B1626" t="str">
        <f t="shared" si="51"/>
        <v>HOOTRealizadoSet-2022</v>
      </c>
      <c r="C1626" t="s">
        <v>482</v>
      </c>
      <c r="D1626" t="s">
        <v>483</v>
      </c>
      <c r="E1626" t="s">
        <v>481</v>
      </c>
      <c r="F1626" t="s">
        <v>740</v>
      </c>
      <c r="G1626" t="s">
        <v>747</v>
      </c>
      <c r="H1626" t="s">
        <v>742</v>
      </c>
      <c r="I1626" t="s">
        <v>744</v>
      </c>
      <c r="J1626" t="s">
        <v>743</v>
      </c>
      <c r="K1626" s="1">
        <v>44834</v>
      </c>
      <c r="L1626">
        <v>16799</v>
      </c>
      <c r="M1626">
        <v>603433</v>
      </c>
      <c r="N1626">
        <v>37997</v>
      </c>
      <c r="O1626">
        <v>17346</v>
      </c>
      <c r="P1626">
        <v>-603433</v>
      </c>
      <c r="Q1626">
        <v>-389888</v>
      </c>
      <c r="R1626">
        <v>0</v>
      </c>
      <c r="S1626">
        <v>367979</v>
      </c>
      <c r="T1626">
        <v>0</v>
      </c>
      <c r="U1626">
        <v>-335350</v>
      </c>
      <c r="V1626">
        <v>24897</v>
      </c>
    </row>
    <row r="1627" spans="1:22" x14ac:dyDescent="0.3">
      <c r="A1627" t="str">
        <f t="shared" si="50"/>
        <v>APERRealizado</v>
      </c>
      <c r="B1627" t="str">
        <f t="shared" si="51"/>
        <v>APERRealizadoSet-2022</v>
      </c>
      <c r="C1627" t="s">
        <v>358</v>
      </c>
      <c r="D1627" t="s">
        <v>359</v>
      </c>
      <c r="E1627" t="s">
        <v>360</v>
      </c>
      <c r="F1627" t="s">
        <v>740</v>
      </c>
      <c r="G1627" t="s">
        <v>747</v>
      </c>
      <c r="H1627" t="s">
        <v>742</v>
      </c>
      <c r="I1627" t="s">
        <v>744</v>
      </c>
      <c r="J1627" t="s">
        <v>746</v>
      </c>
      <c r="K1627" s="1">
        <v>44834</v>
      </c>
      <c r="L1627">
        <v>14248</v>
      </c>
      <c r="M1627">
        <v>739237</v>
      </c>
      <c r="N1627">
        <v>179109</v>
      </c>
      <c r="O1627">
        <v>55021</v>
      </c>
      <c r="P1627">
        <v>-739237</v>
      </c>
      <c r="Q1627">
        <v>-110667</v>
      </c>
      <c r="R1627">
        <v>22661</v>
      </c>
      <c r="S1627">
        <v>8828</v>
      </c>
      <c r="T1627">
        <v>4599</v>
      </c>
      <c r="U1627">
        <v>468023</v>
      </c>
      <c r="V1627">
        <v>54043</v>
      </c>
    </row>
    <row r="1628" spans="1:22" x14ac:dyDescent="0.3">
      <c r="A1628" t="str">
        <f t="shared" si="50"/>
        <v>BBSERealizado</v>
      </c>
      <c r="B1628" t="str">
        <f t="shared" si="51"/>
        <v>BBSERealizadoSet-2022</v>
      </c>
      <c r="C1628" t="s">
        <v>361</v>
      </c>
      <c r="D1628" t="s">
        <v>362</v>
      </c>
      <c r="E1628" t="s">
        <v>360</v>
      </c>
      <c r="F1628" t="s">
        <v>740</v>
      </c>
      <c r="G1628" t="s">
        <v>747</v>
      </c>
      <c r="H1628" t="s">
        <v>742</v>
      </c>
      <c r="I1628" t="s">
        <v>700</v>
      </c>
      <c r="J1628" t="s">
        <v>743</v>
      </c>
      <c r="K1628" s="1">
        <v>44834</v>
      </c>
      <c r="L1628">
        <v>1652180</v>
      </c>
      <c r="M1628">
        <v>9471723</v>
      </c>
      <c r="N1628">
        <v>86209</v>
      </c>
      <c r="O1628">
        <v>0</v>
      </c>
      <c r="P1628">
        <v>-9471723</v>
      </c>
      <c r="Q1628">
        <v>-10804</v>
      </c>
      <c r="R1628">
        <v>0</v>
      </c>
      <c r="S1628">
        <v>0</v>
      </c>
      <c r="T1628">
        <v>1171227</v>
      </c>
      <c r="U1628">
        <v>9460891</v>
      </c>
      <c r="V1628">
        <v>0</v>
      </c>
    </row>
    <row r="1629" spans="1:22" x14ac:dyDescent="0.3">
      <c r="A1629" t="str">
        <f t="shared" si="50"/>
        <v>DEXPRealizado</v>
      </c>
      <c r="B1629" t="str">
        <f t="shared" si="51"/>
        <v>DEXPRealizadoSet-2022</v>
      </c>
      <c r="C1629" t="s">
        <v>352</v>
      </c>
      <c r="D1629" t="s">
        <v>353</v>
      </c>
      <c r="E1629" t="s">
        <v>354</v>
      </c>
      <c r="F1629" t="s">
        <v>740</v>
      </c>
      <c r="G1629" t="s">
        <v>747</v>
      </c>
      <c r="H1629" t="s">
        <v>742</v>
      </c>
      <c r="I1629" t="s">
        <v>744</v>
      </c>
      <c r="J1629" t="s">
        <v>746</v>
      </c>
      <c r="K1629" s="1">
        <v>44834</v>
      </c>
      <c r="L1629">
        <v>28544</v>
      </c>
      <c r="M1629">
        <v>629377</v>
      </c>
      <c r="N1629">
        <v>16335</v>
      </c>
      <c r="O1629">
        <v>3555</v>
      </c>
      <c r="P1629">
        <v>-629377</v>
      </c>
      <c r="Q1629">
        <v>-41369</v>
      </c>
      <c r="R1629">
        <v>0</v>
      </c>
      <c r="S1629">
        <v>781</v>
      </c>
      <c r="T1629">
        <v>215363</v>
      </c>
      <c r="U1629">
        <v>555602</v>
      </c>
      <c r="V1629">
        <v>29520</v>
      </c>
    </row>
    <row r="1630" spans="1:22" x14ac:dyDescent="0.3">
      <c r="A1630" t="str">
        <f t="shared" si="50"/>
        <v>HBTSRealizado</v>
      </c>
      <c r="B1630" t="str">
        <f t="shared" si="51"/>
        <v>HBTSRealizadoSet-2022</v>
      </c>
      <c r="C1630" t="s">
        <v>282</v>
      </c>
      <c r="D1630" t="s">
        <v>283</v>
      </c>
      <c r="E1630" t="s">
        <v>284</v>
      </c>
      <c r="F1630" t="s">
        <v>740</v>
      </c>
      <c r="G1630" t="s">
        <v>747</v>
      </c>
      <c r="H1630" t="s">
        <v>742</v>
      </c>
      <c r="I1630" t="s">
        <v>744</v>
      </c>
      <c r="J1630" t="s">
        <v>746</v>
      </c>
      <c r="K1630" s="1">
        <v>44834</v>
      </c>
      <c r="L1630">
        <v>18045</v>
      </c>
      <c r="M1630">
        <v>681175</v>
      </c>
      <c r="N1630">
        <v>50212</v>
      </c>
      <c r="O1630">
        <v>510</v>
      </c>
      <c r="P1630">
        <v>-681175</v>
      </c>
      <c r="Q1630">
        <v>-114954</v>
      </c>
      <c r="R1630">
        <v>183</v>
      </c>
      <c r="S1630">
        <v>59</v>
      </c>
      <c r="T1630">
        <v>164788</v>
      </c>
      <c r="U1630">
        <v>499826</v>
      </c>
      <c r="V1630">
        <v>15147</v>
      </c>
    </row>
    <row r="1631" spans="1:22" x14ac:dyDescent="0.3">
      <c r="A1631" t="str">
        <f t="shared" si="50"/>
        <v>CGASRealizado</v>
      </c>
      <c r="B1631" t="str">
        <f t="shared" si="51"/>
        <v>CGASRealizadoSet-2022</v>
      </c>
      <c r="C1631" t="s">
        <v>355</v>
      </c>
      <c r="D1631" t="s">
        <v>356</v>
      </c>
      <c r="E1631" t="s">
        <v>357</v>
      </c>
      <c r="F1631" t="s">
        <v>740</v>
      </c>
      <c r="G1631" t="s">
        <v>747</v>
      </c>
      <c r="H1631" t="s">
        <v>742</v>
      </c>
      <c r="I1631" t="s">
        <v>700</v>
      </c>
      <c r="J1631" t="s">
        <v>743</v>
      </c>
      <c r="K1631" s="1">
        <v>44834</v>
      </c>
      <c r="L1631">
        <v>455361</v>
      </c>
      <c r="M1631">
        <v>12955841</v>
      </c>
      <c r="N1631">
        <v>5391913</v>
      </c>
      <c r="O1631">
        <v>1944232</v>
      </c>
      <c r="P1631">
        <v>-12955841</v>
      </c>
      <c r="Q1631">
        <v>-3292083</v>
      </c>
      <c r="R1631">
        <v>0</v>
      </c>
      <c r="S1631">
        <v>309736</v>
      </c>
      <c r="T1631">
        <v>107263</v>
      </c>
      <c r="U1631">
        <v>1663728</v>
      </c>
      <c r="V1631">
        <v>4964417</v>
      </c>
    </row>
    <row r="1632" spans="1:22" x14ac:dyDescent="0.3">
      <c r="A1632" t="str">
        <f t="shared" si="50"/>
        <v>ABEVRealizado</v>
      </c>
      <c r="B1632" t="str">
        <f t="shared" si="51"/>
        <v>ABEVRealizadoSet-2022</v>
      </c>
      <c r="C1632" t="s">
        <v>85</v>
      </c>
      <c r="D1632" t="s">
        <v>86</v>
      </c>
      <c r="E1632" t="s">
        <v>87</v>
      </c>
      <c r="F1632" t="s">
        <v>740</v>
      </c>
      <c r="G1632" t="s">
        <v>747</v>
      </c>
      <c r="H1632" t="s">
        <v>742</v>
      </c>
      <c r="I1632" t="s">
        <v>700</v>
      </c>
      <c r="J1632" t="s">
        <v>745</v>
      </c>
      <c r="K1632" s="1">
        <v>44834</v>
      </c>
      <c r="L1632">
        <v>3108556</v>
      </c>
      <c r="M1632">
        <v>134894333</v>
      </c>
      <c r="N1632">
        <v>17868169</v>
      </c>
      <c r="O1632">
        <v>3256495</v>
      </c>
      <c r="P1632">
        <v>-134894333</v>
      </c>
      <c r="Q1632">
        <v>-22378920</v>
      </c>
      <c r="R1632">
        <v>1189762</v>
      </c>
      <c r="S1632">
        <v>2299102</v>
      </c>
      <c r="T1632">
        <v>31191640</v>
      </c>
      <c r="U1632">
        <v>90178032</v>
      </c>
      <c r="V1632">
        <v>9734297</v>
      </c>
    </row>
    <row r="1633" spans="1:22" x14ac:dyDescent="0.3">
      <c r="A1633" t="str">
        <f t="shared" si="50"/>
        <v>BRAPRealizado</v>
      </c>
      <c r="B1633" t="str">
        <f t="shared" si="51"/>
        <v>BRAPRealizadoSet-2022</v>
      </c>
      <c r="C1633" t="s">
        <v>313</v>
      </c>
      <c r="D1633" t="s">
        <v>314</v>
      </c>
      <c r="E1633" t="s">
        <v>315</v>
      </c>
      <c r="F1633" t="s">
        <v>740</v>
      </c>
      <c r="G1633" t="s">
        <v>747</v>
      </c>
      <c r="H1633" t="s">
        <v>742</v>
      </c>
      <c r="I1633" t="s">
        <v>744</v>
      </c>
      <c r="J1633" t="s">
        <v>746</v>
      </c>
      <c r="K1633" s="1">
        <v>44834</v>
      </c>
      <c r="L1633">
        <v>1062260</v>
      </c>
      <c r="M1633">
        <v>7927778</v>
      </c>
      <c r="N1633">
        <v>890635</v>
      </c>
      <c r="O1633">
        <v>0</v>
      </c>
      <c r="P1633">
        <v>-7927778</v>
      </c>
      <c r="Q1633">
        <v>-93187</v>
      </c>
      <c r="R1633">
        <v>0</v>
      </c>
      <c r="S1633">
        <v>42526</v>
      </c>
      <c r="T1633">
        <v>2057761</v>
      </c>
      <c r="U1633">
        <v>7833582</v>
      </c>
      <c r="V1633">
        <v>1099257</v>
      </c>
    </row>
    <row r="1634" spans="1:22" x14ac:dyDescent="0.3">
      <c r="A1634" t="str">
        <f t="shared" si="50"/>
        <v>B3SARealizado</v>
      </c>
      <c r="B1634" t="str">
        <f t="shared" si="51"/>
        <v>B3SARealizadoSet-2022</v>
      </c>
      <c r="C1634" t="s">
        <v>88</v>
      </c>
      <c r="D1634" t="s">
        <v>89</v>
      </c>
      <c r="E1634" t="s">
        <v>90</v>
      </c>
      <c r="F1634" t="s">
        <v>740</v>
      </c>
      <c r="G1634" t="s">
        <v>747</v>
      </c>
      <c r="H1634" t="s">
        <v>742</v>
      </c>
      <c r="I1634" t="s">
        <v>744</v>
      </c>
      <c r="J1634" t="s">
        <v>746</v>
      </c>
      <c r="K1634" s="1">
        <v>44834</v>
      </c>
      <c r="L1634">
        <v>1029100</v>
      </c>
      <c r="M1634">
        <v>49419685</v>
      </c>
      <c r="N1634">
        <v>16773535</v>
      </c>
      <c r="O1634">
        <v>410374</v>
      </c>
      <c r="P1634">
        <v>-49419685</v>
      </c>
      <c r="Q1634">
        <v>-12527899</v>
      </c>
      <c r="R1634">
        <v>0</v>
      </c>
      <c r="S1634">
        <v>960496</v>
      </c>
      <c r="T1634">
        <v>1737922</v>
      </c>
      <c r="U1634">
        <v>20417543</v>
      </c>
      <c r="V1634">
        <v>2392032</v>
      </c>
    </row>
    <row r="1635" spans="1:22" x14ac:dyDescent="0.3">
      <c r="A1635" t="str">
        <f t="shared" si="50"/>
        <v>AHEBRealizado</v>
      </c>
      <c r="B1635" t="str">
        <f t="shared" si="51"/>
        <v>AHEBRealizadoSet-2022</v>
      </c>
      <c r="C1635" t="s">
        <v>316</v>
      </c>
      <c r="D1635" t="s">
        <v>317</v>
      </c>
      <c r="E1635" t="s">
        <v>318</v>
      </c>
      <c r="F1635" t="s">
        <v>740</v>
      </c>
      <c r="G1635" t="s">
        <v>747</v>
      </c>
      <c r="H1635" t="s">
        <v>742</v>
      </c>
      <c r="I1635" t="s">
        <v>744</v>
      </c>
      <c r="J1635" t="s">
        <v>743</v>
      </c>
      <c r="K1635" s="1">
        <v>44834</v>
      </c>
      <c r="L1635">
        <v>-14310</v>
      </c>
      <c r="M1635">
        <v>290088</v>
      </c>
      <c r="N1635">
        <v>74583</v>
      </c>
      <c r="O1635">
        <v>34773</v>
      </c>
      <c r="P1635">
        <v>-290088</v>
      </c>
      <c r="Q1635">
        <v>-75571</v>
      </c>
      <c r="R1635">
        <v>8612</v>
      </c>
      <c r="S1635">
        <v>29144</v>
      </c>
      <c r="T1635">
        <v>0</v>
      </c>
      <c r="U1635">
        <v>-80875</v>
      </c>
      <c r="V1635">
        <v>37431</v>
      </c>
    </row>
    <row r="1636" spans="1:22" x14ac:dyDescent="0.3">
      <c r="A1636" t="str">
        <f t="shared" si="50"/>
        <v>SGPSRealizado</v>
      </c>
      <c r="B1636" t="str">
        <f t="shared" si="51"/>
        <v>SGPSRealizadoSet-2022</v>
      </c>
      <c r="C1636" t="s">
        <v>408</v>
      </c>
      <c r="D1636" t="s">
        <v>409</v>
      </c>
      <c r="E1636" t="s">
        <v>410</v>
      </c>
      <c r="F1636" t="s">
        <v>740</v>
      </c>
      <c r="G1636" t="s">
        <v>747</v>
      </c>
      <c r="H1636" t="s">
        <v>742</v>
      </c>
      <c r="I1636" t="s">
        <v>700</v>
      </c>
      <c r="J1636" t="s">
        <v>743</v>
      </c>
      <c r="K1636" s="1">
        <v>44834</v>
      </c>
      <c r="L1636">
        <v>-175386</v>
      </c>
      <c r="M1636">
        <v>660587</v>
      </c>
      <c r="N1636">
        <v>1173</v>
      </c>
      <c r="O1636">
        <v>0</v>
      </c>
      <c r="P1636">
        <v>-660587</v>
      </c>
      <c r="Q1636">
        <v>-10396</v>
      </c>
      <c r="R1636">
        <v>121</v>
      </c>
      <c r="S1636">
        <v>36</v>
      </c>
      <c r="T1636">
        <v>0</v>
      </c>
      <c r="U1636">
        <v>605751</v>
      </c>
      <c r="V1636">
        <v>-174596</v>
      </c>
    </row>
    <row r="1637" spans="1:22" x14ac:dyDescent="0.3">
      <c r="A1637" t="str">
        <f t="shared" si="50"/>
        <v>NEMORealizado</v>
      </c>
      <c r="B1637" t="str">
        <f t="shared" si="51"/>
        <v>NEMORealizadoSet-2022</v>
      </c>
      <c r="C1637" t="s">
        <v>344</v>
      </c>
      <c r="D1637" t="s">
        <v>345</v>
      </c>
      <c r="E1637" t="s">
        <v>346</v>
      </c>
      <c r="F1637" t="s">
        <v>740</v>
      </c>
      <c r="G1637" t="s">
        <v>747</v>
      </c>
      <c r="H1637" t="s">
        <v>742</v>
      </c>
      <c r="I1637" t="s">
        <v>744</v>
      </c>
      <c r="J1637" t="s">
        <v>746</v>
      </c>
      <c r="K1637" s="1">
        <v>44834</v>
      </c>
      <c r="L1637">
        <v>1519159</v>
      </c>
      <c r="M1637">
        <v>7977004</v>
      </c>
      <c r="N1637">
        <v>44908</v>
      </c>
      <c r="O1637">
        <v>5117</v>
      </c>
      <c r="P1637">
        <v>-7977004</v>
      </c>
      <c r="Q1637">
        <v>-4129</v>
      </c>
      <c r="R1637">
        <v>3048</v>
      </c>
      <c r="S1637">
        <v>127</v>
      </c>
      <c r="T1637">
        <v>893209</v>
      </c>
      <c r="U1637">
        <v>7971000</v>
      </c>
      <c r="V1637">
        <v>1517648</v>
      </c>
    </row>
    <row r="1638" spans="1:22" x14ac:dyDescent="0.3">
      <c r="A1638" t="str">
        <f t="shared" si="50"/>
        <v>VLIDRealizado</v>
      </c>
      <c r="B1638" t="str">
        <f t="shared" si="51"/>
        <v>VLIDRealizadoSet-2022</v>
      </c>
      <c r="C1638" t="s">
        <v>476</v>
      </c>
      <c r="D1638" t="s">
        <v>477</v>
      </c>
      <c r="E1638" t="s">
        <v>478</v>
      </c>
      <c r="F1638" t="s">
        <v>740</v>
      </c>
      <c r="G1638" t="s">
        <v>747</v>
      </c>
      <c r="H1638" t="s">
        <v>742</v>
      </c>
      <c r="I1638" t="s">
        <v>744</v>
      </c>
      <c r="J1638" t="s">
        <v>746</v>
      </c>
      <c r="K1638" s="1">
        <v>44834</v>
      </c>
      <c r="L1638">
        <v>39392</v>
      </c>
      <c r="M1638">
        <v>2423257</v>
      </c>
      <c r="N1638">
        <v>697728</v>
      </c>
      <c r="O1638">
        <v>357900</v>
      </c>
      <c r="P1638">
        <v>-2423257</v>
      </c>
      <c r="Q1638">
        <v>-485803</v>
      </c>
      <c r="R1638">
        <v>57990</v>
      </c>
      <c r="S1638">
        <v>15219</v>
      </c>
      <c r="T1638">
        <v>15910</v>
      </c>
      <c r="U1638">
        <v>1273442</v>
      </c>
      <c r="V1638">
        <v>252385</v>
      </c>
    </row>
  </sheetData>
  <autoFilter ref="A1:V1601" xr:uid="{2E691222-9CBB-4988-895E-CA7F4E4943E9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DA871-C55B-4D39-95CD-1A73C05B9730}">
  <sheetPr codeName="Planilha10"/>
  <dimension ref="A1:B289"/>
  <sheetViews>
    <sheetView topLeftCell="A2" workbookViewId="0">
      <selection activeCell="A2" sqref="A2:A289"/>
    </sheetView>
  </sheetViews>
  <sheetFormatPr defaultRowHeight="14.4" x14ac:dyDescent="0.3"/>
  <sheetData>
    <row r="1" spans="1:2" x14ac:dyDescent="0.3">
      <c r="A1" t="s">
        <v>765</v>
      </c>
      <c r="B1" t="s">
        <v>1</v>
      </c>
    </row>
    <row r="2" spans="1:2" x14ac:dyDescent="0.3">
      <c r="A2">
        <v>1</v>
      </c>
      <c r="B2" t="s">
        <v>5</v>
      </c>
    </row>
    <row r="3" spans="1:2" x14ac:dyDescent="0.3">
      <c r="A3">
        <v>2</v>
      </c>
      <c r="B3" t="s">
        <v>10</v>
      </c>
    </row>
    <row r="4" spans="1:2" x14ac:dyDescent="0.3">
      <c r="A4">
        <v>3</v>
      </c>
      <c r="B4" t="s">
        <v>12</v>
      </c>
    </row>
    <row r="5" spans="1:2" x14ac:dyDescent="0.3">
      <c r="A5">
        <v>4</v>
      </c>
      <c r="B5" t="s">
        <v>16</v>
      </c>
    </row>
    <row r="6" spans="1:2" x14ac:dyDescent="0.3">
      <c r="A6">
        <v>5</v>
      </c>
      <c r="B6" t="s">
        <v>35</v>
      </c>
    </row>
    <row r="7" spans="1:2" x14ac:dyDescent="0.3">
      <c r="A7">
        <v>6</v>
      </c>
      <c r="B7" t="s">
        <v>22</v>
      </c>
    </row>
    <row r="8" spans="1:2" x14ac:dyDescent="0.3">
      <c r="A8">
        <v>7</v>
      </c>
      <c r="B8" t="s">
        <v>25</v>
      </c>
    </row>
    <row r="9" spans="1:2" x14ac:dyDescent="0.3">
      <c r="A9">
        <v>8</v>
      </c>
      <c r="B9" t="s">
        <v>37</v>
      </c>
    </row>
    <row r="10" spans="1:2" x14ac:dyDescent="0.3">
      <c r="A10">
        <v>9</v>
      </c>
      <c r="B10" t="s">
        <v>27</v>
      </c>
    </row>
    <row r="11" spans="1:2" x14ac:dyDescent="0.3">
      <c r="A11">
        <v>10</v>
      </c>
      <c r="B11" t="s">
        <v>29</v>
      </c>
    </row>
    <row r="12" spans="1:2" x14ac:dyDescent="0.3">
      <c r="A12">
        <v>11</v>
      </c>
      <c r="B12" t="s">
        <v>31</v>
      </c>
    </row>
    <row r="13" spans="1:2" x14ac:dyDescent="0.3">
      <c r="A13">
        <v>12</v>
      </c>
      <c r="B13" t="s">
        <v>33</v>
      </c>
    </row>
    <row r="14" spans="1:2" x14ac:dyDescent="0.3">
      <c r="A14">
        <v>13</v>
      </c>
      <c r="B14" t="s">
        <v>44</v>
      </c>
    </row>
    <row r="15" spans="1:2" x14ac:dyDescent="0.3">
      <c r="A15">
        <v>14</v>
      </c>
      <c r="B15" t="s">
        <v>56</v>
      </c>
    </row>
    <row r="16" spans="1:2" x14ac:dyDescent="0.3">
      <c r="A16">
        <v>15</v>
      </c>
      <c r="B16" t="s">
        <v>58</v>
      </c>
    </row>
    <row r="17" spans="1:2" x14ac:dyDescent="0.3">
      <c r="A17">
        <v>16</v>
      </c>
      <c r="B17" t="s">
        <v>60</v>
      </c>
    </row>
    <row r="18" spans="1:2" x14ac:dyDescent="0.3">
      <c r="A18">
        <v>17</v>
      </c>
      <c r="B18" t="s">
        <v>62</v>
      </c>
    </row>
    <row r="19" spans="1:2" x14ac:dyDescent="0.3">
      <c r="A19">
        <v>18</v>
      </c>
      <c r="B19" t="s">
        <v>64</v>
      </c>
    </row>
    <row r="20" spans="1:2" x14ac:dyDescent="0.3">
      <c r="A20">
        <v>19</v>
      </c>
      <c r="B20" t="s">
        <v>66</v>
      </c>
    </row>
    <row r="21" spans="1:2" x14ac:dyDescent="0.3">
      <c r="A21">
        <v>20</v>
      </c>
      <c r="B21" t="s">
        <v>39</v>
      </c>
    </row>
    <row r="22" spans="1:2" x14ac:dyDescent="0.3">
      <c r="A22">
        <v>21</v>
      </c>
      <c r="B22" t="s">
        <v>46</v>
      </c>
    </row>
    <row r="23" spans="1:2" x14ac:dyDescent="0.3">
      <c r="A23">
        <v>22</v>
      </c>
      <c r="B23" t="s">
        <v>68</v>
      </c>
    </row>
    <row r="24" spans="1:2" x14ac:dyDescent="0.3">
      <c r="A24">
        <v>23</v>
      </c>
      <c r="B24" t="s">
        <v>70</v>
      </c>
    </row>
    <row r="25" spans="1:2" x14ac:dyDescent="0.3">
      <c r="A25">
        <v>24</v>
      </c>
      <c r="B25" t="s">
        <v>72</v>
      </c>
    </row>
    <row r="26" spans="1:2" x14ac:dyDescent="0.3">
      <c r="A26">
        <v>25</v>
      </c>
      <c r="B26" t="s">
        <v>74</v>
      </c>
    </row>
    <row r="27" spans="1:2" x14ac:dyDescent="0.3">
      <c r="A27">
        <v>26</v>
      </c>
      <c r="B27" t="s">
        <v>76</v>
      </c>
    </row>
    <row r="28" spans="1:2" x14ac:dyDescent="0.3">
      <c r="A28">
        <v>27</v>
      </c>
      <c r="B28" t="s">
        <v>48</v>
      </c>
    </row>
    <row r="29" spans="1:2" x14ac:dyDescent="0.3">
      <c r="A29">
        <v>28</v>
      </c>
      <c r="B29" t="s">
        <v>50</v>
      </c>
    </row>
    <row r="30" spans="1:2" x14ac:dyDescent="0.3">
      <c r="A30">
        <v>29</v>
      </c>
      <c r="B30" t="s">
        <v>52</v>
      </c>
    </row>
    <row r="31" spans="1:2" x14ac:dyDescent="0.3">
      <c r="A31">
        <v>30</v>
      </c>
      <c r="B31" t="s">
        <v>78</v>
      </c>
    </row>
    <row r="32" spans="1:2" x14ac:dyDescent="0.3">
      <c r="A32">
        <v>31</v>
      </c>
      <c r="B32" t="s">
        <v>82</v>
      </c>
    </row>
    <row r="33" spans="1:2" x14ac:dyDescent="0.3">
      <c r="A33">
        <v>32</v>
      </c>
      <c r="B33" t="s">
        <v>54</v>
      </c>
    </row>
    <row r="34" spans="1:2" x14ac:dyDescent="0.3">
      <c r="A34">
        <v>33</v>
      </c>
      <c r="B34" t="s">
        <v>80</v>
      </c>
    </row>
    <row r="35" spans="1:2" x14ac:dyDescent="0.3">
      <c r="A35">
        <v>34</v>
      </c>
      <c r="B35" t="s">
        <v>84</v>
      </c>
    </row>
    <row r="36" spans="1:2" x14ac:dyDescent="0.3">
      <c r="A36">
        <v>35</v>
      </c>
      <c r="B36" t="s">
        <v>42</v>
      </c>
    </row>
    <row r="37" spans="1:2" x14ac:dyDescent="0.3">
      <c r="A37">
        <v>36</v>
      </c>
      <c r="B37" t="s">
        <v>86</v>
      </c>
    </row>
    <row r="38" spans="1:2" x14ac:dyDescent="0.3">
      <c r="A38">
        <v>37</v>
      </c>
      <c r="B38" t="s">
        <v>89</v>
      </c>
    </row>
    <row r="39" spans="1:2" x14ac:dyDescent="0.3">
      <c r="A39">
        <v>38</v>
      </c>
      <c r="B39" t="s">
        <v>92</v>
      </c>
    </row>
    <row r="40" spans="1:2" x14ac:dyDescent="0.3">
      <c r="A40">
        <v>39</v>
      </c>
      <c r="B40" t="s">
        <v>99</v>
      </c>
    </row>
    <row r="41" spans="1:2" x14ac:dyDescent="0.3">
      <c r="A41">
        <v>40</v>
      </c>
      <c r="B41" t="s">
        <v>95</v>
      </c>
    </row>
    <row r="42" spans="1:2" x14ac:dyDescent="0.3">
      <c r="A42">
        <v>41</v>
      </c>
      <c r="B42" t="s">
        <v>97</v>
      </c>
    </row>
    <row r="43" spans="1:2" x14ac:dyDescent="0.3">
      <c r="A43">
        <v>42</v>
      </c>
      <c r="B43" t="s">
        <v>104</v>
      </c>
    </row>
    <row r="44" spans="1:2" x14ac:dyDescent="0.3">
      <c r="A44">
        <v>43</v>
      </c>
      <c r="B44" t="s">
        <v>114</v>
      </c>
    </row>
    <row r="45" spans="1:2" x14ac:dyDescent="0.3">
      <c r="A45">
        <v>44</v>
      </c>
      <c r="B45" t="s">
        <v>136</v>
      </c>
    </row>
    <row r="46" spans="1:2" x14ac:dyDescent="0.3">
      <c r="A46">
        <v>45</v>
      </c>
      <c r="B46" t="s">
        <v>128</v>
      </c>
    </row>
    <row r="47" spans="1:2" x14ac:dyDescent="0.3">
      <c r="A47">
        <v>46</v>
      </c>
      <c r="B47" t="s">
        <v>140</v>
      </c>
    </row>
    <row r="48" spans="1:2" x14ac:dyDescent="0.3">
      <c r="A48">
        <v>47</v>
      </c>
      <c r="B48" t="s">
        <v>148</v>
      </c>
    </row>
    <row r="49" spans="1:2" x14ac:dyDescent="0.3">
      <c r="A49">
        <v>48</v>
      </c>
      <c r="B49" t="s">
        <v>134</v>
      </c>
    </row>
    <row r="50" spans="1:2" x14ac:dyDescent="0.3">
      <c r="A50">
        <v>49</v>
      </c>
      <c r="B50" t="s">
        <v>130</v>
      </c>
    </row>
    <row r="51" spans="1:2" x14ac:dyDescent="0.3">
      <c r="A51">
        <v>50</v>
      </c>
      <c r="B51" t="s">
        <v>120</v>
      </c>
    </row>
    <row r="52" spans="1:2" x14ac:dyDescent="0.3">
      <c r="A52">
        <v>51</v>
      </c>
      <c r="B52" t="s">
        <v>132</v>
      </c>
    </row>
    <row r="53" spans="1:2" x14ac:dyDescent="0.3">
      <c r="A53">
        <v>52</v>
      </c>
      <c r="B53" t="s">
        <v>116</v>
      </c>
    </row>
    <row r="54" spans="1:2" x14ac:dyDescent="0.3">
      <c r="A54">
        <v>53</v>
      </c>
      <c r="B54" t="s">
        <v>112</v>
      </c>
    </row>
    <row r="55" spans="1:2" x14ac:dyDescent="0.3">
      <c r="A55">
        <v>54</v>
      </c>
      <c r="B55" t="s">
        <v>126</v>
      </c>
    </row>
    <row r="56" spans="1:2" x14ac:dyDescent="0.3">
      <c r="A56">
        <v>55</v>
      </c>
      <c r="B56" t="s">
        <v>138</v>
      </c>
    </row>
    <row r="57" spans="1:2" x14ac:dyDescent="0.3">
      <c r="A57">
        <v>56</v>
      </c>
      <c r="B57" t="s">
        <v>122</v>
      </c>
    </row>
    <row r="58" spans="1:2" x14ac:dyDescent="0.3">
      <c r="A58">
        <v>57</v>
      </c>
      <c r="B58" t="s">
        <v>124</v>
      </c>
    </row>
    <row r="59" spans="1:2" x14ac:dyDescent="0.3">
      <c r="A59">
        <v>58</v>
      </c>
      <c r="B59" t="s">
        <v>118</v>
      </c>
    </row>
    <row r="60" spans="1:2" x14ac:dyDescent="0.3">
      <c r="A60">
        <v>59</v>
      </c>
      <c r="B60" t="s">
        <v>146</v>
      </c>
    </row>
    <row r="61" spans="1:2" x14ac:dyDescent="0.3">
      <c r="A61">
        <v>60</v>
      </c>
      <c r="B61" t="s">
        <v>108</v>
      </c>
    </row>
    <row r="62" spans="1:2" x14ac:dyDescent="0.3">
      <c r="A62">
        <v>61</v>
      </c>
      <c r="B62" t="s">
        <v>144</v>
      </c>
    </row>
    <row r="63" spans="1:2" x14ac:dyDescent="0.3">
      <c r="A63">
        <v>62</v>
      </c>
      <c r="B63" t="s">
        <v>110</v>
      </c>
    </row>
    <row r="64" spans="1:2" x14ac:dyDescent="0.3">
      <c r="A64">
        <v>63</v>
      </c>
      <c r="B64" t="s">
        <v>106</v>
      </c>
    </row>
    <row r="65" spans="1:2" x14ac:dyDescent="0.3">
      <c r="A65">
        <v>64</v>
      </c>
      <c r="B65" t="s">
        <v>101</v>
      </c>
    </row>
    <row r="66" spans="1:2" x14ac:dyDescent="0.3">
      <c r="A66">
        <v>65</v>
      </c>
      <c r="B66" t="s">
        <v>142</v>
      </c>
    </row>
    <row r="67" spans="1:2" x14ac:dyDescent="0.3">
      <c r="A67">
        <v>66</v>
      </c>
      <c r="B67" t="s">
        <v>206</v>
      </c>
    </row>
    <row r="68" spans="1:2" x14ac:dyDescent="0.3">
      <c r="A68">
        <v>67</v>
      </c>
      <c r="B68" t="s">
        <v>167</v>
      </c>
    </row>
    <row r="69" spans="1:2" x14ac:dyDescent="0.3">
      <c r="A69">
        <v>68</v>
      </c>
      <c r="B69" t="s">
        <v>208</v>
      </c>
    </row>
    <row r="70" spans="1:2" x14ac:dyDescent="0.3">
      <c r="A70">
        <v>69</v>
      </c>
      <c r="B70" t="s">
        <v>222</v>
      </c>
    </row>
    <row r="71" spans="1:2" x14ac:dyDescent="0.3">
      <c r="A71">
        <v>70</v>
      </c>
      <c r="B71" t="s">
        <v>218</v>
      </c>
    </row>
    <row r="72" spans="1:2" x14ac:dyDescent="0.3">
      <c r="A72">
        <v>71</v>
      </c>
      <c r="B72" t="s">
        <v>170</v>
      </c>
    </row>
    <row r="73" spans="1:2" x14ac:dyDescent="0.3">
      <c r="A73">
        <v>72</v>
      </c>
      <c r="B73" t="s">
        <v>172</v>
      </c>
    </row>
    <row r="74" spans="1:2" x14ac:dyDescent="0.3">
      <c r="A74">
        <v>73</v>
      </c>
      <c r="B74" t="s">
        <v>174</v>
      </c>
    </row>
    <row r="75" spans="1:2" x14ac:dyDescent="0.3">
      <c r="A75">
        <v>74</v>
      </c>
      <c r="B75" t="s">
        <v>176</v>
      </c>
    </row>
    <row r="76" spans="1:2" x14ac:dyDescent="0.3">
      <c r="A76">
        <v>75</v>
      </c>
      <c r="B76" t="s">
        <v>178</v>
      </c>
    </row>
    <row r="77" spans="1:2" x14ac:dyDescent="0.3">
      <c r="A77">
        <v>76</v>
      </c>
      <c r="B77" t="s">
        <v>180</v>
      </c>
    </row>
    <row r="78" spans="1:2" x14ac:dyDescent="0.3">
      <c r="A78">
        <v>77</v>
      </c>
      <c r="B78" t="s">
        <v>210</v>
      </c>
    </row>
    <row r="79" spans="1:2" x14ac:dyDescent="0.3">
      <c r="A79">
        <v>78</v>
      </c>
      <c r="B79" t="s">
        <v>220</v>
      </c>
    </row>
    <row r="80" spans="1:2" x14ac:dyDescent="0.3">
      <c r="A80">
        <v>79</v>
      </c>
      <c r="B80" t="s">
        <v>182</v>
      </c>
    </row>
    <row r="81" spans="1:2" x14ac:dyDescent="0.3">
      <c r="A81">
        <v>80</v>
      </c>
      <c r="B81" t="s">
        <v>184</v>
      </c>
    </row>
    <row r="82" spans="1:2" x14ac:dyDescent="0.3">
      <c r="A82">
        <v>81</v>
      </c>
      <c r="B82" t="s">
        <v>212</v>
      </c>
    </row>
    <row r="83" spans="1:2" x14ac:dyDescent="0.3">
      <c r="A83">
        <v>82</v>
      </c>
      <c r="B83" t="s">
        <v>224</v>
      </c>
    </row>
    <row r="84" spans="1:2" x14ac:dyDescent="0.3">
      <c r="A84">
        <v>83</v>
      </c>
      <c r="B84" t="s">
        <v>186</v>
      </c>
    </row>
    <row r="85" spans="1:2" x14ac:dyDescent="0.3">
      <c r="A85">
        <v>84</v>
      </c>
      <c r="B85" t="s">
        <v>188</v>
      </c>
    </row>
    <row r="86" spans="1:2" x14ac:dyDescent="0.3">
      <c r="A86">
        <v>85</v>
      </c>
      <c r="B86" t="s">
        <v>190</v>
      </c>
    </row>
    <row r="87" spans="1:2" x14ac:dyDescent="0.3">
      <c r="A87">
        <v>86</v>
      </c>
      <c r="B87" t="s">
        <v>214</v>
      </c>
    </row>
    <row r="88" spans="1:2" x14ac:dyDescent="0.3">
      <c r="A88">
        <v>87</v>
      </c>
      <c r="B88" t="s">
        <v>192</v>
      </c>
    </row>
    <row r="89" spans="1:2" x14ac:dyDescent="0.3">
      <c r="A89">
        <v>88</v>
      </c>
      <c r="B89" t="s">
        <v>194</v>
      </c>
    </row>
    <row r="90" spans="1:2" x14ac:dyDescent="0.3">
      <c r="A90">
        <v>89</v>
      </c>
      <c r="B90" t="s">
        <v>196</v>
      </c>
    </row>
    <row r="91" spans="1:2" x14ac:dyDescent="0.3">
      <c r="A91">
        <v>90</v>
      </c>
      <c r="B91" t="s">
        <v>198</v>
      </c>
    </row>
    <row r="92" spans="1:2" x14ac:dyDescent="0.3">
      <c r="A92">
        <v>91</v>
      </c>
      <c r="B92" t="s">
        <v>200</v>
      </c>
    </row>
    <row r="93" spans="1:2" x14ac:dyDescent="0.3">
      <c r="A93">
        <v>92</v>
      </c>
      <c r="B93" t="s">
        <v>226</v>
      </c>
    </row>
    <row r="94" spans="1:2" x14ac:dyDescent="0.3">
      <c r="A94">
        <v>93</v>
      </c>
      <c r="B94" t="s">
        <v>202</v>
      </c>
    </row>
    <row r="95" spans="1:2" x14ac:dyDescent="0.3">
      <c r="A95">
        <v>94</v>
      </c>
      <c r="B95" t="s">
        <v>216</v>
      </c>
    </row>
    <row r="96" spans="1:2" x14ac:dyDescent="0.3">
      <c r="A96">
        <v>95</v>
      </c>
      <c r="B96" t="s">
        <v>204</v>
      </c>
    </row>
    <row r="97" spans="1:2" x14ac:dyDescent="0.3">
      <c r="A97">
        <v>96</v>
      </c>
      <c r="B97" t="s">
        <v>228</v>
      </c>
    </row>
    <row r="98" spans="1:2" x14ac:dyDescent="0.3">
      <c r="A98">
        <v>97</v>
      </c>
      <c r="B98" t="s">
        <v>230</v>
      </c>
    </row>
    <row r="99" spans="1:2" x14ac:dyDescent="0.3">
      <c r="A99">
        <v>98</v>
      </c>
      <c r="B99" t="s">
        <v>233</v>
      </c>
    </row>
    <row r="100" spans="1:2" x14ac:dyDescent="0.3">
      <c r="A100">
        <v>99</v>
      </c>
      <c r="B100" t="s">
        <v>235</v>
      </c>
    </row>
    <row r="101" spans="1:2" x14ac:dyDescent="0.3">
      <c r="A101">
        <v>100</v>
      </c>
      <c r="B101" t="s">
        <v>240</v>
      </c>
    </row>
    <row r="102" spans="1:2" x14ac:dyDescent="0.3">
      <c r="A102">
        <v>101</v>
      </c>
      <c r="B102" t="s">
        <v>237</v>
      </c>
    </row>
    <row r="103" spans="1:2" x14ac:dyDescent="0.3">
      <c r="A103">
        <v>102</v>
      </c>
      <c r="B103" t="s">
        <v>242</v>
      </c>
    </row>
    <row r="104" spans="1:2" x14ac:dyDescent="0.3">
      <c r="A104">
        <v>103</v>
      </c>
      <c r="B104" t="s">
        <v>244</v>
      </c>
    </row>
    <row r="105" spans="1:2" x14ac:dyDescent="0.3">
      <c r="A105">
        <v>104</v>
      </c>
      <c r="B105" t="s">
        <v>247</v>
      </c>
    </row>
    <row r="106" spans="1:2" x14ac:dyDescent="0.3">
      <c r="A106">
        <v>105</v>
      </c>
      <c r="B106" t="s">
        <v>249</v>
      </c>
    </row>
    <row r="107" spans="1:2" x14ac:dyDescent="0.3">
      <c r="A107">
        <v>106</v>
      </c>
      <c r="B107" t="s">
        <v>251</v>
      </c>
    </row>
    <row r="108" spans="1:2" x14ac:dyDescent="0.3">
      <c r="A108">
        <v>107</v>
      </c>
      <c r="B108" t="s">
        <v>253</v>
      </c>
    </row>
    <row r="109" spans="1:2" x14ac:dyDescent="0.3">
      <c r="A109">
        <v>108</v>
      </c>
      <c r="B109" t="s">
        <v>255</v>
      </c>
    </row>
    <row r="110" spans="1:2" x14ac:dyDescent="0.3">
      <c r="A110">
        <v>109</v>
      </c>
      <c r="B110" t="s">
        <v>262</v>
      </c>
    </row>
    <row r="111" spans="1:2" x14ac:dyDescent="0.3">
      <c r="A111">
        <v>110</v>
      </c>
      <c r="B111" t="s">
        <v>260</v>
      </c>
    </row>
    <row r="112" spans="1:2" x14ac:dyDescent="0.3">
      <c r="A112">
        <v>111</v>
      </c>
      <c r="B112" t="s">
        <v>257</v>
      </c>
    </row>
    <row r="113" spans="1:2" x14ac:dyDescent="0.3">
      <c r="A113">
        <v>112</v>
      </c>
      <c r="B113" t="s">
        <v>279</v>
      </c>
    </row>
    <row r="114" spans="1:2" x14ac:dyDescent="0.3">
      <c r="A114">
        <v>113</v>
      </c>
      <c r="B114" t="s">
        <v>264</v>
      </c>
    </row>
    <row r="115" spans="1:2" x14ac:dyDescent="0.3">
      <c r="A115">
        <v>114</v>
      </c>
      <c r="B115" t="s">
        <v>267</v>
      </c>
    </row>
    <row r="116" spans="1:2" x14ac:dyDescent="0.3">
      <c r="A116">
        <v>115</v>
      </c>
      <c r="B116" t="s">
        <v>269</v>
      </c>
    </row>
    <row r="117" spans="1:2" x14ac:dyDescent="0.3">
      <c r="A117">
        <v>116</v>
      </c>
      <c r="B117" t="s">
        <v>271</v>
      </c>
    </row>
    <row r="118" spans="1:2" x14ac:dyDescent="0.3">
      <c r="A118">
        <v>117</v>
      </c>
      <c r="B118" t="s">
        <v>273</v>
      </c>
    </row>
    <row r="119" spans="1:2" x14ac:dyDescent="0.3">
      <c r="A119">
        <v>118</v>
      </c>
      <c r="B119" t="s">
        <v>275</v>
      </c>
    </row>
    <row r="120" spans="1:2" x14ac:dyDescent="0.3">
      <c r="A120">
        <v>119</v>
      </c>
      <c r="B120" t="s">
        <v>281</v>
      </c>
    </row>
    <row r="121" spans="1:2" x14ac:dyDescent="0.3">
      <c r="A121">
        <v>120</v>
      </c>
      <c r="B121" t="s">
        <v>277</v>
      </c>
    </row>
    <row r="122" spans="1:2" x14ac:dyDescent="0.3">
      <c r="A122">
        <v>121</v>
      </c>
      <c r="B122" t="s">
        <v>283</v>
      </c>
    </row>
    <row r="123" spans="1:2" x14ac:dyDescent="0.3">
      <c r="A123">
        <v>122</v>
      </c>
      <c r="B123" t="s">
        <v>289</v>
      </c>
    </row>
    <row r="124" spans="1:2" x14ac:dyDescent="0.3">
      <c r="A124">
        <v>123</v>
      </c>
      <c r="B124" t="s">
        <v>291</v>
      </c>
    </row>
    <row r="125" spans="1:2" x14ac:dyDescent="0.3">
      <c r="A125">
        <v>124</v>
      </c>
      <c r="B125" t="s">
        <v>286</v>
      </c>
    </row>
    <row r="126" spans="1:2" x14ac:dyDescent="0.3">
      <c r="A126">
        <v>125</v>
      </c>
      <c r="B126" t="s">
        <v>293</v>
      </c>
    </row>
    <row r="127" spans="1:2" x14ac:dyDescent="0.3">
      <c r="A127">
        <v>126</v>
      </c>
      <c r="B127" t="s">
        <v>296</v>
      </c>
    </row>
    <row r="128" spans="1:2" x14ac:dyDescent="0.3">
      <c r="A128">
        <v>127</v>
      </c>
      <c r="B128" t="s">
        <v>306</v>
      </c>
    </row>
    <row r="129" spans="1:2" x14ac:dyDescent="0.3">
      <c r="A129">
        <v>128</v>
      </c>
      <c r="B129" t="s">
        <v>308</v>
      </c>
    </row>
    <row r="130" spans="1:2" x14ac:dyDescent="0.3">
      <c r="A130">
        <v>129</v>
      </c>
      <c r="B130" t="s">
        <v>298</v>
      </c>
    </row>
    <row r="131" spans="1:2" x14ac:dyDescent="0.3">
      <c r="A131">
        <v>130</v>
      </c>
      <c r="B131" t="s">
        <v>300</v>
      </c>
    </row>
    <row r="132" spans="1:2" x14ac:dyDescent="0.3">
      <c r="A132">
        <v>131</v>
      </c>
      <c r="B132" t="s">
        <v>302</v>
      </c>
    </row>
    <row r="133" spans="1:2" x14ac:dyDescent="0.3">
      <c r="A133">
        <v>132</v>
      </c>
      <c r="B133" t="s">
        <v>310</v>
      </c>
    </row>
    <row r="134" spans="1:2" x14ac:dyDescent="0.3">
      <c r="A134">
        <v>133</v>
      </c>
      <c r="B134" t="s">
        <v>312</v>
      </c>
    </row>
    <row r="135" spans="1:2" x14ac:dyDescent="0.3">
      <c r="A135">
        <v>134</v>
      </c>
      <c r="B135" t="s">
        <v>304</v>
      </c>
    </row>
    <row r="136" spans="1:2" x14ac:dyDescent="0.3">
      <c r="A136">
        <v>135</v>
      </c>
      <c r="B136" t="s">
        <v>314</v>
      </c>
    </row>
    <row r="137" spans="1:2" x14ac:dyDescent="0.3">
      <c r="A137">
        <v>136</v>
      </c>
      <c r="B137" t="s">
        <v>317</v>
      </c>
    </row>
    <row r="138" spans="1:2" x14ac:dyDescent="0.3">
      <c r="A138">
        <v>137</v>
      </c>
      <c r="B138" t="s">
        <v>320</v>
      </c>
    </row>
    <row r="139" spans="1:2" x14ac:dyDescent="0.3">
      <c r="A139">
        <v>138</v>
      </c>
      <c r="B139" t="s">
        <v>323</v>
      </c>
    </row>
    <row r="140" spans="1:2" x14ac:dyDescent="0.3">
      <c r="A140">
        <v>139</v>
      </c>
      <c r="B140" t="s">
        <v>325</v>
      </c>
    </row>
    <row r="141" spans="1:2" x14ac:dyDescent="0.3">
      <c r="A141">
        <v>140</v>
      </c>
      <c r="B141" t="s">
        <v>334</v>
      </c>
    </row>
    <row r="142" spans="1:2" x14ac:dyDescent="0.3">
      <c r="A142">
        <v>141</v>
      </c>
      <c r="B142" t="s">
        <v>327</v>
      </c>
    </row>
    <row r="143" spans="1:2" x14ac:dyDescent="0.3">
      <c r="A143">
        <v>142</v>
      </c>
      <c r="B143" t="s">
        <v>330</v>
      </c>
    </row>
    <row r="144" spans="1:2" x14ac:dyDescent="0.3">
      <c r="A144">
        <v>143</v>
      </c>
      <c r="B144" t="s">
        <v>332</v>
      </c>
    </row>
    <row r="145" spans="1:2" x14ac:dyDescent="0.3">
      <c r="A145">
        <v>144</v>
      </c>
      <c r="B145" t="s">
        <v>336</v>
      </c>
    </row>
    <row r="146" spans="1:2" x14ac:dyDescent="0.3">
      <c r="A146">
        <v>145</v>
      </c>
      <c r="B146" t="s">
        <v>343</v>
      </c>
    </row>
    <row r="147" spans="1:2" x14ac:dyDescent="0.3">
      <c r="A147">
        <v>146</v>
      </c>
      <c r="B147" t="s">
        <v>339</v>
      </c>
    </row>
    <row r="148" spans="1:2" x14ac:dyDescent="0.3">
      <c r="A148">
        <v>147</v>
      </c>
      <c r="B148" t="s">
        <v>341</v>
      </c>
    </row>
    <row r="149" spans="1:2" x14ac:dyDescent="0.3">
      <c r="A149">
        <v>148</v>
      </c>
      <c r="B149" t="s">
        <v>345</v>
      </c>
    </row>
    <row r="150" spans="1:2" x14ac:dyDescent="0.3">
      <c r="A150">
        <v>149</v>
      </c>
      <c r="B150" t="s">
        <v>348</v>
      </c>
    </row>
    <row r="151" spans="1:2" x14ac:dyDescent="0.3">
      <c r="A151">
        <v>150</v>
      </c>
      <c r="B151" t="s">
        <v>351</v>
      </c>
    </row>
    <row r="152" spans="1:2" x14ac:dyDescent="0.3">
      <c r="A152">
        <v>151</v>
      </c>
      <c r="B152" t="s">
        <v>353</v>
      </c>
    </row>
    <row r="153" spans="1:2" x14ac:dyDescent="0.3">
      <c r="A153">
        <v>152</v>
      </c>
      <c r="B153" t="s">
        <v>356</v>
      </c>
    </row>
    <row r="154" spans="1:2" x14ac:dyDescent="0.3">
      <c r="A154">
        <v>153</v>
      </c>
      <c r="B154" t="s">
        <v>359</v>
      </c>
    </row>
    <row r="155" spans="1:2" x14ac:dyDescent="0.3">
      <c r="A155">
        <v>154</v>
      </c>
      <c r="B155" t="s">
        <v>362</v>
      </c>
    </row>
    <row r="156" spans="1:2" x14ac:dyDescent="0.3">
      <c r="A156">
        <v>155</v>
      </c>
      <c r="B156" t="s">
        <v>364</v>
      </c>
    </row>
    <row r="157" spans="1:2" x14ac:dyDescent="0.3">
      <c r="A157">
        <v>156</v>
      </c>
      <c r="B157" t="s">
        <v>367</v>
      </c>
    </row>
    <row r="158" spans="1:2" x14ac:dyDescent="0.3">
      <c r="A158">
        <v>157</v>
      </c>
      <c r="B158" t="s">
        <v>383</v>
      </c>
    </row>
    <row r="159" spans="1:2" x14ac:dyDescent="0.3">
      <c r="A159">
        <v>158</v>
      </c>
      <c r="B159" t="s">
        <v>369</v>
      </c>
    </row>
    <row r="160" spans="1:2" x14ac:dyDescent="0.3">
      <c r="A160">
        <v>159</v>
      </c>
      <c r="B160" t="s">
        <v>371</v>
      </c>
    </row>
    <row r="161" spans="1:2" x14ac:dyDescent="0.3">
      <c r="A161">
        <v>160</v>
      </c>
      <c r="B161" t="s">
        <v>373</v>
      </c>
    </row>
    <row r="162" spans="1:2" x14ac:dyDescent="0.3">
      <c r="A162">
        <v>161</v>
      </c>
      <c r="B162" t="s">
        <v>375</v>
      </c>
    </row>
    <row r="163" spans="1:2" x14ac:dyDescent="0.3">
      <c r="A163">
        <v>162</v>
      </c>
      <c r="B163" t="s">
        <v>385</v>
      </c>
    </row>
    <row r="164" spans="1:2" x14ac:dyDescent="0.3">
      <c r="A164">
        <v>163</v>
      </c>
      <c r="B164" t="s">
        <v>381</v>
      </c>
    </row>
    <row r="165" spans="1:2" x14ac:dyDescent="0.3">
      <c r="A165">
        <v>164</v>
      </c>
      <c r="B165" t="s">
        <v>377</v>
      </c>
    </row>
    <row r="166" spans="1:2" x14ac:dyDescent="0.3">
      <c r="A166">
        <v>165</v>
      </c>
      <c r="B166" t="s">
        <v>379</v>
      </c>
    </row>
    <row r="167" spans="1:2" x14ac:dyDescent="0.3">
      <c r="A167">
        <v>166</v>
      </c>
      <c r="B167" t="s">
        <v>398</v>
      </c>
    </row>
    <row r="168" spans="1:2" x14ac:dyDescent="0.3">
      <c r="A168">
        <v>167</v>
      </c>
      <c r="B168" t="s">
        <v>387</v>
      </c>
    </row>
    <row r="169" spans="1:2" x14ac:dyDescent="0.3">
      <c r="A169">
        <v>168</v>
      </c>
      <c r="B169" t="s">
        <v>400</v>
      </c>
    </row>
    <row r="170" spans="1:2" x14ac:dyDescent="0.3">
      <c r="A170">
        <v>169</v>
      </c>
      <c r="B170" t="s">
        <v>402</v>
      </c>
    </row>
    <row r="171" spans="1:2" x14ac:dyDescent="0.3">
      <c r="A171">
        <v>170</v>
      </c>
      <c r="B171" t="s">
        <v>394</v>
      </c>
    </row>
    <row r="172" spans="1:2" x14ac:dyDescent="0.3">
      <c r="A172">
        <v>171</v>
      </c>
      <c r="B172" t="s">
        <v>390</v>
      </c>
    </row>
    <row r="173" spans="1:2" x14ac:dyDescent="0.3">
      <c r="A173">
        <v>172</v>
      </c>
      <c r="B173" t="s">
        <v>396</v>
      </c>
    </row>
    <row r="174" spans="1:2" x14ac:dyDescent="0.3">
      <c r="A174">
        <v>173</v>
      </c>
      <c r="B174" t="s">
        <v>392</v>
      </c>
    </row>
    <row r="175" spans="1:2" x14ac:dyDescent="0.3">
      <c r="A175">
        <v>174</v>
      </c>
      <c r="B175" t="s">
        <v>404</v>
      </c>
    </row>
    <row r="176" spans="1:2" x14ac:dyDescent="0.3">
      <c r="A176">
        <v>175</v>
      </c>
      <c r="B176" t="s">
        <v>407</v>
      </c>
    </row>
    <row r="177" spans="1:2" x14ac:dyDescent="0.3">
      <c r="A177">
        <v>176</v>
      </c>
      <c r="B177" t="s">
        <v>409</v>
      </c>
    </row>
    <row r="178" spans="1:2" x14ac:dyDescent="0.3">
      <c r="A178">
        <v>177</v>
      </c>
      <c r="B178" t="s">
        <v>412</v>
      </c>
    </row>
    <row r="179" spans="1:2" x14ac:dyDescent="0.3">
      <c r="A179">
        <v>178</v>
      </c>
      <c r="B179" t="s">
        <v>415</v>
      </c>
    </row>
    <row r="180" spans="1:2" x14ac:dyDescent="0.3">
      <c r="A180">
        <v>179</v>
      </c>
      <c r="B180" t="s">
        <v>417</v>
      </c>
    </row>
    <row r="181" spans="1:2" x14ac:dyDescent="0.3">
      <c r="A181">
        <v>180</v>
      </c>
      <c r="B181" t="s">
        <v>419</v>
      </c>
    </row>
    <row r="182" spans="1:2" x14ac:dyDescent="0.3">
      <c r="A182">
        <v>181</v>
      </c>
      <c r="B182" t="s">
        <v>421</v>
      </c>
    </row>
    <row r="183" spans="1:2" x14ac:dyDescent="0.3">
      <c r="A183">
        <v>182</v>
      </c>
      <c r="B183" t="s">
        <v>423</v>
      </c>
    </row>
    <row r="184" spans="1:2" x14ac:dyDescent="0.3">
      <c r="A184">
        <v>183</v>
      </c>
      <c r="B184" t="s">
        <v>425</v>
      </c>
    </row>
    <row r="185" spans="1:2" x14ac:dyDescent="0.3">
      <c r="A185">
        <v>184</v>
      </c>
      <c r="B185" t="s">
        <v>427</v>
      </c>
    </row>
    <row r="186" spans="1:2" x14ac:dyDescent="0.3">
      <c r="A186">
        <v>185</v>
      </c>
      <c r="B186" t="s">
        <v>429</v>
      </c>
    </row>
    <row r="187" spans="1:2" x14ac:dyDescent="0.3">
      <c r="A187">
        <v>186</v>
      </c>
      <c r="B187" t="s">
        <v>431</v>
      </c>
    </row>
    <row r="188" spans="1:2" x14ac:dyDescent="0.3">
      <c r="A188">
        <v>187</v>
      </c>
      <c r="B188" t="s">
        <v>463</v>
      </c>
    </row>
    <row r="189" spans="1:2" x14ac:dyDescent="0.3">
      <c r="A189">
        <v>188</v>
      </c>
      <c r="B189" t="s">
        <v>433</v>
      </c>
    </row>
    <row r="190" spans="1:2" x14ac:dyDescent="0.3">
      <c r="A190">
        <v>189</v>
      </c>
      <c r="B190" t="s">
        <v>461</v>
      </c>
    </row>
    <row r="191" spans="1:2" x14ac:dyDescent="0.3">
      <c r="A191">
        <v>190</v>
      </c>
      <c r="B191" t="s">
        <v>435</v>
      </c>
    </row>
    <row r="192" spans="1:2" x14ac:dyDescent="0.3">
      <c r="A192">
        <v>191</v>
      </c>
      <c r="B192" t="s">
        <v>437</v>
      </c>
    </row>
    <row r="193" spans="1:2" x14ac:dyDescent="0.3">
      <c r="A193">
        <v>192</v>
      </c>
      <c r="B193" t="s">
        <v>439</v>
      </c>
    </row>
    <row r="194" spans="1:2" x14ac:dyDescent="0.3">
      <c r="A194">
        <v>193</v>
      </c>
      <c r="B194" t="s">
        <v>441</v>
      </c>
    </row>
    <row r="195" spans="1:2" x14ac:dyDescent="0.3">
      <c r="A195">
        <v>194</v>
      </c>
      <c r="B195" t="s">
        <v>443</v>
      </c>
    </row>
    <row r="196" spans="1:2" x14ac:dyDescent="0.3">
      <c r="A196">
        <v>195</v>
      </c>
      <c r="B196" t="s">
        <v>445</v>
      </c>
    </row>
    <row r="197" spans="1:2" x14ac:dyDescent="0.3">
      <c r="A197">
        <v>196</v>
      </c>
      <c r="B197" t="s">
        <v>447</v>
      </c>
    </row>
    <row r="198" spans="1:2" x14ac:dyDescent="0.3">
      <c r="A198">
        <v>197</v>
      </c>
      <c r="B198" t="s">
        <v>449</v>
      </c>
    </row>
    <row r="199" spans="1:2" x14ac:dyDescent="0.3">
      <c r="A199">
        <v>198</v>
      </c>
      <c r="B199" t="s">
        <v>451</v>
      </c>
    </row>
    <row r="200" spans="1:2" x14ac:dyDescent="0.3">
      <c r="A200">
        <v>199</v>
      </c>
      <c r="B200" t="s">
        <v>453</v>
      </c>
    </row>
    <row r="201" spans="1:2" x14ac:dyDescent="0.3">
      <c r="A201">
        <v>200</v>
      </c>
      <c r="B201" t="s">
        <v>459</v>
      </c>
    </row>
    <row r="202" spans="1:2" x14ac:dyDescent="0.3">
      <c r="A202">
        <v>201</v>
      </c>
      <c r="B202" t="s">
        <v>455</v>
      </c>
    </row>
    <row r="203" spans="1:2" x14ac:dyDescent="0.3">
      <c r="A203">
        <v>202</v>
      </c>
      <c r="B203" t="s">
        <v>457</v>
      </c>
    </row>
    <row r="204" spans="1:2" x14ac:dyDescent="0.3">
      <c r="A204">
        <v>203</v>
      </c>
      <c r="B204" t="s">
        <v>465</v>
      </c>
    </row>
    <row r="205" spans="1:2" x14ac:dyDescent="0.3">
      <c r="A205">
        <v>204</v>
      </c>
      <c r="B205" t="s">
        <v>471</v>
      </c>
    </row>
    <row r="206" spans="1:2" x14ac:dyDescent="0.3">
      <c r="A206">
        <v>205</v>
      </c>
      <c r="B206" t="s">
        <v>475</v>
      </c>
    </row>
    <row r="207" spans="1:2" x14ac:dyDescent="0.3">
      <c r="A207">
        <v>206</v>
      </c>
      <c r="B207" t="s">
        <v>468</v>
      </c>
    </row>
    <row r="208" spans="1:2" x14ac:dyDescent="0.3">
      <c r="A208">
        <v>207</v>
      </c>
      <c r="B208" t="s">
        <v>473</v>
      </c>
    </row>
    <row r="209" spans="1:2" x14ac:dyDescent="0.3">
      <c r="A209">
        <v>208</v>
      </c>
      <c r="B209" t="s">
        <v>477</v>
      </c>
    </row>
    <row r="210" spans="1:2" x14ac:dyDescent="0.3">
      <c r="A210">
        <v>209</v>
      </c>
      <c r="B210" t="s">
        <v>480</v>
      </c>
    </row>
    <row r="211" spans="1:2" x14ac:dyDescent="0.3">
      <c r="A211">
        <v>210</v>
      </c>
      <c r="B211" t="s">
        <v>483</v>
      </c>
    </row>
    <row r="212" spans="1:2" x14ac:dyDescent="0.3">
      <c r="A212">
        <v>211</v>
      </c>
      <c r="B212" t="s">
        <v>485</v>
      </c>
    </row>
    <row r="213" spans="1:2" x14ac:dyDescent="0.3">
      <c r="A213">
        <v>212</v>
      </c>
      <c r="B213" t="s">
        <v>488</v>
      </c>
    </row>
    <row r="214" spans="1:2" x14ac:dyDescent="0.3">
      <c r="A214">
        <v>213</v>
      </c>
      <c r="B214" t="s">
        <v>513</v>
      </c>
    </row>
    <row r="215" spans="1:2" x14ac:dyDescent="0.3">
      <c r="A215">
        <v>214</v>
      </c>
      <c r="B215" t="s">
        <v>509</v>
      </c>
    </row>
    <row r="216" spans="1:2" x14ac:dyDescent="0.3">
      <c r="A216">
        <v>215</v>
      </c>
      <c r="B216" t="s">
        <v>491</v>
      </c>
    </row>
    <row r="217" spans="1:2" x14ac:dyDescent="0.3">
      <c r="A217">
        <v>216</v>
      </c>
      <c r="B217" t="s">
        <v>515</v>
      </c>
    </row>
    <row r="218" spans="1:2" x14ac:dyDescent="0.3">
      <c r="A218">
        <v>217</v>
      </c>
      <c r="B218" t="s">
        <v>493</v>
      </c>
    </row>
    <row r="219" spans="1:2" x14ac:dyDescent="0.3">
      <c r="A219">
        <v>218</v>
      </c>
      <c r="B219" t="s">
        <v>517</v>
      </c>
    </row>
    <row r="220" spans="1:2" x14ac:dyDescent="0.3">
      <c r="A220">
        <v>219</v>
      </c>
      <c r="B220" t="s">
        <v>495</v>
      </c>
    </row>
    <row r="221" spans="1:2" x14ac:dyDescent="0.3">
      <c r="A221">
        <v>220</v>
      </c>
      <c r="B221" t="s">
        <v>511</v>
      </c>
    </row>
    <row r="222" spans="1:2" x14ac:dyDescent="0.3">
      <c r="A222">
        <v>221</v>
      </c>
      <c r="B222" t="s">
        <v>497</v>
      </c>
    </row>
    <row r="223" spans="1:2" x14ac:dyDescent="0.3">
      <c r="A223">
        <v>222</v>
      </c>
      <c r="B223" t="s">
        <v>499</v>
      </c>
    </row>
    <row r="224" spans="1:2" x14ac:dyDescent="0.3">
      <c r="A224">
        <v>223</v>
      </c>
      <c r="B224" t="s">
        <v>501</v>
      </c>
    </row>
    <row r="225" spans="1:2" x14ac:dyDescent="0.3">
      <c r="A225">
        <v>224</v>
      </c>
      <c r="B225" t="s">
        <v>503</v>
      </c>
    </row>
    <row r="226" spans="1:2" x14ac:dyDescent="0.3">
      <c r="A226">
        <v>225</v>
      </c>
      <c r="B226" t="s">
        <v>519</v>
      </c>
    </row>
    <row r="227" spans="1:2" x14ac:dyDescent="0.3">
      <c r="A227">
        <v>226</v>
      </c>
      <c r="B227" t="s">
        <v>505</v>
      </c>
    </row>
    <row r="228" spans="1:2" x14ac:dyDescent="0.3">
      <c r="A228">
        <v>227</v>
      </c>
      <c r="B228" t="s">
        <v>507</v>
      </c>
    </row>
    <row r="229" spans="1:2" x14ac:dyDescent="0.3">
      <c r="A229">
        <v>228</v>
      </c>
      <c r="B229" t="s">
        <v>521</v>
      </c>
    </row>
    <row r="230" spans="1:2" x14ac:dyDescent="0.3">
      <c r="A230">
        <v>229</v>
      </c>
      <c r="B230" t="s">
        <v>524</v>
      </c>
    </row>
    <row r="231" spans="1:2" x14ac:dyDescent="0.3">
      <c r="A231">
        <v>230</v>
      </c>
      <c r="B231" t="s">
        <v>526</v>
      </c>
    </row>
    <row r="232" spans="1:2" x14ac:dyDescent="0.3">
      <c r="A232">
        <v>231</v>
      </c>
      <c r="B232" t="s">
        <v>528</v>
      </c>
    </row>
    <row r="233" spans="1:2" x14ac:dyDescent="0.3">
      <c r="A233">
        <v>232</v>
      </c>
      <c r="B233" t="s">
        <v>530</v>
      </c>
    </row>
    <row r="234" spans="1:2" x14ac:dyDescent="0.3">
      <c r="A234">
        <v>233</v>
      </c>
      <c r="B234" t="s">
        <v>544</v>
      </c>
    </row>
    <row r="235" spans="1:2" x14ac:dyDescent="0.3">
      <c r="A235">
        <v>234</v>
      </c>
      <c r="B235" t="s">
        <v>546</v>
      </c>
    </row>
    <row r="236" spans="1:2" x14ac:dyDescent="0.3">
      <c r="A236">
        <v>235</v>
      </c>
      <c r="B236" t="s">
        <v>532</v>
      </c>
    </row>
    <row r="237" spans="1:2" x14ac:dyDescent="0.3">
      <c r="A237">
        <v>236</v>
      </c>
      <c r="B237" t="s">
        <v>548</v>
      </c>
    </row>
    <row r="238" spans="1:2" x14ac:dyDescent="0.3">
      <c r="A238">
        <v>237</v>
      </c>
      <c r="B238" t="s">
        <v>534</v>
      </c>
    </row>
    <row r="239" spans="1:2" x14ac:dyDescent="0.3">
      <c r="A239">
        <v>238</v>
      </c>
      <c r="B239" t="s">
        <v>550</v>
      </c>
    </row>
    <row r="240" spans="1:2" x14ac:dyDescent="0.3">
      <c r="A240">
        <v>239</v>
      </c>
      <c r="B240" t="s">
        <v>536</v>
      </c>
    </row>
    <row r="241" spans="1:2" x14ac:dyDescent="0.3">
      <c r="A241">
        <v>240</v>
      </c>
      <c r="B241" t="s">
        <v>538</v>
      </c>
    </row>
    <row r="242" spans="1:2" x14ac:dyDescent="0.3">
      <c r="A242">
        <v>241</v>
      </c>
      <c r="B242" t="s">
        <v>540</v>
      </c>
    </row>
    <row r="243" spans="1:2" x14ac:dyDescent="0.3">
      <c r="A243">
        <v>242</v>
      </c>
      <c r="B243" t="s">
        <v>542</v>
      </c>
    </row>
    <row r="244" spans="1:2" x14ac:dyDescent="0.3">
      <c r="A244">
        <v>243</v>
      </c>
      <c r="B244" t="s">
        <v>552</v>
      </c>
    </row>
    <row r="245" spans="1:2" x14ac:dyDescent="0.3">
      <c r="A245">
        <v>244</v>
      </c>
      <c r="B245" t="s">
        <v>554</v>
      </c>
    </row>
    <row r="246" spans="1:2" x14ac:dyDescent="0.3">
      <c r="A246">
        <v>245</v>
      </c>
      <c r="B246" t="s">
        <v>557</v>
      </c>
    </row>
    <row r="247" spans="1:2" x14ac:dyDescent="0.3">
      <c r="A247">
        <v>246</v>
      </c>
      <c r="B247" t="s">
        <v>564</v>
      </c>
    </row>
    <row r="248" spans="1:2" x14ac:dyDescent="0.3">
      <c r="A248">
        <v>247</v>
      </c>
      <c r="B248" t="s">
        <v>566</v>
      </c>
    </row>
    <row r="249" spans="1:2" x14ac:dyDescent="0.3">
      <c r="A249">
        <v>248</v>
      </c>
      <c r="B249" t="s">
        <v>559</v>
      </c>
    </row>
    <row r="250" spans="1:2" x14ac:dyDescent="0.3">
      <c r="A250">
        <v>249</v>
      </c>
      <c r="B250" t="s">
        <v>562</v>
      </c>
    </row>
    <row r="251" spans="1:2" x14ac:dyDescent="0.3">
      <c r="A251">
        <v>250</v>
      </c>
      <c r="B251" t="s">
        <v>568</v>
      </c>
    </row>
    <row r="252" spans="1:2" x14ac:dyDescent="0.3">
      <c r="A252">
        <v>251</v>
      </c>
      <c r="B252" t="s">
        <v>570</v>
      </c>
    </row>
    <row r="253" spans="1:2" x14ac:dyDescent="0.3">
      <c r="A253">
        <v>252</v>
      </c>
      <c r="B253" t="s">
        <v>577</v>
      </c>
    </row>
    <row r="254" spans="1:2" x14ac:dyDescent="0.3">
      <c r="A254">
        <v>253</v>
      </c>
      <c r="B254" t="s">
        <v>579</v>
      </c>
    </row>
    <row r="255" spans="1:2" x14ac:dyDescent="0.3">
      <c r="A255">
        <v>254</v>
      </c>
      <c r="B255" t="s">
        <v>573</v>
      </c>
    </row>
    <row r="256" spans="1:2" x14ac:dyDescent="0.3">
      <c r="A256">
        <v>255</v>
      </c>
      <c r="B256" t="s">
        <v>575</v>
      </c>
    </row>
    <row r="257" spans="1:2" x14ac:dyDescent="0.3">
      <c r="A257">
        <v>256</v>
      </c>
      <c r="B257" t="s">
        <v>605</v>
      </c>
    </row>
    <row r="258" spans="1:2" x14ac:dyDescent="0.3">
      <c r="A258">
        <v>257</v>
      </c>
      <c r="B258" t="s">
        <v>607</v>
      </c>
    </row>
    <row r="259" spans="1:2" x14ac:dyDescent="0.3">
      <c r="A259">
        <v>258</v>
      </c>
      <c r="B259" t="s">
        <v>598</v>
      </c>
    </row>
    <row r="260" spans="1:2" x14ac:dyDescent="0.3">
      <c r="A260">
        <v>259</v>
      </c>
      <c r="B260" t="s">
        <v>601</v>
      </c>
    </row>
    <row r="261" spans="1:2" x14ac:dyDescent="0.3">
      <c r="A261">
        <v>260</v>
      </c>
      <c r="B261" t="s">
        <v>603</v>
      </c>
    </row>
    <row r="262" spans="1:2" x14ac:dyDescent="0.3">
      <c r="A262">
        <v>261</v>
      </c>
      <c r="B262" t="s">
        <v>622</v>
      </c>
    </row>
    <row r="263" spans="1:2" x14ac:dyDescent="0.3">
      <c r="A263">
        <v>262</v>
      </c>
      <c r="B263" t="s">
        <v>624</v>
      </c>
    </row>
    <row r="264" spans="1:2" x14ac:dyDescent="0.3">
      <c r="A264">
        <v>263</v>
      </c>
      <c r="B264" t="s">
        <v>609</v>
      </c>
    </row>
    <row r="265" spans="1:2" x14ac:dyDescent="0.3">
      <c r="A265">
        <v>264</v>
      </c>
      <c r="B265" t="s">
        <v>612</v>
      </c>
    </row>
    <row r="266" spans="1:2" x14ac:dyDescent="0.3">
      <c r="A266">
        <v>265</v>
      </c>
      <c r="B266" t="s">
        <v>614</v>
      </c>
    </row>
    <row r="267" spans="1:2" x14ac:dyDescent="0.3">
      <c r="A267">
        <v>266</v>
      </c>
      <c r="B267" t="s">
        <v>616</v>
      </c>
    </row>
    <row r="268" spans="1:2" x14ac:dyDescent="0.3">
      <c r="A268">
        <v>267</v>
      </c>
      <c r="B268" t="s">
        <v>626</v>
      </c>
    </row>
    <row r="269" spans="1:2" x14ac:dyDescent="0.3">
      <c r="A269">
        <v>268</v>
      </c>
      <c r="B269" t="s">
        <v>618</v>
      </c>
    </row>
    <row r="270" spans="1:2" x14ac:dyDescent="0.3">
      <c r="A270">
        <v>269</v>
      </c>
      <c r="B270" t="s">
        <v>620</v>
      </c>
    </row>
    <row r="271" spans="1:2" x14ac:dyDescent="0.3">
      <c r="A271">
        <v>270</v>
      </c>
      <c r="B271" t="s">
        <v>647</v>
      </c>
    </row>
    <row r="272" spans="1:2" x14ac:dyDescent="0.3">
      <c r="A272">
        <v>271</v>
      </c>
      <c r="B272" t="s">
        <v>628</v>
      </c>
    </row>
    <row r="273" spans="1:2" x14ac:dyDescent="0.3">
      <c r="A273">
        <v>272</v>
      </c>
      <c r="B273" t="s">
        <v>631</v>
      </c>
    </row>
    <row r="274" spans="1:2" x14ac:dyDescent="0.3">
      <c r="A274">
        <v>273</v>
      </c>
      <c r="B274" t="s">
        <v>649</v>
      </c>
    </row>
    <row r="275" spans="1:2" x14ac:dyDescent="0.3">
      <c r="A275">
        <v>274</v>
      </c>
      <c r="B275" t="s">
        <v>651</v>
      </c>
    </row>
    <row r="276" spans="1:2" x14ac:dyDescent="0.3">
      <c r="A276">
        <v>275</v>
      </c>
      <c r="B276" t="s">
        <v>633</v>
      </c>
    </row>
    <row r="277" spans="1:2" x14ac:dyDescent="0.3">
      <c r="A277">
        <v>276</v>
      </c>
      <c r="B277" t="s">
        <v>635</v>
      </c>
    </row>
    <row r="278" spans="1:2" x14ac:dyDescent="0.3">
      <c r="A278">
        <v>277</v>
      </c>
      <c r="B278" t="s">
        <v>653</v>
      </c>
    </row>
    <row r="279" spans="1:2" x14ac:dyDescent="0.3">
      <c r="A279">
        <v>278</v>
      </c>
      <c r="B279" t="s">
        <v>655</v>
      </c>
    </row>
    <row r="280" spans="1:2" x14ac:dyDescent="0.3">
      <c r="A280">
        <v>279</v>
      </c>
      <c r="B280" t="s">
        <v>637</v>
      </c>
    </row>
    <row r="281" spans="1:2" x14ac:dyDescent="0.3">
      <c r="A281">
        <v>280</v>
      </c>
      <c r="B281" t="s">
        <v>639</v>
      </c>
    </row>
    <row r="282" spans="1:2" x14ac:dyDescent="0.3">
      <c r="A282">
        <v>281</v>
      </c>
      <c r="B282" t="s">
        <v>641</v>
      </c>
    </row>
    <row r="283" spans="1:2" x14ac:dyDescent="0.3">
      <c r="A283">
        <v>282</v>
      </c>
      <c r="B283" t="s">
        <v>643</v>
      </c>
    </row>
    <row r="284" spans="1:2" x14ac:dyDescent="0.3">
      <c r="A284">
        <v>283</v>
      </c>
      <c r="B284" t="s">
        <v>645</v>
      </c>
    </row>
    <row r="285" spans="1:2" x14ac:dyDescent="0.3">
      <c r="A285">
        <v>284</v>
      </c>
      <c r="B285" t="s">
        <v>664</v>
      </c>
    </row>
    <row r="286" spans="1:2" x14ac:dyDescent="0.3">
      <c r="A286">
        <v>285</v>
      </c>
      <c r="B286" t="s">
        <v>662</v>
      </c>
    </row>
    <row r="287" spans="1:2" x14ac:dyDescent="0.3">
      <c r="A287">
        <v>286</v>
      </c>
      <c r="B287" t="s">
        <v>657</v>
      </c>
    </row>
    <row r="288" spans="1:2" x14ac:dyDescent="0.3">
      <c r="A288">
        <v>287</v>
      </c>
      <c r="B288" t="s">
        <v>660</v>
      </c>
    </row>
    <row r="289" spans="1:2" x14ac:dyDescent="0.3">
      <c r="A289">
        <v>288</v>
      </c>
      <c r="B289" t="s">
        <v>683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A22E8-2037-46DD-AADD-FCC3A1808D44}">
  <sheetPr codeName="Planilha3"/>
  <dimension ref="A2:U25"/>
  <sheetViews>
    <sheetView workbookViewId="0">
      <selection activeCell="I11" sqref="I11"/>
    </sheetView>
  </sheetViews>
  <sheetFormatPr defaultRowHeight="14.4" x14ac:dyDescent="0.3"/>
  <cols>
    <col min="1" max="1" width="12.88671875" bestFit="1" customWidth="1"/>
    <col min="2" max="2" width="19.33203125" bestFit="1" customWidth="1"/>
    <col min="5" max="5" width="41.44140625" bestFit="1" customWidth="1"/>
    <col min="7" max="7" width="13.33203125" bestFit="1" customWidth="1"/>
    <col min="8" max="8" width="18.6640625" bestFit="1" customWidth="1"/>
    <col min="9" max="9" width="22.77734375" bestFit="1" customWidth="1"/>
    <col min="10" max="10" width="11.77734375" bestFit="1" customWidth="1"/>
    <col min="11" max="11" width="14.5546875" bestFit="1" customWidth="1"/>
    <col min="12" max="12" width="21.109375" bestFit="1" customWidth="1"/>
    <col min="13" max="13" width="24" bestFit="1" customWidth="1"/>
    <col min="14" max="14" width="30.33203125" bestFit="1" customWidth="1"/>
    <col min="15" max="15" width="16.5546875" bestFit="1" customWidth="1"/>
    <col min="16" max="16" width="14.21875" bestFit="1" customWidth="1"/>
    <col min="17" max="17" width="29.77734375" bestFit="1" customWidth="1"/>
    <col min="18" max="18" width="21" bestFit="1" customWidth="1"/>
    <col min="19" max="19" width="23.77734375" bestFit="1" customWidth="1"/>
    <col min="20" max="20" width="24.33203125" bestFit="1" customWidth="1"/>
  </cols>
  <sheetData>
    <row r="2" spans="1:21" x14ac:dyDescent="0.3">
      <c r="A2" t="s">
        <v>726</v>
      </c>
      <c r="B2" t="s">
        <v>752</v>
      </c>
      <c r="C2" t="s">
        <v>1</v>
      </c>
      <c r="D2" t="s">
        <v>760</v>
      </c>
      <c r="E2" t="s">
        <v>749</v>
      </c>
      <c r="F2" t="s">
        <v>748</v>
      </c>
      <c r="G2" t="s">
        <v>729</v>
      </c>
      <c r="H2" t="s">
        <v>730</v>
      </c>
      <c r="I2" t="s">
        <v>731</v>
      </c>
      <c r="J2" t="s">
        <v>750</v>
      </c>
      <c r="K2" t="s">
        <v>751</v>
      </c>
      <c r="L2" t="s">
        <v>757</v>
      </c>
      <c r="M2" t="s">
        <v>758</v>
      </c>
      <c r="N2" t="s">
        <v>755</v>
      </c>
      <c r="O2" t="s">
        <v>756</v>
      </c>
      <c r="P2" t="s">
        <v>759</v>
      </c>
      <c r="Q2" t="s">
        <v>754</v>
      </c>
      <c r="R2" t="s">
        <v>762</v>
      </c>
      <c r="S2" t="s">
        <v>761</v>
      </c>
      <c r="T2" t="s">
        <v>763</v>
      </c>
      <c r="U2" t="s">
        <v>764</v>
      </c>
    </row>
    <row r="3" spans="1:21" x14ac:dyDescent="0.3">
      <c r="A3" t="str">
        <f>_xlfn.CONCAT(C3,"Realizado")</f>
        <v>VIVRRealizado</v>
      </c>
      <c r="B3" t="str">
        <f>_xlfn.CONCAT(C3,"Previsão",PROPER(TEXT(DATE(YEAR(F3)+1,MONTH(F3),1),"mmm-aaaa")))</f>
        <v>VIVRPrevisãoSet-2023</v>
      </c>
      <c r="C3" t="str">
        <f>VLOOKUP(U3,Planilha4!$A$2:$B$329,2,FALSE)</f>
        <v>VIVR</v>
      </c>
      <c r="D3" t="str">
        <f>VLOOKUP($A3,Base_Unica!$A$2:$V$1048576,3,FALSE)</f>
        <v>VIVER INCORPORADORA E CONSTRUTORA S.A.</v>
      </c>
      <c r="E3" t="str">
        <f>VLOOKUP($A3,Base_Unica!$A$2:$V$1048576,5,FALSE)</f>
        <v>Construção Civil, Mat. Constr. e Decoração</v>
      </c>
      <c r="F3" t="str">
        <f>PROPER(TEXT(VLOOKUP($A3,Base_Unica!$A$2:$V$1048576,11,FALSE),"mmm-aaaa"))</f>
        <v>Set-2022</v>
      </c>
      <c r="G3" t="str">
        <f>VLOOKUP($A3,Base_Unica!$A$2:$V$1048576,8,FALSE)</f>
        <v>Kmeans</v>
      </c>
      <c r="H3" t="str">
        <f>VLOOKUP($A3,Base_Unica!$A$2:$V$1048576,9,FALSE)</f>
        <v>Receita</v>
      </c>
      <c r="I3" t="str">
        <f>VLOOKUP($A3,Base_Unica!$A$2:$V$1048576,10,FALSE)</f>
        <v>Ruim</v>
      </c>
      <c r="J3">
        <f>VLOOKUP($A3,Base_Unica!$A$2:$V$1048576,22,FALSE)</f>
        <v>11181</v>
      </c>
      <c r="K3">
        <f>VLOOKUP($B3,Base_Unica!$B$2:$V$1048576,21,FALSE)</f>
        <v>20812.640342389201</v>
      </c>
      <c r="L3">
        <f>VLOOKUP($A3,Base_Unica!$A$2:$V$1048576,21,FALSE)</f>
        <v>-174609</v>
      </c>
      <c r="M3">
        <f>VLOOKUP($B3,Base_Unica!$B$2:$V$1048576,20,FALSE)</f>
        <v>-109230.27100880499</v>
      </c>
      <c r="N3">
        <f>VLOOKUP($A3,Base_Unica!$A$2:$V$1048576,12,FALSE)</f>
        <v>1249</v>
      </c>
      <c r="O3">
        <f>VLOOKUP($B3,Base_Unica!$B$2:$V$1048576,11,FALSE)</f>
        <v>-333.97971269457003</v>
      </c>
      <c r="P3" s="6">
        <f>O3/M3</f>
        <v>3.0575746961906567E-3</v>
      </c>
      <c r="Q3" s="6">
        <f>(K3/J3)-1</f>
        <v>0.86142924088983097</v>
      </c>
      <c r="R3">
        <f>VLOOKUP($A3,Base_Unica!$A$2:$V$1048576,18,FALSE)</f>
        <v>7546</v>
      </c>
      <c r="S3">
        <f>VLOOKUP($B3,Base_Unica!$B$2:$V$1048576,17,FALSE)</f>
        <v>21641.272289536901</v>
      </c>
      <c r="T3" t="str">
        <f>IF(IFERROR((S3/R3)-1,0)&lt;0,"Diminuir",IF(IFERROR((S3/R3)-1,0)&gt;0,"Aumentar","Sem dados"))</f>
        <v>Aumentar</v>
      </c>
      <c r="U3">
        <v>96</v>
      </c>
    </row>
    <row r="4" spans="1:21" x14ac:dyDescent="0.3">
      <c r="A4" t="str">
        <f t="shared" ref="A4:A11" si="0">_xlfn.CONCAT(C4,"Realizado")</f>
        <v>ANIMRealizado</v>
      </c>
      <c r="B4" t="str">
        <f t="shared" ref="B4:B11" si="1">_xlfn.CONCAT(C4,"Previsão",PROPER(TEXT(DATE(YEAR(F4)+1,MONTH(F4),1),"mmm-aaaa")))</f>
        <v>ANIMPrevisãoSet-2023</v>
      </c>
      <c r="C4" t="str">
        <f>VLOOKUP(U4,Planilha4!$A$2:$B$329,2,FALSE)</f>
        <v>ANIM</v>
      </c>
      <c r="D4" t="str">
        <f>VLOOKUP($A4,Base_Unica!$A$2:$V$1048576,3,FALSE)</f>
        <v>ANIMA HOLDING S.A.</v>
      </c>
      <c r="E4" t="str">
        <f>VLOOKUP($A4,Base_Unica!$A$2:$V$1048576,5,FALSE)</f>
        <v>Educação</v>
      </c>
      <c r="F4" t="str">
        <f>PROPER(TEXT(VLOOKUP($A4,Base_Unica!$A$2:$V$1048576,11,FALSE),"mmm-aaaa"))</f>
        <v>Set-2022</v>
      </c>
      <c r="G4" t="str">
        <f>VLOOKUP($A4,Base_Unica!$A$2:$V$1048576,8,FALSE)</f>
        <v>Kmeans</v>
      </c>
      <c r="H4" t="str">
        <f>VLOOKUP($A4,Base_Unica!$A$2:$V$1048576,9,FALSE)</f>
        <v>Nenhum</v>
      </c>
      <c r="I4" t="str">
        <f>VLOOKUP($A4,Base_Unica!$A$2:$V$1048576,10,FALSE)</f>
        <v>Médio</v>
      </c>
      <c r="J4">
        <f>VLOOKUP($A4,Base_Unica!$A$2:$V$1048576,22,FALSE)</f>
        <v>29661</v>
      </c>
      <c r="K4">
        <f>VLOOKUP($B4,Base_Unica!$B$2:$V$1048576,21,FALSE)</f>
        <v>14748.839668389601</v>
      </c>
      <c r="L4">
        <f>VLOOKUP($A4,Base_Unica!$A$2:$V$1048576,21,FALSE)</f>
        <v>2638055</v>
      </c>
      <c r="M4">
        <f>VLOOKUP($B4,Base_Unica!$B$2:$V$1048576,20,FALSE)</f>
        <v>4908559.6324773096</v>
      </c>
      <c r="N4">
        <f>VLOOKUP($A4,Base_Unica!$A$2:$V$1048576,12,FALSE)</f>
        <v>-46725</v>
      </c>
      <c r="O4">
        <f>VLOOKUP($B4,Base_Unica!$B$2:$V$1048576,11,FALSE)</f>
        <v>-111819.57628765301</v>
      </c>
      <c r="P4" s="6">
        <f t="shared" ref="P4:P11" si="2">O4/M4</f>
        <v>-2.2780527213686633E-2</v>
      </c>
      <c r="Q4" s="6">
        <f t="shared" ref="Q4:Q11" si="3">(K4/J4)-1</f>
        <v>-0.50275312132464856</v>
      </c>
      <c r="R4">
        <f>VLOOKUP($A4,Base_Unica!$A$2:$V$1048576,18,FALSE)</f>
        <v>31722</v>
      </c>
      <c r="S4">
        <f>VLOOKUP($B4,Base_Unica!$B$2:$V$1048576,17,FALSE)</f>
        <v>46380.358065051201</v>
      </c>
      <c r="T4" t="str">
        <f t="shared" ref="T4:T11" si="4">IF(IFERROR((S4/R4)-1,0)&lt;0,"Diminuir",IF(IFERROR((S4/R4)-1,0)&gt;0,"Aumentar","Sem dados"))</f>
        <v>Aumentar</v>
      </c>
      <c r="U4">
        <f>U3+1</f>
        <v>97</v>
      </c>
    </row>
    <row r="5" spans="1:21" x14ac:dyDescent="0.3">
      <c r="A5" t="str">
        <f t="shared" si="0"/>
        <v>CSEDRealizado</v>
      </c>
      <c r="B5" t="str">
        <f t="shared" si="1"/>
        <v>CSEDPrevisãoSet-2023</v>
      </c>
      <c r="C5" t="str">
        <f>VLOOKUP(U5,Planilha4!$A$2:$B$329,2,FALSE)</f>
        <v>CSED</v>
      </c>
      <c r="D5" t="str">
        <f>VLOOKUP($A5,Base_Unica!$A$2:$V$1048576,3,FALSE)</f>
        <v>CRUZEIRO DO SUL EDUCACIONAL S.A.</v>
      </c>
      <c r="E5" t="str">
        <f>VLOOKUP($A5,Base_Unica!$A$2:$V$1048576,5,FALSE)</f>
        <v>Educação</v>
      </c>
      <c r="F5" t="str">
        <f>PROPER(TEXT(VLOOKUP($A5,Base_Unica!$A$2:$V$1048576,11,FALSE),"mmm-aaaa"))</f>
        <v>Set-2022</v>
      </c>
      <c r="G5" t="str">
        <f>VLOOKUP($A5,Base_Unica!$A$2:$V$1048576,8,FALSE)</f>
        <v>Kmeans</v>
      </c>
      <c r="H5" t="str">
        <f>VLOOKUP($A5,Base_Unica!$A$2:$V$1048576,9,FALSE)</f>
        <v>Nenhum</v>
      </c>
      <c r="I5" t="str">
        <f>VLOOKUP($A5,Base_Unica!$A$2:$V$1048576,10,FALSE)</f>
        <v>Médio</v>
      </c>
      <c r="J5">
        <f>VLOOKUP($A5,Base_Unica!$A$2:$V$1048576,22,FALSE)</f>
        <v>118105</v>
      </c>
      <c r="K5">
        <f>VLOOKUP($B5,Base_Unica!$B$2:$V$1048576,21,FALSE)</f>
        <v>110654.294372296</v>
      </c>
      <c r="L5">
        <f>VLOOKUP($A5,Base_Unica!$A$2:$V$1048576,21,FALSE)</f>
        <v>1439340</v>
      </c>
      <c r="M5">
        <f>VLOOKUP($B5,Base_Unica!$B$2:$V$1048576,20,FALSE)</f>
        <v>-1817553.5757575999</v>
      </c>
      <c r="N5">
        <f>VLOOKUP($A5,Base_Unica!$A$2:$V$1048576,12,FALSE)</f>
        <v>3818</v>
      </c>
      <c r="O5">
        <f>VLOOKUP($B5,Base_Unica!$B$2:$V$1048576,11,FALSE)</f>
        <v>-112772.01298701399</v>
      </c>
      <c r="P5" s="6">
        <f t="shared" si="2"/>
        <v>6.204604611999287E-2</v>
      </c>
      <c r="Q5" s="6">
        <f t="shared" si="3"/>
        <v>-6.3085437768968244E-2</v>
      </c>
      <c r="R5">
        <f>VLOOKUP($A5,Base_Unica!$A$2:$V$1048576,18,FALSE)</f>
        <v>59380</v>
      </c>
      <c r="S5">
        <f>VLOOKUP($B5,Base_Unica!$B$2:$V$1048576,17,FALSE)</f>
        <v>153986.51948051699</v>
      </c>
      <c r="T5" t="str">
        <f t="shared" si="4"/>
        <v>Aumentar</v>
      </c>
      <c r="U5">
        <f t="shared" ref="U5:U11" si="5">U4+1</f>
        <v>98</v>
      </c>
    </row>
    <row r="6" spans="1:21" x14ac:dyDescent="0.3">
      <c r="A6" t="str">
        <f t="shared" si="0"/>
        <v>SEERRealizado</v>
      </c>
      <c r="B6" t="str">
        <f t="shared" si="1"/>
        <v>SEERPrevisãoSet-2023</v>
      </c>
      <c r="C6" t="str">
        <f>VLOOKUP(U6,Planilha4!$A$2:$B$329,2,FALSE)</f>
        <v>SEER</v>
      </c>
      <c r="D6" t="str">
        <f>VLOOKUP($A6,Base_Unica!$A$2:$V$1048576,3,FALSE)</f>
        <v>SER EDUCACIONAL S.A.</v>
      </c>
      <c r="E6" t="str">
        <f>VLOOKUP($A6,Base_Unica!$A$2:$V$1048576,5,FALSE)</f>
        <v>Educação</v>
      </c>
      <c r="F6" t="str">
        <f>PROPER(TEXT(VLOOKUP($A6,Base_Unica!$A$2:$V$1048576,11,FALSE),"mmm-aaaa"))</f>
        <v>Set-2022</v>
      </c>
      <c r="G6" t="str">
        <f>VLOOKUP($A6,Base_Unica!$A$2:$V$1048576,8,FALSE)</f>
        <v>Kmeans</v>
      </c>
      <c r="H6" t="str">
        <f>VLOOKUP($A6,Base_Unica!$A$2:$V$1048576,9,FALSE)</f>
        <v>Nenhum</v>
      </c>
      <c r="I6" t="str">
        <f>VLOOKUP($A6,Base_Unica!$A$2:$V$1048576,10,FALSE)</f>
        <v>Médio</v>
      </c>
      <c r="J6">
        <f>VLOOKUP($A6,Base_Unica!$A$2:$V$1048576,22,FALSE)</f>
        <v>153095</v>
      </c>
      <c r="K6">
        <f>VLOOKUP($B6,Base_Unica!$B$2:$V$1048576,21,FALSE)</f>
        <v>208081.666958844</v>
      </c>
      <c r="L6">
        <f>VLOOKUP($A6,Base_Unica!$A$2:$V$1048576,21,FALSE)</f>
        <v>1363922</v>
      </c>
      <c r="M6">
        <f>VLOOKUP($B6,Base_Unica!$B$2:$V$1048576,20,FALSE)</f>
        <v>1100900.79723167</v>
      </c>
      <c r="N6">
        <f>VLOOKUP($A6,Base_Unica!$A$2:$V$1048576,12,FALSE)</f>
        <v>-39345</v>
      </c>
      <c r="O6">
        <f>VLOOKUP($B6,Base_Unica!$B$2:$V$1048576,11,FALSE)</f>
        <v>-95606.874594176596</v>
      </c>
      <c r="P6" s="6">
        <f t="shared" si="2"/>
        <v>-8.6844223234818302E-2</v>
      </c>
      <c r="Q6" s="6">
        <f t="shared" si="3"/>
        <v>0.35916696795351899</v>
      </c>
      <c r="R6">
        <f>VLOOKUP($A6,Base_Unica!$A$2:$V$1048576,18,FALSE)</f>
        <v>60411</v>
      </c>
      <c r="S6">
        <f>VLOOKUP($B6,Base_Unica!$B$2:$V$1048576,17,FALSE)</f>
        <v>78240.724523313693</v>
      </c>
      <c r="T6" t="str">
        <f t="shared" si="4"/>
        <v>Aumentar</v>
      </c>
      <c r="U6">
        <f t="shared" si="5"/>
        <v>99</v>
      </c>
    </row>
    <row r="7" spans="1:21" x14ac:dyDescent="0.3">
      <c r="A7" t="str">
        <f t="shared" si="0"/>
        <v>BRFSRealizado</v>
      </c>
      <c r="B7" t="str">
        <f t="shared" si="1"/>
        <v>BRFSPrevisãoSet-2023</v>
      </c>
      <c r="C7" t="str">
        <f>VLOOKUP(U7,Planilha4!$A$2:$B$329,2,FALSE)</f>
        <v>BRFS</v>
      </c>
      <c r="D7" t="str">
        <f>VLOOKUP($A7,Base_Unica!$A$2:$V$1048576,3,FALSE)</f>
        <v>BRF S.A.</v>
      </c>
      <c r="E7" t="str">
        <f>VLOOKUP($A7,Base_Unica!$A$2:$V$1048576,5,FALSE)</f>
        <v>Emp. Adm. Part. - Alimentos</v>
      </c>
      <c r="F7" t="str">
        <f>PROPER(TEXT(VLOOKUP($A7,Base_Unica!$A$2:$V$1048576,11,FALSE),"mmm-aaaa"))</f>
        <v>Set-2022</v>
      </c>
      <c r="G7" t="str">
        <f>VLOOKUP($A7,Base_Unica!$A$2:$V$1048576,8,FALSE)</f>
        <v>Kmeans</v>
      </c>
      <c r="H7" t="str">
        <f>VLOOKUP($A7,Base_Unica!$A$2:$V$1048576,9,FALSE)</f>
        <v>Patrimônio Líquido</v>
      </c>
      <c r="I7" t="str">
        <f>VLOOKUP($A7,Base_Unica!$A$2:$V$1048576,10,FALSE)</f>
        <v>Ruim</v>
      </c>
      <c r="J7">
        <f>VLOOKUP($A7,Base_Unica!$A$2:$V$1048576,22,FALSE)</f>
        <v>12150323</v>
      </c>
      <c r="K7">
        <f>VLOOKUP($B7,Base_Unica!$B$2:$V$1048576,21,FALSE)</f>
        <v>18142232.2924929</v>
      </c>
      <c r="L7">
        <f>VLOOKUP($A7,Base_Unica!$A$2:$V$1048576,21,FALSE)</f>
        <v>12000440</v>
      </c>
      <c r="M7">
        <f>VLOOKUP($B7,Base_Unica!$B$2:$V$1048576,20,FALSE)</f>
        <v>18867409.236967601</v>
      </c>
      <c r="N7">
        <f>VLOOKUP($A7,Base_Unica!$A$2:$V$1048576,12,FALSE)</f>
        <v>-122570</v>
      </c>
      <c r="O7">
        <f>VLOOKUP($B7,Base_Unica!$B$2:$V$1048576,11,FALSE)</f>
        <v>-329640.76445153798</v>
      </c>
      <c r="P7" s="6">
        <f t="shared" si="2"/>
        <v>-1.7471437668594204E-2</v>
      </c>
      <c r="Q7" s="6">
        <f t="shared" si="3"/>
        <v>0.49314814861241962</v>
      </c>
      <c r="R7">
        <f>VLOOKUP($A7,Base_Unica!$A$2:$V$1048576,18,FALSE)</f>
        <v>281335</v>
      </c>
      <c r="S7">
        <f>VLOOKUP($B7,Base_Unica!$B$2:$V$1048576,17,FALSE)</f>
        <v>276306.69874903699</v>
      </c>
      <c r="T7" t="str">
        <f t="shared" si="4"/>
        <v>Diminuir</v>
      </c>
      <c r="U7">
        <f t="shared" si="5"/>
        <v>100</v>
      </c>
    </row>
    <row r="8" spans="1:21" x14ac:dyDescent="0.3">
      <c r="A8" t="str">
        <f t="shared" si="0"/>
        <v>JOPARealizado</v>
      </c>
      <c r="B8" t="str">
        <f t="shared" si="1"/>
        <v>JOPAPrevisãoSet-2023</v>
      </c>
      <c r="C8" t="str">
        <f>VLOOKUP(U8,Planilha4!$A$2:$B$329,2,FALSE)</f>
        <v>JOPA</v>
      </c>
      <c r="D8" t="str">
        <f>VLOOKUP($A8,Base_Unica!$A$2:$V$1048576,3,FALSE)</f>
        <v>JOSAPAR-JOAQUIM OLIVEIRA S.A. - PARTICIP</v>
      </c>
      <c r="E8" t="str">
        <f>VLOOKUP($A8,Base_Unica!$A$2:$V$1048576,5,FALSE)</f>
        <v>Emp. Adm. Part. - Alimentos</v>
      </c>
      <c r="F8" t="str">
        <f>PROPER(TEXT(VLOOKUP($A8,Base_Unica!$A$2:$V$1048576,11,FALSE),"mmm-aaaa"))</f>
        <v>Set-2022</v>
      </c>
      <c r="G8" t="str">
        <f>VLOOKUP($A8,Base_Unica!$A$2:$V$1048576,8,FALSE)</f>
        <v>Kmeans</v>
      </c>
      <c r="H8" t="str">
        <f>VLOOKUP($A8,Base_Unica!$A$2:$V$1048576,9,FALSE)</f>
        <v>Nenhum</v>
      </c>
      <c r="I8" t="str">
        <f>VLOOKUP($A8,Base_Unica!$A$2:$V$1048576,10,FALSE)</f>
        <v>Médio</v>
      </c>
      <c r="J8">
        <f>VLOOKUP($A8,Base_Unica!$A$2:$V$1048576,22,FALSE)</f>
        <v>671863</v>
      </c>
      <c r="K8">
        <f>VLOOKUP($B8,Base_Unica!$B$2:$V$1048576,21,FALSE)</f>
        <v>889141.358788062</v>
      </c>
      <c r="L8">
        <f>VLOOKUP($A8,Base_Unica!$A$2:$V$1048576,21,FALSE)</f>
        <v>571085</v>
      </c>
      <c r="M8">
        <f>VLOOKUP($B8,Base_Unica!$B$2:$V$1048576,20,FALSE)</f>
        <v>576030.88062591106</v>
      </c>
      <c r="N8">
        <f>VLOOKUP($A8,Base_Unica!$A$2:$V$1048576,12,FALSE)</f>
        <v>7930</v>
      </c>
      <c r="O8">
        <f>VLOOKUP($B8,Base_Unica!$B$2:$V$1048576,11,FALSE)</f>
        <v>15344.535002132199</v>
      </c>
      <c r="P8" s="6">
        <f t="shared" si="2"/>
        <v>2.6638389569425405E-2</v>
      </c>
      <c r="Q8" s="6">
        <f t="shared" si="3"/>
        <v>0.32339682165569772</v>
      </c>
      <c r="R8">
        <f>VLOOKUP($A8,Base_Unica!$A$2:$V$1048576,18,FALSE)</f>
        <v>16608</v>
      </c>
      <c r="S8">
        <f>VLOOKUP($B8,Base_Unica!$B$2:$V$1048576,17,FALSE)</f>
        <v>17207.500069199501</v>
      </c>
      <c r="T8" t="str">
        <f t="shared" si="4"/>
        <v>Aumentar</v>
      </c>
      <c r="U8">
        <f t="shared" si="5"/>
        <v>101</v>
      </c>
    </row>
    <row r="9" spans="1:21" x14ac:dyDescent="0.3">
      <c r="A9" t="str">
        <f t="shared" si="0"/>
        <v>MNPRRealizado</v>
      </c>
      <c r="B9" t="str">
        <f t="shared" si="1"/>
        <v>MNPRPrevisãoSet-2023</v>
      </c>
      <c r="C9" t="str">
        <f>VLOOKUP(U9,Planilha4!$A$2:$B$329,2,FALSE)</f>
        <v>MNPR</v>
      </c>
      <c r="D9" t="str">
        <f>VLOOKUP($A9,Base_Unica!$A$2:$V$1048576,3,FALSE)</f>
        <v>MINUPAR PARTICIPACOES S.A.</v>
      </c>
      <c r="E9" t="str">
        <f>VLOOKUP($A9,Base_Unica!$A$2:$V$1048576,5,FALSE)</f>
        <v>Emp. Adm. Part. - Alimentos</v>
      </c>
      <c r="F9" t="str">
        <f>PROPER(TEXT(VLOOKUP($A9,Base_Unica!$A$2:$V$1048576,11,FALSE),"mmm-aaaa"))</f>
        <v>Set-2022</v>
      </c>
      <c r="G9" t="str">
        <f>VLOOKUP($A9,Base_Unica!$A$2:$V$1048576,8,FALSE)</f>
        <v>Kmeans</v>
      </c>
      <c r="H9" t="str">
        <f>VLOOKUP($A9,Base_Unica!$A$2:$V$1048576,9,FALSE)</f>
        <v>Receita</v>
      </c>
      <c r="I9" t="str">
        <f>VLOOKUP($A9,Base_Unica!$A$2:$V$1048576,10,FALSE)</f>
        <v>Ruim</v>
      </c>
      <c r="J9">
        <f>VLOOKUP($A9,Base_Unica!$A$2:$V$1048576,22,FALSE)</f>
        <v>9070</v>
      </c>
      <c r="K9">
        <f>VLOOKUP($B9,Base_Unica!$B$2:$V$1048576,21,FALSE)</f>
        <v>17330.2972946222</v>
      </c>
      <c r="L9">
        <f>VLOOKUP($A9,Base_Unica!$A$2:$V$1048576,21,FALSE)</f>
        <v>-319878</v>
      </c>
      <c r="M9">
        <f>VLOOKUP($B9,Base_Unica!$B$2:$V$1048576,20,FALSE)</f>
        <v>-358396.796942127</v>
      </c>
      <c r="N9">
        <f>VLOOKUP($A9,Base_Unica!$A$2:$V$1048576,12,FALSE)</f>
        <v>7272</v>
      </c>
      <c r="O9">
        <f>VLOOKUP($B9,Base_Unica!$B$2:$V$1048576,11,FALSE)</f>
        <v>14920.390449484999</v>
      </c>
      <c r="P9" s="6">
        <f t="shared" si="2"/>
        <v>-4.1630925769390474E-2</v>
      </c>
      <c r="Q9" s="6">
        <f t="shared" si="3"/>
        <v>0.91072737537179704</v>
      </c>
      <c r="R9">
        <f>VLOOKUP($A9,Base_Unica!$A$2:$V$1048576,18,FALSE)</f>
        <v>158</v>
      </c>
      <c r="S9">
        <f>VLOOKUP($B9,Base_Unica!$B$2:$V$1048576,17,FALSE)</f>
        <v>242.898992341661</v>
      </c>
      <c r="T9" t="str">
        <f t="shared" si="4"/>
        <v>Aumentar</v>
      </c>
      <c r="U9">
        <f t="shared" si="5"/>
        <v>102</v>
      </c>
    </row>
    <row r="10" spans="1:21" x14ac:dyDescent="0.3">
      <c r="A10" t="str">
        <f t="shared" si="0"/>
        <v>ALSORealizado</v>
      </c>
      <c r="B10" t="str">
        <f t="shared" si="1"/>
        <v>ALSOPrevisãoSet-2023</v>
      </c>
      <c r="C10" t="str">
        <f>VLOOKUP(U10,Planilha4!$A$2:$B$329,2,FALSE)</f>
        <v>ALSO</v>
      </c>
      <c r="D10" t="str">
        <f>VLOOKUP($A10,Base_Unica!$A$2:$V$1048576,3,FALSE)</f>
        <v>ALIANSCE SONAE SHOPPING CENTERS S.A.</v>
      </c>
      <c r="E10" t="str">
        <f>VLOOKUP($A10,Base_Unica!$A$2:$V$1048576,5,FALSE)</f>
        <v>Emp. Adm. Part. - Comércio (Atacado e Varejo)</v>
      </c>
      <c r="F10" t="str">
        <f>PROPER(TEXT(VLOOKUP($A10,Base_Unica!$A$2:$V$1048576,11,FALSE),"mmm-aaaa"))</f>
        <v>Set-2022</v>
      </c>
      <c r="G10" t="str">
        <f>VLOOKUP($A10,Base_Unica!$A$2:$V$1048576,8,FALSE)</f>
        <v>Kmeans</v>
      </c>
      <c r="H10" t="str">
        <f>VLOOKUP($A10,Base_Unica!$A$2:$V$1048576,9,FALSE)</f>
        <v>Receita</v>
      </c>
      <c r="I10" t="str">
        <f>VLOOKUP($A10,Base_Unica!$A$2:$V$1048576,10,FALSE)</f>
        <v>Ruim</v>
      </c>
      <c r="J10">
        <f>VLOOKUP($A10,Base_Unica!$A$2:$V$1048576,22,FALSE)</f>
        <v>48723</v>
      </c>
      <c r="K10">
        <f>VLOOKUP($B10,Base_Unica!$B$2:$V$1048576,21,FALSE)</f>
        <v>61197.962070207403</v>
      </c>
      <c r="L10">
        <f>VLOOKUP($A10,Base_Unica!$A$2:$V$1048576,21,FALSE)</f>
        <v>6924053</v>
      </c>
      <c r="M10">
        <f>VLOOKUP($B10,Base_Unica!$B$2:$V$1048576,20,FALSE)</f>
        <v>10029144.0748167</v>
      </c>
      <c r="N10">
        <f>VLOOKUP($A10,Base_Unica!$A$2:$V$1048576,12,FALSE)</f>
        <v>93358</v>
      </c>
      <c r="O10">
        <f>VLOOKUP($B10,Base_Unica!$B$2:$V$1048576,11,FALSE)</f>
        <v>115764.175382703</v>
      </c>
      <c r="P10" s="6">
        <f t="shared" si="2"/>
        <v>1.1542777182091563E-2</v>
      </c>
      <c r="Q10" s="6">
        <f t="shared" si="3"/>
        <v>0.25603846376880335</v>
      </c>
      <c r="R10">
        <f>VLOOKUP($A10,Base_Unica!$A$2:$V$1048576,18,FALSE)</f>
        <v>0</v>
      </c>
      <c r="S10">
        <f>VLOOKUP($B10,Base_Unica!$B$2:$V$1048576,17,FALSE)</f>
        <v>-23.064906198035899</v>
      </c>
      <c r="T10" t="str">
        <f t="shared" si="4"/>
        <v>Sem dados</v>
      </c>
      <c r="U10">
        <f t="shared" si="5"/>
        <v>103</v>
      </c>
    </row>
    <row r="11" spans="1:21" x14ac:dyDescent="0.3">
      <c r="A11" t="str">
        <f t="shared" si="0"/>
        <v>CRFBRealizado</v>
      </c>
      <c r="B11" t="str">
        <f t="shared" si="1"/>
        <v>CRFBPrevisãoSet-2023</v>
      </c>
      <c r="C11" t="str">
        <f>VLOOKUP(U11,Planilha4!$A$2:$B$329,2,FALSE)</f>
        <v>CRFB</v>
      </c>
      <c r="D11" t="str">
        <f>VLOOKUP($A11,Base_Unica!$A$2:$V$1048576,3,FALSE)</f>
        <v>ATACADÃO S.A.</v>
      </c>
      <c r="E11" t="str">
        <f>VLOOKUP($A11,Base_Unica!$A$2:$V$1048576,5,FALSE)</f>
        <v>Emp. Adm. Part. - Comércio (Atacado e Varejo)</v>
      </c>
      <c r="F11" t="str">
        <f>PROPER(TEXT(VLOOKUP($A11,Base_Unica!$A$2:$V$1048576,11,FALSE),"mmm-aaaa"))</f>
        <v>Set-2022</v>
      </c>
      <c r="G11" t="str">
        <f>VLOOKUP($A11,Base_Unica!$A$2:$V$1048576,8,FALSE)</f>
        <v>Kmeans</v>
      </c>
      <c r="H11" t="str">
        <f>VLOOKUP($A11,Base_Unica!$A$2:$V$1048576,9,FALSE)</f>
        <v>Receita</v>
      </c>
      <c r="I11" s="7" t="str">
        <f>VLOOKUP($A11,Base_Unica!$A$2:$V$1048576,10,FALSE)</f>
        <v>Bom</v>
      </c>
      <c r="J11">
        <f>VLOOKUP($A11,Base_Unica!$A$2:$V$1048576,22,FALSE)</f>
        <v>16210000</v>
      </c>
      <c r="K11">
        <f>VLOOKUP($B11,Base_Unica!$B$2:$V$1048576,21,FALSE)</f>
        <v>21635732.714138199</v>
      </c>
      <c r="L11">
        <f>VLOOKUP($A11,Base_Unica!$A$2:$V$1048576,21,FALSE)</f>
        <v>19994000</v>
      </c>
      <c r="M11">
        <f>VLOOKUP($B11,Base_Unica!$B$2:$V$1048576,20,FALSE)</f>
        <v>30408313.725488</v>
      </c>
      <c r="N11">
        <f>VLOOKUP($A11,Base_Unica!$A$2:$V$1048576,12,FALSE)</f>
        <v>323000</v>
      </c>
      <c r="O11">
        <f>VLOOKUP($B11,Base_Unica!$B$2:$V$1048576,11,FALSE)</f>
        <v>-556490.71207424498</v>
      </c>
      <c r="P11" s="6">
        <f t="shared" si="2"/>
        <v>-1.8300610717778769E-2</v>
      </c>
      <c r="Q11" s="6">
        <f t="shared" si="3"/>
        <v>0.33471515818249231</v>
      </c>
      <c r="R11">
        <f>VLOOKUP($A11,Base_Unica!$A$2:$V$1048576,18,FALSE)</f>
        <v>513000</v>
      </c>
      <c r="S11">
        <f>VLOOKUP($B11,Base_Unica!$B$2:$V$1048576,17,FALSE)</f>
        <v>675650.15479874494</v>
      </c>
      <c r="T11" t="str">
        <f t="shared" si="4"/>
        <v>Aumentar</v>
      </c>
      <c r="U11">
        <f t="shared" si="5"/>
        <v>104</v>
      </c>
    </row>
    <row r="12" spans="1:21" x14ac:dyDescent="0.3">
      <c r="P12" s="6"/>
      <c r="Q12" s="6"/>
    </row>
    <row r="13" spans="1:21" x14ac:dyDescent="0.3">
      <c r="P13" s="6"/>
      <c r="Q13" s="6"/>
    </row>
    <row r="14" spans="1:21" x14ac:dyDescent="0.3">
      <c r="P14" s="6"/>
      <c r="Q14" s="6"/>
    </row>
    <row r="15" spans="1:21" x14ac:dyDescent="0.3">
      <c r="P15" s="6"/>
      <c r="Q15" s="6"/>
    </row>
    <row r="16" spans="1:21" x14ac:dyDescent="0.3">
      <c r="P16" s="6"/>
      <c r="Q16" s="6"/>
    </row>
    <row r="17" spans="16:17" x14ac:dyDescent="0.3">
      <c r="P17" s="6"/>
      <c r="Q17" s="6"/>
    </row>
    <row r="18" spans="16:17" x14ac:dyDescent="0.3">
      <c r="P18" s="6"/>
      <c r="Q18" s="6"/>
    </row>
    <row r="19" spans="16:17" x14ac:dyDescent="0.3">
      <c r="P19" s="6"/>
      <c r="Q19" s="6"/>
    </row>
    <row r="20" spans="16:17" x14ac:dyDescent="0.3">
      <c r="P20" s="6"/>
      <c r="Q20" s="6"/>
    </row>
    <row r="21" spans="16:17" x14ac:dyDescent="0.3">
      <c r="P21" s="6"/>
      <c r="Q21" s="6"/>
    </row>
    <row r="22" spans="16:17" x14ac:dyDescent="0.3">
      <c r="P22" s="6"/>
      <c r="Q22" s="6"/>
    </row>
    <row r="23" spans="16:17" x14ac:dyDescent="0.3">
      <c r="P23" s="6"/>
      <c r="Q23" s="6"/>
    </row>
    <row r="24" spans="16:17" x14ac:dyDescent="0.3">
      <c r="P24" s="6"/>
      <c r="Q24" s="6"/>
    </row>
    <row r="25" spans="16:17" x14ac:dyDescent="0.3">
      <c r="P25" s="6"/>
      <c r="Q25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3523C2-70E6-4599-AB90-5A592D193FB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Front_MVP</vt:lpstr>
      <vt:lpstr>Base_Unica</vt:lpstr>
      <vt:lpstr>Planilha4</vt:lpstr>
      <vt:lpstr>Motorzinho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Vinicius</dc:creator>
  <cp:lastModifiedBy>Marcus Vinicius</cp:lastModifiedBy>
  <dcterms:created xsi:type="dcterms:W3CDTF">2015-06-05T18:19:34Z</dcterms:created>
  <dcterms:modified xsi:type="dcterms:W3CDTF">2023-04-16T15:23:51Z</dcterms:modified>
</cp:coreProperties>
</file>